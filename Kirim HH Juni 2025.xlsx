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1A0C461-A3BB-4C90-A91D-9D787FC5D68E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HL" sheetId="36" r:id="rId1"/>
  </sheets>
  <calcPr calcId="191029"/>
</workbook>
</file>

<file path=xl/calcChain.xml><?xml version="1.0" encoding="utf-8"?>
<calcChain xmlns="http://schemas.openxmlformats.org/spreadsheetml/2006/main">
  <c r="AI412" i="36" l="1"/>
  <c r="AH412" i="36"/>
  <c r="AI262" i="36"/>
  <c r="AN52" i="36"/>
  <c r="AN395" i="36"/>
  <c r="AN411" i="36"/>
  <c r="AM411" i="36"/>
  <c r="AN401" i="36"/>
  <c r="AM401" i="36"/>
  <c r="AM395" i="36"/>
  <c r="AN389" i="36"/>
  <c r="AM389" i="36"/>
  <c r="AN380" i="36"/>
  <c r="AM380" i="36"/>
  <c r="AN371" i="36"/>
  <c r="AM371" i="36"/>
  <c r="AN362" i="36"/>
  <c r="AM362" i="36"/>
  <c r="AN314" i="36"/>
  <c r="AN305" i="36"/>
  <c r="AN351" i="36"/>
  <c r="AM351" i="36"/>
  <c r="AN341" i="36"/>
  <c r="AM341" i="36"/>
  <c r="AN331" i="36"/>
  <c r="AM331" i="36"/>
  <c r="AN323" i="36"/>
  <c r="AM323" i="36"/>
  <c r="AM314" i="36"/>
  <c r="AN135" i="36"/>
  <c r="AM305" i="36"/>
  <c r="AN294" i="36"/>
  <c r="AM294" i="36"/>
  <c r="AN284" i="36"/>
  <c r="AM284" i="36"/>
  <c r="AN275" i="36"/>
  <c r="AM275" i="36"/>
  <c r="AG262" i="36"/>
  <c r="AH262" i="36"/>
  <c r="AI152" i="36"/>
  <c r="AH152" i="36"/>
  <c r="AN261" i="36"/>
  <c r="AM261" i="36"/>
  <c r="AN252" i="36"/>
  <c r="AM252" i="36"/>
  <c r="AN242" i="36"/>
  <c r="AM242" i="36"/>
  <c r="AN232" i="36"/>
  <c r="AM232" i="36"/>
  <c r="AN223" i="36"/>
  <c r="AM223" i="36"/>
  <c r="AN213" i="36"/>
  <c r="AM213" i="36"/>
  <c r="AN204" i="36"/>
  <c r="AM204" i="36"/>
  <c r="AN196" i="36"/>
  <c r="AM196" i="36"/>
  <c r="AN187" i="36"/>
  <c r="AM187" i="36"/>
  <c r="AN181" i="36"/>
  <c r="AM181" i="36"/>
  <c r="AN170" i="36"/>
  <c r="AM170" i="36"/>
  <c r="AN99" i="36"/>
  <c r="AN160" i="36"/>
  <c r="AM160" i="36"/>
  <c r="AN151" i="36"/>
  <c r="AM151" i="36"/>
  <c r="AN142" i="36"/>
  <c r="AM142" i="36"/>
  <c r="AM135" i="36"/>
  <c r="AN126" i="36"/>
  <c r="AM126" i="36"/>
  <c r="AN118" i="36"/>
  <c r="AM118" i="36"/>
  <c r="AN16" i="36"/>
  <c r="AN25" i="36"/>
  <c r="AN108" i="36"/>
  <c r="AM108" i="36"/>
  <c r="AM99" i="36"/>
  <c r="AN88" i="36"/>
  <c r="AM88" i="36"/>
  <c r="AN79" i="36"/>
  <c r="AM79" i="36"/>
  <c r="AN70" i="36"/>
  <c r="AM70" i="36"/>
  <c r="AN60" i="36"/>
  <c r="AM60" i="36"/>
  <c r="AN43" i="36"/>
  <c r="AM25" i="36"/>
  <c r="AN34" i="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U25" authorId="0" shapeId="0" xr:uid="{A5791077-52BD-43F4-B612-7AB4E4D922B7}">
      <text>
        <r>
          <rPr>
            <b/>
            <sz val="9"/>
            <color indexed="81"/>
            <rFont val="Tahoma"/>
            <family val="2"/>
          </rPr>
          <t>Posisi suda di BLP</t>
        </r>
      </text>
    </comment>
    <comment ref="U42" authorId="0" shapeId="0" xr:uid="{86044772-A080-414B-A90A-A2C5CCE4DC99}">
      <text>
        <r>
          <rPr>
            <b/>
            <sz val="9"/>
            <color indexed="81"/>
            <rFont val="Tahoma"/>
            <family val="2"/>
          </rPr>
          <t>Posisi suda di BLP</t>
        </r>
      </text>
    </comment>
    <comment ref="U197" authorId="0" shapeId="0" xr:uid="{57F6AF1C-2CC1-4168-B6C6-DBEDACACF819}">
      <text>
        <r>
          <rPr>
            <b/>
            <sz val="9"/>
            <color indexed="81"/>
            <rFont val="Tahoma"/>
            <family val="2"/>
          </rPr>
          <t>Posisi suda di BLP</t>
        </r>
      </text>
    </comment>
    <comment ref="U276" authorId="0" shapeId="0" xr:uid="{66BD086E-E921-488B-A541-6DCF6D31D2F9}">
      <text>
        <r>
          <rPr>
            <b/>
            <sz val="9"/>
            <color indexed="81"/>
            <rFont val="Tahoma"/>
            <family val="2"/>
          </rPr>
          <t>Posisi suda di BLP</t>
        </r>
      </text>
    </comment>
    <comment ref="U279" authorId="0" shapeId="0" xr:uid="{889D0B52-5F46-46FC-B2C9-4CACAB6786DF}">
      <text>
        <r>
          <rPr>
            <b/>
            <sz val="9"/>
            <color indexed="81"/>
            <rFont val="Tahoma"/>
            <family val="2"/>
          </rPr>
          <t>Posisi suda di BLP</t>
        </r>
      </text>
    </comment>
    <comment ref="U328" authorId="0" shapeId="0" xr:uid="{8448E7A6-4320-46F4-B805-C22636BC33CC}">
      <text>
        <r>
          <rPr>
            <b/>
            <sz val="9"/>
            <color indexed="81"/>
            <rFont val="Tahoma"/>
            <family val="2"/>
          </rPr>
          <t>Posisi suda di BLP</t>
        </r>
      </text>
    </comment>
    <comment ref="U344" authorId="0" shapeId="0" xr:uid="{31B61AC9-3A2C-4B26-AA0C-7DD0213C74ED}">
      <text>
        <r>
          <rPr>
            <b/>
            <sz val="9"/>
            <color indexed="81"/>
            <rFont val="Tahoma"/>
            <family val="2"/>
          </rPr>
          <t>Posisi suda di BLP</t>
        </r>
      </text>
    </comment>
  </commentList>
</comments>
</file>

<file path=xl/sharedStrings.xml><?xml version="1.0" encoding="utf-8"?>
<sst xmlns="http://schemas.openxmlformats.org/spreadsheetml/2006/main" count="4020" uniqueCount="489">
  <si>
    <t>Meranti Merah</t>
  </si>
  <si>
    <t>Meranti Putih</t>
  </si>
  <si>
    <t>Meranti Kuning</t>
  </si>
  <si>
    <t>Keruing</t>
  </si>
  <si>
    <t>Nyatoh</t>
  </si>
  <si>
    <t>Balau</t>
  </si>
  <si>
    <t>Palapi</t>
  </si>
  <si>
    <t>Bangkirai</t>
  </si>
  <si>
    <t>Mersawa</t>
  </si>
  <si>
    <t>Bintangur</t>
  </si>
  <si>
    <t>IDENTITAS  FISIKKAYU</t>
  </si>
  <si>
    <t>TOTAL / TT</t>
  </si>
  <si>
    <t>TOTAL PENJULANAN</t>
  </si>
  <si>
    <t>KETERANGAN LAIN LAIN</t>
  </si>
  <si>
    <t>NO</t>
  </si>
  <si>
    <t>BAPHH No Tgl/Penulis Trip Ticket/Operator Muat/</t>
  </si>
  <si>
    <t>Nomor LHP/Tanggal LHP/Barcode</t>
  </si>
  <si>
    <t>NT</t>
  </si>
  <si>
    <t>NP-RKT</t>
  </si>
  <si>
    <t>NLHC</t>
  </si>
  <si>
    <t>JENIS KAYU</t>
  </si>
  <si>
    <t>KWALITAS KAYU</t>
  </si>
  <si>
    <t>PANJANG / DIAMETER</t>
  </si>
  <si>
    <t>VOLUME</t>
  </si>
  <si>
    <t>GR</t>
  </si>
  <si>
    <t>CACAT FISIK KAYU</t>
  </si>
  <si>
    <t>LAIN-LAIN</t>
  </si>
  <si>
    <t>JENIS ASAL</t>
  </si>
  <si>
    <t>LOKASI</t>
  </si>
  <si>
    <t>FLOATER</t>
  </si>
  <si>
    <t>Trip</t>
  </si>
  <si>
    <t>Operator Bongkar/Penerima Trip Ticket</t>
  </si>
  <si>
    <t>FC</t>
  </si>
  <si>
    <t>SG</t>
  </si>
  <si>
    <t>AF</t>
  </si>
  <si>
    <t>M</t>
  </si>
  <si>
    <t>I</t>
  </si>
  <si>
    <t>II</t>
  </si>
  <si>
    <t>III</t>
  </si>
  <si>
    <t>M³</t>
  </si>
  <si>
    <t>Cm</t>
  </si>
  <si>
    <t>%</t>
  </si>
  <si>
    <t>TRIP</t>
  </si>
  <si>
    <t>PTG</t>
  </si>
  <si>
    <t>DUKB NO/ TANGGAL/TUJUAN/PTG/VOLUME</t>
  </si>
  <si>
    <t>BONGKAR</t>
  </si>
  <si>
    <t>SINKER</t>
  </si>
  <si>
    <t>Mansyur</t>
  </si>
  <si>
    <t>Arnos S</t>
  </si>
  <si>
    <t>Djn</t>
  </si>
  <si>
    <t>Don Juan</t>
  </si>
  <si>
    <t>Heli</t>
  </si>
  <si>
    <t>BULAN  : JUNI 2025</t>
  </si>
  <si>
    <t>DRAFT HAULING SL 2025</t>
  </si>
  <si>
    <t>Logpond Antara Pendang</t>
  </si>
  <si>
    <t>Yoga</t>
  </si>
  <si>
    <t>Nck</t>
  </si>
  <si>
    <t>Sam Akbar</t>
  </si>
  <si>
    <t>Kel. Meranti</t>
  </si>
  <si>
    <t>1702AXXSOLB0000000000085400</t>
  </si>
  <si>
    <t>1702AXXSOLB0000000000085314</t>
  </si>
  <si>
    <t>1702AXXSOLB0000000000085067</t>
  </si>
  <si>
    <t>1702AXXSOLB0000000000085030</t>
  </si>
  <si>
    <t>1702AXXSOLB0000000000085203</t>
  </si>
  <si>
    <t>1702AXXSOLB0000000000085220</t>
  </si>
  <si>
    <t>1702AXXSOLB0000000000085177</t>
  </si>
  <si>
    <t>1702AXXSOLB0000000000085222</t>
  </si>
  <si>
    <t>1702AXXSOLB0000000000085114</t>
  </si>
  <si>
    <t>1702AXXSOLB0000000000085224</t>
  </si>
  <si>
    <t>1702AXXSOLB0000000000085228</t>
  </si>
  <si>
    <t>1702AXXSOLB0000000000085174</t>
  </si>
  <si>
    <t>1702AXXSOLB0000000000085227</t>
  </si>
  <si>
    <t>1702AXXSOLB0000000000085189</t>
  </si>
  <si>
    <t>1702AXXSOLB0000000000085467.01</t>
  </si>
  <si>
    <t>1702AXXSOLB0000000000085467.02</t>
  </si>
  <si>
    <t>1702AXXSOLB0000000000085166.02</t>
  </si>
  <si>
    <t>1702AXXSOLB0000000000085463</t>
  </si>
  <si>
    <t>1702AXXSOLB0000000000085387</t>
  </si>
  <si>
    <t>1702AXXSOLB0000000000085225.02</t>
  </si>
  <si>
    <t>1702AXXSOLB0000000000085485</t>
  </si>
  <si>
    <t>1702AXXSOLB0000000000085357.01</t>
  </si>
  <si>
    <t>1702AXXSOLB0000000000085197</t>
  </si>
  <si>
    <t>1702AXXSOLB0000000000085306</t>
  </si>
  <si>
    <t>1702AXXSOLB0000000000085225.01</t>
  </si>
  <si>
    <t>1702AXXSOLB0000000000085357.02</t>
  </si>
  <si>
    <t>1702AXXSOLB0000000000085393</t>
  </si>
  <si>
    <t>1702AXXSOLB0000000000085191</t>
  </si>
  <si>
    <t>1702AXXSOLB0000000000085345</t>
  </si>
  <si>
    <t>1702AXXSOLB0000000000085166.01</t>
  </si>
  <si>
    <t>1702AXXSOLB0000000000085389</t>
  </si>
  <si>
    <t>1702AXXSOLB0000000000085176</t>
  </si>
  <si>
    <t>1702AXXSOLB0000000000085390</t>
  </si>
  <si>
    <t>1702AXXSOLB0000000000085136</t>
  </si>
  <si>
    <t>1702AXXSOLB0000000000085069</t>
  </si>
  <si>
    <t>1702AXXSOLB0000000000085053</t>
  </si>
  <si>
    <t>1702AXXSOLB0000000000085193</t>
  </si>
  <si>
    <t>1702AXXSOLB0000000000085054</t>
  </si>
  <si>
    <t>1702AXXSOLB0000000000085135</t>
  </si>
  <si>
    <t>1702AXXSOLB0000000000085192</t>
  </si>
  <si>
    <t>1702AXXSOLB0000000000084906</t>
  </si>
  <si>
    <t>1702AXXSOLB0000000000085195</t>
  </si>
  <si>
    <t>1702AXXSOLB0000000000085482</t>
  </si>
  <si>
    <t>1702AXXSOLB0000000000085483</t>
  </si>
  <si>
    <t>1702AXXSOLB0000000000085196</t>
  </si>
  <si>
    <t>1702AXXSOLB0000000000085300</t>
  </si>
  <si>
    <t>1702AXXSOLB0000000000085221</t>
  </si>
  <si>
    <t>1702AXXSOLB0000000000085091</t>
  </si>
  <si>
    <t>1702AXXSOLB0000000000085230</t>
  </si>
  <si>
    <t>1702AXXSOLB0000000000085121</t>
  </si>
  <si>
    <t>1702AXXSOLB0000000000085085</t>
  </si>
  <si>
    <t>1702AXXSOLB0000000000085090</t>
  </si>
  <si>
    <t>1702AXXSOLB0000000000085035</t>
  </si>
  <si>
    <t>1702AXXSOLB0000000000085075</t>
  </si>
  <si>
    <t>1702AXXSOLB0000000000085479</t>
  </si>
  <si>
    <t>1702AXXSOLB0000000000085484</t>
  </si>
  <si>
    <t>1702AXXSOLB0000000000085303</t>
  </si>
  <si>
    <t>1702AXXSOLB0000000000085477</t>
  </si>
  <si>
    <t>1702AXXSOLB0000000000085219</t>
  </si>
  <si>
    <t>Rimba Campuran</t>
  </si>
  <si>
    <t>1702AXXSOLB0000000000085325</t>
  </si>
  <si>
    <t>1702AXXSOLB0000000000085397</t>
  </si>
  <si>
    <t>1702AXXSOLB0000000000085308</t>
  </si>
  <si>
    <t>1702AXXSOLB0000000000085301.02</t>
  </si>
  <si>
    <t>1702AXXSOLB0000000000085301.01</t>
  </si>
  <si>
    <t>1702AXXSOLB0000000000085036</t>
  </si>
  <si>
    <t>1702AXXSOLB0000000000085491</t>
  </si>
  <si>
    <t>1702AXXSOLB0000000000085488</t>
  </si>
  <si>
    <t>1702AXXSOLB0000000000085476</t>
  </si>
  <si>
    <t>1702AXXSOLB0000000000085115</t>
  </si>
  <si>
    <t>1702AXXSOLB0000000000085307</t>
  </si>
  <si>
    <t>1702AXXSOLB0000000000085157</t>
  </si>
  <si>
    <t>1702AXXSOLB0000000000085066</t>
  </si>
  <si>
    <t>1702AXXSOLB0000000000085473</t>
  </si>
  <si>
    <t>1702AXXSOLB0000000000085474</t>
  </si>
  <si>
    <t>1702AXXSOLB0000000000085026</t>
  </si>
  <si>
    <t>1702AXXSOLB0000000000085014</t>
  </si>
  <si>
    <t>1702AXXSOLB0000000000085199</t>
  </si>
  <si>
    <t>1702AXXSOLB0000000000085200</t>
  </si>
  <si>
    <t>1702AXXSOLB0000000000085143</t>
  </si>
  <si>
    <t>1702AXXSOLB0000000000085088</t>
  </si>
  <si>
    <t>1702AXXSOLB0000000000085226</t>
  </si>
  <si>
    <t>1702AXXSOLB0000000000085402</t>
  </si>
  <si>
    <t>1702AXXSOLB0000000000085096.01</t>
  </si>
  <si>
    <t>1702AXXSOLB0000000000085096.02</t>
  </si>
  <si>
    <t>1702AXXSOLB0000000000085472</t>
  </si>
  <si>
    <t>1702AXXSOLB0000000000085344</t>
  </si>
  <si>
    <t>1702AXXSOLB0000000000085353</t>
  </si>
  <si>
    <t>1702AXXSOLB0000000000085232</t>
  </si>
  <si>
    <t>1702AXXSOLB0000000000085401</t>
  </si>
  <si>
    <t>1702AXXSOLB0000000000085317</t>
  </si>
  <si>
    <t>1702AXXSOLB0000000000085315</t>
  </si>
  <si>
    <t>1702AXXSOLB0000000000085465</t>
  </si>
  <si>
    <t>1702AXXSOLB0000000000085316</t>
  </si>
  <si>
    <t>1702AXXSOLB0000000000084923</t>
  </si>
  <si>
    <t>1702AXXSOLB0000000000084917.01</t>
  </si>
  <si>
    <t>1702AXXSOLB0000000000084917.02</t>
  </si>
  <si>
    <t>1702AXXSOLB0000000000085247</t>
  </si>
  <si>
    <t>1702AXXSOLB0000000000085253</t>
  </si>
  <si>
    <t>1702AXXSOLB0000000000085204</t>
  </si>
  <si>
    <t>1702AXXSOLB0000000000084987.02</t>
  </si>
  <si>
    <t>1702AXXSOLB0000000000084987.01</t>
  </si>
  <si>
    <t>1702AXXSOLB0000000000089470</t>
  </si>
  <si>
    <t>1702AXXSOLB0000000000089334</t>
  </si>
  <si>
    <t>1702AXXSOLB0000000000089372</t>
  </si>
  <si>
    <t>1702AXXSOLB0000000000089320</t>
  </si>
  <si>
    <t>1702AXXSOLB0000000000089454.02</t>
  </si>
  <si>
    <t>1702AXXSOLB0000000000089445</t>
  </si>
  <si>
    <t>1702AXXSOLB0000000000089477</t>
  </si>
  <si>
    <t>1702AXXSOLB0000000000088925</t>
  </si>
  <si>
    <t>Benuang</t>
  </si>
  <si>
    <t>1702AXXSOLB0000000000089141</t>
  </si>
  <si>
    <t>1702AXXSOLB0000000000089413</t>
  </si>
  <si>
    <t>1702AXXSOLB0000000000089071</t>
  </si>
  <si>
    <t>1702AXXSOLB0000000000089454.01</t>
  </si>
  <si>
    <t>1702AXXSOLB0000000000089227</t>
  </si>
  <si>
    <t>1702AXXSOLB0000000000089260</t>
  </si>
  <si>
    <t>1702AXXSOLB0000000000089573</t>
  </si>
  <si>
    <t>1702AXXSOLB0000000000089041</t>
  </si>
  <si>
    <t>1702AXXSOLB0000000000089540</t>
  </si>
  <si>
    <t>1702AXXSOLB0000000000089101</t>
  </si>
  <si>
    <t>1702AXXSOLB0000000000089458</t>
  </si>
  <si>
    <t>1702AXXSOLB0000000000089450</t>
  </si>
  <si>
    <t>1702AXXSOLB0000000000089515</t>
  </si>
  <si>
    <t>1702AXXSOLB0000000000089117</t>
  </si>
  <si>
    <t>1702AXXSOLB0000000000089166</t>
  </si>
  <si>
    <t>1702AXXSOLB0000000000089430</t>
  </si>
  <si>
    <t>1702AXXSOLB0000000000089257</t>
  </si>
  <si>
    <t>1702AXXSOLB0000000000089228</t>
  </si>
  <si>
    <t>1702AXXSOLB0000000000089128</t>
  </si>
  <si>
    <t>1702AXXSOLB0000000000089526</t>
  </si>
  <si>
    <t>1702AXXSOLB0000000000089419.01</t>
  </si>
  <si>
    <t>1702AXXSOLB0000000000089390</t>
  </si>
  <si>
    <t>1702AXXSOLB0000000000088975</t>
  </si>
  <si>
    <t>1702AXXSOLB0000000000089086</t>
  </si>
  <si>
    <t>1702AXXSOLB0000000000089373</t>
  </si>
  <si>
    <t>1702AXXSOLB0000000000088130</t>
  </si>
  <si>
    <t>1702AXXSOLB0000000000088127</t>
  </si>
  <si>
    <t>1702AXXSOLB0000000000088346.01</t>
  </si>
  <si>
    <t>1702AXXSOLB0000000000088344</t>
  </si>
  <si>
    <t>1702AXXSOLB0000000000088493</t>
  </si>
  <si>
    <t>1702AXXSOLB0000000000088007</t>
  </si>
  <si>
    <t>1702AXXSOLB0000000000088059</t>
  </si>
  <si>
    <t>1702AXXSOLB0000000000088055</t>
  </si>
  <si>
    <t>1702AXXSOLB0000000000088154</t>
  </si>
  <si>
    <t>1702AXXSOLB0000000000088337</t>
  </si>
  <si>
    <t>1702AXXSOLB0000000000088303</t>
  </si>
  <si>
    <t>1702AXXSOLB0000000000088374</t>
  </si>
  <si>
    <t>1702AXXSOLB0000000000088460</t>
  </si>
  <si>
    <t>1702AXXSOLB0000000000088112</t>
  </si>
  <si>
    <t>1702AXXSOLB0000000000088440.01</t>
  </si>
  <si>
    <t>1702AXXSOLB0000000000088048</t>
  </si>
  <si>
    <t>1702AXXSOLB0000000000088469</t>
  </si>
  <si>
    <t>1702AXXSOLB0000000000088064</t>
  </si>
  <si>
    <t>1702AXXSOLB0000000000088056</t>
  </si>
  <si>
    <t>1702AXXSOLB0000000000088234</t>
  </si>
  <si>
    <t>1702AXXSOLB0000000000088187.01</t>
  </si>
  <si>
    <t>1702AXXSOLB0000000000088239</t>
  </si>
  <si>
    <t>1702AXXSOLB0000000000088237</t>
  </si>
  <si>
    <t>1702AXXSOLB0000000000088228.01</t>
  </si>
  <si>
    <t>1702AXXSOLB0000000000088338</t>
  </si>
  <si>
    <t>1702AXXSOLB0000000000088331</t>
  </si>
  <si>
    <t>1702AXXSOLB0000000000088335</t>
  </si>
  <si>
    <t>1702AXXSOLB0000000000088305</t>
  </si>
  <si>
    <t>1702AXXSOLB0000000000088320</t>
  </si>
  <si>
    <t>1702AXXSOLB0000000000088397</t>
  </si>
  <si>
    <t>1702AXXSOLB0000000000088487</t>
  </si>
  <si>
    <t>1702AXXSOLB0000000000088228.02</t>
  </si>
  <si>
    <t>1702AXXSOLB0000000000088229.02</t>
  </si>
  <si>
    <t>1702AXXSOLB0000000000088579.02</t>
  </si>
  <si>
    <t>1702AXXSOLB0000000000088579.01</t>
  </si>
  <si>
    <t>1702AXXSOLB0000000000088229.01</t>
  </si>
  <si>
    <t>1702AXXSOLB0000000000088178.02</t>
  </si>
  <si>
    <t>1702AXXSOLB0000000000088178.01</t>
  </si>
  <si>
    <t>1702AXXSOLB0000000000088339</t>
  </si>
  <si>
    <t>1702AXXSOLB0000000000088125</t>
  </si>
  <si>
    <t>1702AXXSOLB0000000000087939</t>
  </si>
  <si>
    <t>1702AXXSOLB0000000000089377.01</t>
  </si>
  <si>
    <t>1702AXXSOLB0000000000089211</t>
  </si>
  <si>
    <t>1702AXXSOLB0000000000089415</t>
  </si>
  <si>
    <t>1702AXXSOLB0000000000089501</t>
  </si>
  <si>
    <t>1702AXXSOLB0000000000089165</t>
  </si>
  <si>
    <t>1702AXXSOLB0000000000088932</t>
  </si>
  <si>
    <t>1702AXXSOLB0000000000088971</t>
  </si>
  <si>
    <t>1702AXXSOLB0000000000089555</t>
  </si>
  <si>
    <t>1702AXXSOLB0000000000089188</t>
  </si>
  <si>
    <t>1702AXXSOLB0000000000089614</t>
  </si>
  <si>
    <t>1702AXXSOLB0000000000089519</t>
  </si>
  <si>
    <t>1702AXXSOLB0000000000088979</t>
  </si>
  <si>
    <t>1702AXXSOLB0000000000088969</t>
  </si>
  <si>
    <t>1702AXXSOLB0000000000089489</t>
  </si>
  <si>
    <t>1702AXXSOLB0000000000089210</t>
  </si>
  <si>
    <t>1702AXXSOLB0000000000089335</t>
  </si>
  <si>
    <t>1702AXXSOLB0000000000089375</t>
  </si>
  <si>
    <t>1702AXXSOLB0000000000089082</t>
  </si>
  <si>
    <t>1702AXXSOLB0000000000089214</t>
  </si>
  <si>
    <t>1702AXXSOLB0000000000089598</t>
  </si>
  <si>
    <t>1702AXXSOLB0000000000089197</t>
  </si>
  <si>
    <t>1702AXXSOLB0000000000089332</t>
  </si>
  <si>
    <t>1702AXXSOLB0000000000089085</t>
  </si>
  <si>
    <t>1702AXXSOLB0000000000089195</t>
  </si>
  <si>
    <t>1702AXXSOLB0000000000089120</t>
  </si>
  <si>
    <t>1702AXXSOLB0000000000089611</t>
  </si>
  <si>
    <t>1702AXXSOLB0000000000089203</t>
  </si>
  <si>
    <t>1702AXXSOLB0000000000089114</t>
  </si>
  <si>
    <t>1702AXXSOLB0000000000089377.02</t>
  </si>
  <si>
    <t>1702AXXSOLB0000000000089121</t>
  </si>
  <si>
    <t>1702AXXSOLB0000000000089002</t>
  </si>
  <si>
    <t>1702AXXSOLB0000000000089122</t>
  </si>
  <si>
    <t>1702AXXSOLB0000000000089264</t>
  </si>
  <si>
    <t>1702AXXSOLB0000000000089298</t>
  </si>
  <si>
    <t>1702AXXSOLB0000000000089293</t>
  </si>
  <si>
    <t>1702AXXSOLB0000000000089534</t>
  </si>
  <si>
    <t>1702AXXSOLB0000000000089130.01</t>
  </si>
  <si>
    <t>1702AXXSOLB0000000000089130.02</t>
  </si>
  <si>
    <t>1702AXXSOLB0000000000089316</t>
  </si>
  <si>
    <t>1702AXXSOLB0000000000089315</t>
  </si>
  <si>
    <t>1702AXXSOLB0000000000089532</t>
  </si>
  <si>
    <t>1702AXXSOLB0000000000088284.02</t>
  </si>
  <si>
    <t>1702AXXSOLB0000000000088532</t>
  </si>
  <si>
    <t>1702AXXSOLB0000000000088563</t>
  </si>
  <si>
    <t>1702AXXSOLB0000000000088453</t>
  </si>
  <si>
    <t>1702AXXSOLB0000000000088478.01</t>
  </si>
  <si>
    <t>1702AXXSOLB0000000000088204</t>
  </si>
  <si>
    <t>1702AXXSOLB0000000000088452</t>
  </si>
  <si>
    <t>1702AXXSOLB0000000000088445.01</t>
  </si>
  <si>
    <t>1702AXXSOLB0000000000087947</t>
  </si>
  <si>
    <t>1702AXXSOLB0000000000088497</t>
  </si>
  <si>
    <t>1702AXXSOLB0000000000088399</t>
  </si>
  <si>
    <t>1702AXXSOLB0000000000088581</t>
  </si>
  <si>
    <t>1702AXXSOLB0000000000088478.02</t>
  </si>
  <si>
    <t>1702AXXSOLB0000000000088444</t>
  </si>
  <si>
    <t>1702AXXSOLB0000000000087948</t>
  </si>
  <si>
    <t>1702AXXSOLB0000000000088491</t>
  </si>
  <si>
    <t>1702AXXSOLB0000000000088498</t>
  </si>
  <si>
    <t>1702AXXSOLB0000000000088445.02</t>
  </si>
  <si>
    <t>1702AXXSOLB0000000000088610.01</t>
  </si>
  <si>
    <t>1702AXXSOLB0000000000087946</t>
  </si>
  <si>
    <t>1702AXXSOLB0000000000089208.01</t>
  </si>
  <si>
    <t>1702AXXSOLB0000000000089020</t>
  </si>
  <si>
    <t>1702AXXSOLB0000000000089064</t>
  </si>
  <si>
    <t>1702AXXSOLB0000000000089164.01</t>
  </si>
  <si>
    <t>1702AXXSOLB0000000000089076.02</t>
  </si>
  <si>
    <t>Kapur</t>
  </si>
  <si>
    <t>1702AXXSOLB0000000000089087</t>
  </si>
  <si>
    <t>1702AXXSOLB0000000000089076.01</t>
  </si>
  <si>
    <t>1702AXXSOLB0000000000089088</t>
  </si>
  <si>
    <t>1702AXXSOLB0000000000088915</t>
  </si>
  <si>
    <t>1702AXXSOLB0000000000089187</t>
  </si>
  <si>
    <t>1702AXXSOLB0000000000089599</t>
  </si>
  <si>
    <t>1702AXXSOLB0000000000089304</t>
  </si>
  <si>
    <t>1702AXXSOLB0000000000088963</t>
  </si>
  <si>
    <t>1702AXXSOLB0000000000089615.01</t>
  </si>
  <si>
    <t>1702AXXSOLB0000000000089216.01</t>
  </si>
  <si>
    <t>1702AXXSOLB0000000000089615.02</t>
  </si>
  <si>
    <t>1702AXXSOLB0000000000089216.02</t>
  </si>
  <si>
    <t>1702AXXSOLB0000000000089612</t>
  </si>
  <si>
    <t>1702AXXSOLB0000000000089177</t>
  </si>
  <si>
    <t>1702AXXSOLB0000000000089447.01</t>
  </si>
  <si>
    <t>1702AXXSOLB0000000000089447.02</t>
  </si>
  <si>
    <t>1702AXXSOLB0000000000089031</t>
  </si>
  <si>
    <t>1702AXXSOLB0000000000089275.01</t>
  </si>
  <si>
    <t>1702AXXSOLB0000000000088951.02</t>
  </si>
  <si>
    <t>1702AXXSOLB0000000000088951.01</t>
  </si>
  <si>
    <t>1702AXXSOLB0000000000089038</t>
  </si>
  <si>
    <t>1702AXXSOLB0000000000089590</t>
  </si>
  <si>
    <t>1702AXXSOLB0000000000089459</t>
  </si>
  <si>
    <t>1702AXXSOLB0000000000089343</t>
  </si>
  <si>
    <t>1702AXXSOLB0000000000089192</t>
  </si>
  <si>
    <t>1702AXXSOLB0000000000089310</t>
  </si>
  <si>
    <t>1702AXXSOLB0000000000088999.02</t>
  </si>
  <si>
    <t>1702AXXSOLB0000000000088999.01</t>
  </si>
  <si>
    <t>1702AXXSOLB0000000000088972</t>
  </si>
  <si>
    <t>1702AXXSOLB0000000000089306</t>
  </si>
  <si>
    <t>1702AXXSOLB0000000000088966</t>
  </si>
  <si>
    <t>1702AXXSOLB0000000000089158</t>
  </si>
  <si>
    <t>1702AXXSOLB0000000000089240</t>
  </si>
  <si>
    <t>1702AXXSOLB0000000000087373</t>
  </si>
  <si>
    <t>1702AXXSOLB0000000000087042</t>
  </si>
  <si>
    <t>1702AXXSOLB0000000000087444</t>
  </si>
  <si>
    <t>1702AXXSOLB0000000000087478</t>
  </si>
  <si>
    <t>1702AXXSOLB0000000000087006</t>
  </si>
  <si>
    <t>1702AXXSOLB0000000000087490</t>
  </si>
  <si>
    <t>1702AXXSOLB0000000000086935</t>
  </si>
  <si>
    <t>1702AXXSOLB0000000000087302</t>
  </si>
  <si>
    <t>1702AXXSOLB0000000000087452</t>
  </si>
  <si>
    <t>1702AXXSOLB0000000000086928</t>
  </si>
  <si>
    <t>1702AXXSOLB0000000000087140</t>
  </si>
  <si>
    <t>1702AXXSOLB0000000000087523</t>
  </si>
  <si>
    <t>1702AXXSOLB0000000000087424</t>
  </si>
  <si>
    <t>1702AXXSOLB0000000000087061.01</t>
  </si>
  <si>
    <t>1702AXXSOLB0000000000087248.01</t>
  </si>
  <si>
    <t>1702AXXSOLB0000000000087276</t>
  </si>
  <si>
    <t>1702AXXSOLB0000000000087447</t>
  </si>
  <si>
    <t>1702AXXSOLB0000000000087591</t>
  </si>
  <si>
    <t>1702AXXSOLB0000000000086872</t>
  </si>
  <si>
    <t>1702AXXSOLB0000000000087543</t>
  </si>
  <si>
    <t>1702AXXSOLB0000000000086934</t>
  </si>
  <si>
    <t>1702AXXSOLB0000000000086996</t>
  </si>
  <si>
    <t>1702AXXSOLB0000000000087061.02</t>
  </si>
  <si>
    <t>1702AXXSOLB0000000000087022.01</t>
  </si>
  <si>
    <t>1702AXXSOLB0000000000087044.02</t>
  </si>
  <si>
    <t>1702AXXSOLB0000000000087022.02</t>
  </si>
  <si>
    <t>1702AXXSOLB0000000000086851</t>
  </si>
  <si>
    <t>1702AXXSOLB0000000000087227.02</t>
  </si>
  <si>
    <t>1702AXXSOLB0000000000087092</t>
  </si>
  <si>
    <t>1702AXXSOLB0000000000087189</t>
  </si>
  <si>
    <t>1702AXXSOLB0000000000086876</t>
  </si>
  <si>
    <t>1702AXXSOLB0000000000087015</t>
  </si>
  <si>
    <t>1702AXXSOLB0000000000087227.01</t>
  </si>
  <si>
    <t>1702AXXSOLB0000000000087366.01</t>
  </si>
  <si>
    <t>1702AXXSOLB0000000000087179.02</t>
  </si>
  <si>
    <t>1702AXXSOLB0000000000086930</t>
  </si>
  <si>
    <t>1702AXXSOLB0000000000087457</t>
  </si>
  <si>
    <t>1702AXXSOLB0000000000087534.01</t>
  </si>
  <si>
    <t>1702AXXSOLB0000000000087179.01</t>
  </si>
  <si>
    <t>1702AXXSOLB0000000000086937.02</t>
  </si>
  <si>
    <t>1702AXXSOLB0000000000087366.02</t>
  </si>
  <si>
    <t>1702AXXSOLB0000000000087534.02</t>
  </si>
  <si>
    <t>1702AXXSOLB0000000000087216</t>
  </si>
  <si>
    <t>1702AXXSOLB0000000000087511</t>
  </si>
  <si>
    <t>1702AXXSOLB0000000000087139</t>
  </si>
  <si>
    <t>1702AXXSOLB0000000000087458.02</t>
  </si>
  <si>
    <t>1702AXXSOLB0000000000087248.02</t>
  </si>
  <si>
    <t>1702AXXSOLB0000000000086826</t>
  </si>
  <si>
    <t>1702AXXSOLB0000000000086860</t>
  </si>
  <si>
    <t>1702AXXSOLB0000000000087028</t>
  </si>
  <si>
    <t>1702AXXSOLB0000000000087272</t>
  </si>
  <si>
    <t>1702AXXSOLB0000000000087191</t>
  </si>
  <si>
    <t>1702AXXSOLB0000000000087044.01</t>
  </si>
  <si>
    <t>1702AXXSOLB0000000000086842.01</t>
  </si>
  <si>
    <t>1702AXXSOLB0000000000087544.01</t>
  </si>
  <si>
    <t>1702AXXSOLB0000000000086842.02</t>
  </si>
  <si>
    <t>1702AXXSOLB0000000000087544.02</t>
  </si>
  <si>
    <t>1702AXXSOLB0000000000087193</t>
  </si>
  <si>
    <t>1702AXXSOLB0000000000087223</t>
  </si>
  <si>
    <t>1702AXXSOLB0000000000087546</t>
  </si>
  <si>
    <t>1702AXXSOLB0000000000087417</t>
  </si>
  <si>
    <t>1702AXXSOLB0000000000087428</t>
  </si>
  <si>
    <t>1702AXXSOLB0000000000087427</t>
  </si>
  <si>
    <t>1702AXXSOLB0000000000086828</t>
  </si>
  <si>
    <t>1702AXXSOLB0000000000086873</t>
  </si>
  <si>
    <t>1702AXXSOLB0000000000087032</t>
  </si>
  <si>
    <t>1702AXXSOLB0000000000087512</t>
  </si>
  <si>
    <t>1702AXXSOLB0000000000086849</t>
  </si>
  <si>
    <t>1702AXXSOLB0000000000087017</t>
  </si>
  <si>
    <t>1702AXXSOLB0000000000086834</t>
  </si>
  <si>
    <t>1702AXXSOLB0000000000087196</t>
  </si>
  <si>
    <t>1702AXXSOLB0000000000086985</t>
  </si>
  <si>
    <t>1702AXXSOLB0000000000086937.01</t>
  </si>
  <si>
    <t>1702AXXSOLB0000000000086923</t>
  </si>
  <si>
    <t>1702AXXSOLB0000000000086940</t>
  </si>
  <si>
    <t>1702AXXSOLB0000000000087122</t>
  </si>
  <si>
    <t>1702AXXSOLB0000000000087471</t>
  </si>
  <si>
    <t>1702AXXSOLB0000000000087415</t>
  </si>
  <si>
    <t>1702AXXSOLB0000000000087188</t>
  </si>
  <si>
    <t>1702AXXSOLB0000000000086936</t>
  </si>
  <si>
    <t>1702AXXSOLB0000000000088489</t>
  </si>
  <si>
    <t>1702AXXSOLB0000000000089352</t>
  </si>
  <si>
    <t>1702AXXSOLB0000000000089089</t>
  </si>
  <si>
    <t>1702AXXSOLB0000000000089576</t>
  </si>
  <si>
    <t>1702AXXSOLB0000000000089178</t>
  </si>
  <si>
    <t>1702AXXSOLB0000000000088978.02</t>
  </si>
  <si>
    <t>1702AXXSOLB0000000000089202</t>
  </si>
  <si>
    <t>1702AXXSOLB0000000000088978.01</t>
  </si>
  <si>
    <t>1702AXXSOLB0000000000089609</t>
  </si>
  <si>
    <t>1702AXXSOLB0000000000089597.02</t>
  </si>
  <si>
    <t>1702AXXSOLB0000000000089552</t>
  </si>
  <si>
    <t>1702AXXSOLB0000000000089597.01</t>
  </si>
  <si>
    <t>1702AXXSOLB0000000000089179</t>
  </si>
  <si>
    <t>1702AXXSOLB0000000000089236</t>
  </si>
  <si>
    <t>1702AXXSOLB0000000000089279</t>
  </si>
  <si>
    <t>1702AXXSOLB0000000000088955</t>
  </si>
  <si>
    <t>1702AXXSOLB0000000000088938</t>
  </si>
  <si>
    <t>1702AXXSOLB0000000000089052.01</t>
  </si>
  <si>
    <t>1702AXXSOLB0000000000088924</t>
  </si>
  <si>
    <t>1702AXXSOLB0000000000089232</t>
  </si>
  <si>
    <t>1702AXXSOLB0000000000089618.01</t>
  </si>
  <si>
    <t>1702AXXSOLB0000000000089618.02</t>
  </si>
  <si>
    <t>1702AXXSOLB0000000000089042</t>
  </si>
  <si>
    <t>1702AXXSOLB0000000000088906.01</t>
  </si>
  <si>
    <t>1702AXXSOLB0000000000088906.02</t>
  </si>
  <si>
    <t>1702AXXSOLB0000000000089407</t>
  </si>
  <si>
    <t>1702AXXSOLB0000000000089018</t>
  </si>
  <si>
    <t>1702AXXSOLB0000000000089595</t>
  </si>
  <si>
    <t>1702AXXSOLB0000000000089586.02</t>
  </si>
  <si>
    <t>1702AXXSOLB0000000000089586.01</t>
  </si>
  <si>
    <t>1702AXXSOLB0000000000089093</t>
  </si>
  <si>
    <t>1702AXXSOLB0000000000089091</t>
  </si>
  <si>
    <t>1702AXXSOLB0000000000088916</t>
  </si>
  <si>
    <t>1702AXXSOLB0000000000089230</t>
  </si>
  <si>
    <t>1702AXXSOLB0000000000088910</t>
  </si>
  <si>
    <t>1702AXXSOLB0000000000089056</t>
  </si>
  <si>
    <t>1702AXXSOLB0000000000088990</t>
  </si>
  <si>
    <t>1702AXXSOLB0000000000089557.02</t>
  </si>
  <si>
    <t>1702AXXSOLB0000000000088964.01</t>
  </si>
  <si>
    <t>1702AXXSOLB0000000000089487</t>
  </si>
  <si>
    <t>Yarian P</t>
  </si>
  <si>
    <t>Bkt</t>
  </si>
  <si>
    <t>Baktianson</t>
  </si>
  <si>
    <t>Rdn</t>
  </si>
  <si>
    <t>Rudian</t>
  </si>
  <si>
    <t>Uck</t>
  </si>
  <si>
    <t>Ranoto</t>
  </si>
  <si>
    <t>And</t>
  </si>
  <si>
    <t>Anda D</t>
  </si>
  <si>
    <t>Germon</t>
  </si>
  <si>
    <t>Gmn</t>
  </si>
  <si>
    <t>Andi</t>
  </si>
  <si>
    <t>Ebk</t>
  </si>
  <si>
    <t>Robert A</t>
  </si>
  <si>
    <t>Adi</t>
  </si>
  <si>
    <t>Adi P</t>
  </si>
  <si>
    <t>Kanesius</t>
  </si>
  <si>
    <t>Kuwat</t>
  </si>
  <si>
    <t>Jsp</t>
  </si>
  <si>
    <t>Jhosep P</t>
  </si>
  <si>
    <t>Hauling tgl 04-06-2025</t>
  </si>
  <si>
    <t>1702AXXSOLB0000000000088968</t>
  </si>
  <si>
    <t>1702AXXSOLB0000000000088578</t>
  </si>
  <si>
    <t>Adi Pratama</t>
  </si>
  <si>
    <t>Hauling tgl 05-06-2025</t>
  </si>
  <si>
    <t>Helly</t>
  </si>
  <si>
    <t>Anda Delan</t>
  </si>
  <si>
    <t>Rud</t>
  </si>
  <si>
    <t>Bak</t>
  </si>
  <si>
    <t>Don</t>
  </si>
  <si>
    <t>MERANTI</t>
  </si>
  <si>
    <t>Sep</t>
  </si>
  <si>
    <t>Yoseprianto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</si>
</sst>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 * #,##0_ ;_ * \-#,##0_ ;_ * &quot;-&quot;_ ;_ @_ "/>
    <numFmt numFmtId="167" formatCode="_ * #,##0.00_ ;_ * \-#,##0.00_ ;_ * &quot;-&quot;??_ ;_ @_ "/>
    <numFmt numFmtId="168" formatCode="_(* #,##0.00_);_(* \(#,##0.00\);_(* &quot;-&quot;_);_(@_)"/>
    <numFmt numFmtId="169" formatCode="_-* #,##0.00_-;\-* #,##0.00_-;_-* &quot;-&quot;_-;_-@_-"/>
  </numFmts>
  <fonts count="7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62"/>
      <name val="Calibri"/>
      <family val="2"/>
    </font>
    <font>
      <b/>
      <sz val="13"/>
      <color indexed="56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1"/>
    </font>
    <font>
      <b/>
      <sz val="15"/>
      <color indexed="56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2"/>
      <name val="Times New Roman"/>
      <family val="1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0"/>
      <name val="Times New Roman"/>
      <family val="1"/>
    </font>
    <font>
      <sz val="18"/>
      <name val="Calibri"/>
      <family val="2"/>
    </font>
    <font>
      <b/>
      <sz val="18"/>
      <name val="Calibri"/>
      <family val="2"/>
    </font>
    <font>
      <b/>
      <sz val="9"/>
      <color indexed="81"/>
      <name val="Tahoma"/>
      <family val="2"/>
    </font>
    <font>
      <b/>
      <sz val="16"/>
      <name val="Calibri"/>
      <family val="2"/>
    </font>
    <font>
      <b/>
      <sz val="16"/>
      <color theme="1"/>
      <name val="Calibri"/>
      <family val="2"/>
    </font>
    <font>
      <sz val="14"/>
      <name val="Calibri"/>
      <family val="2"/>
    </font>
    <font>
      <b/>
      <sz val="14"/>
      <name val="Calibri"/>
      <family val="2"/>
    </font>
    <font>
      <sz val="16"/>
      <name val="Calibri"/>
      <family val="2"/>
    </font>
    <font>
      <b/>
      <sz val="12"/>
      <name val="Calibri"/>
      <family val="2"/>
    </font>
    <font>
      <sz val="11"/>
      <name val="Calibri"/>
      <family val="2"/>
      <scheme val="minor"/>
    </font>
    <font>
      <b/>
      <sz val="22"/>
      <name val="Calibri"/>
      <family val="2"/>
    </font>
    <font>
      <sz val="12"/>
      <name val="Calibri"/>
      <family val="2"/>
    </font>
    <font>
      <b/>
      <sz val="10"/>
      <name val="Calibri"/>
      <family val="2"/>
    </font>
    <font>
      <b/>
      <sz val="20"/>
      <name val="Calibri"/>
      <family val="2"/>
    </font>
    <font>
      <b/>
      <sz val="16"/>
      <color rgb="FFFF0000"/>
      <name val="Calibri"/>
      <family val="2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8"/>
      <color rgb="FFFF0000"/>
      <name val="Calibri"/>
      <family val="2"/>
    </font>
    <font>
      <sz val="8"/>
      <color theme="1"/>
      <name val="Calibri"/>
      <family val="2"/>
      <scheme val="minor"/>
    </font>
    <font>
      <sz val="48"/>
      <name val="Calibri"/>
      <family val="2"/>
    </font>
    <font>
      <b/>
      <sz val="16"/>
      <color theme="0"/>
      <name val="Calibri"/>
      <family val="2"/>
    </font>
    <font>
      <sz val="16"/>
      <color theme="0"/>
      <name val="Calibri"/>
      <family val="2"/>
    </font>
  </fonts>
  <fills count="5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779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19" fillId="0" borderId="0" applyProtection="0"/>
    <xf numFmtId="164" fontId="19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9" fillId="0" borderId="0" applyFont="0" applyFill="0" applyBorder="0" applyAlignment="0" applyProtection="0">
      <alignment vertical="center"/>
    </xf>
    <xf numFmtId="0" fontId="20" fillId="0" borderId="0"/>
    <xf numFmtId="0" fontId="20" fillId="0" borderId="0" applyProtection="0"/>
    <xf numFmtId="0" fontId="19" fillId="0" borderId="0"/>
    <xf numFmtId="0" fontId="20" fillId="0" borderId="0" applyProtection="0"/>
    <xf numFmtId="0" fontId="18" fillId="0" borderId="0"/>
    <xf numFmtId="0" fontId="19" fillId="0" borderId="0" applyProtection="0"/>
    <xf numFmtId="0" fontId="2" fillId="0" borderId="0" applyNumberFormat="0" applyFill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8" borderId="0" applyNumberFormat="0" applyBorder="0" applyAlignment="0" applyProtection="0"/>
    <xf numFmtId="0" fontId="19" fillId="42" borderId="0" applyNumberFormat="0" applyBorder="0" applyAlignment="0" applyProtection="0"/>
    <xf numFmtId="0" fontId="19" fillId="41" borderId="0" applyNumberFormat="0" applyBorder="0" applyAlignment="0" applyProtection="0"/>
    <xf numFmtId="0" fontId="19" fillId="40" borderId="0" applyNumberFormat="0" applyBorder="0" applyAlignment="0" applyProtection="0"/>
    <xf numFmtId="0" fontId="19" fillId="39" borderId="0" applyNumberFormat="0" applyBorder="0" applyAlignment="0" applyProtection="0"/>
    <xf numFmtId="0" fontId="19" fillId="38" borderId="0" applyNumberFormat="0" applyBorder="0" applyAlignment="0" applyProtection="0"/>
    <xf numFmtId="0" fontId="19" fillId="33" borderId="0" applyNumberFormat="0" applyBorder="0" applyAlignment="0" applyProtection="0"/>
    <xf numFmtId="0" fontId="19" fillId="37" borderId="0" applyNumberFormat="0" applyBorder="0" applyAlignment="0" applyProtection="0"/>
    <xf numFmtId="0" fontId="19" fillId="36" borderId="0" applyNumberFormat="0" applyBorder="0" applyAlignment="0" applyProtection="0"/>
    <xf numFmtId="0" fontId="19" fillId="0" borderId="0"/>
    <xf numFmtId="0" fontId="19" fillId="43" borderId="0" applyNumberFormat="0" applyBorder="0" applyAlignment="0" applyProtection="0"/>
    <xf numFmtId="0" fontId="21" fillId="44" borderId="0" applyNumberFormat="0" applyBorder="0" applyAlignment="0" applyProtection="0"/>
    <xf numFmtId="0" fontId="21" fillId="41" borderId="0" applyNumberFormat="0" applyBorder="0" applyAlignment="0" applyProtection="0"/>
    <xf numFmtId="0" fontId="21" fillId="42" borderId="0" applyNumberFormat="0" applyBorder="0" applyAlignment="0" applyProtection="0"/>
    <xf numFmtId="0" fontId="21" fillId="45" borderId="0" applyNumberFormat="0" applyBorder="0" applyAlignment="0" applyProtection="0"/>
    <xf numFmtId="0" fontId="21" fillId="46" borderId="0" applyNumberFormat="0" applyBorder="0" applyAlignment="0" applyProtection="0"/>
    <xf numFmtId="0" fontId="21" fillId="47" borderId="0" applyNumberFormat="0" applyBorder="0" applyAlignment="0" applyProtection="0"/>
    <xf numFmtId="0" fontId="21" fillId="48" borderId="0" applyNumberFormat="0" applyBorder="0" applyAlignment="0" applyProtection="0"/>
    <xf numFmtId="0" fontId="21" fillId="49" borderId="0" applyNumberFormat="0" applyBorder="0" applyAlignment="0" applyProtection="0"/>
    <xf numFmtId="0" fontId="21" fillId="50" borderId="0" applyNumberFormat="0" applyBorder="0" applyAlignment="0" applyProtection="0"/>
    <xf numFmtId="0" fontId="21" fillId="45" borderId="0" applyNumberFormat="0" applyBorder="0" applyAlignment="0" applyProtection="0"/>
    <xf numFmtId="0" fontId="21" fillId="46" borderId="0" applyNumberFormat="0" applyBorder="0" applyAlignment="0" applyProtection="0"/>
    <xf numFmtId="0" fontId="21" fillId="51" borderId="0" applyNumberFormat="0" applyBorder="0" applyAlignment="0" applyProtection="0"/>
    <xf numFmtId="0" fontId="27" fillId="37" borderId="0" applyNumberFormat="0" applyBorder="0" applyAlignment="0" applyProtection="0"/>
    <xf numFmtId="0" fontId="23" fillId="52" borderId="10" applyNumberFormat="0" applyAlignment="0" applyProtection="0"/>
    <xf numFmtId="0" fontId="22" fillId="53" borderId="11" applyNumberFormat="0" applyAlignment="0" applyProtection="0"/>
    <xf numFmtId="165" fontId="19" fillId="0" borderId="0" applyProtection="0"/>
    <xf numFmtId="166" fontId="1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/>
    <xf numFmtId="0" fontId="34" fillId="33" borderId="0" applyNumberFormat="0" applyBorder="0" applyAlignment="0" applyProtection="0"/>
    <xf numFmtId="0" fontId="33" fillId="0" borderId="12" applyNumberFormat="0" applyFill="0" applyAlignment="0" applyProtection="0"/>
    <xf numFmtId="0" fontId="29" fillId="0" borderId="13" applyNumberFormat="0" applyFill="0" applyAlignment="0" applyProtection="0"/>
    <xf numFmtId="0" fontId="24" fillId="0" borderId="14" applyNumberFormat="0" applyFill="0" applyAlignment="0" applyProtection="0"/>
    <xf numFmtId="0" fontId="24" fillId="0" borderId="0" applyNumberFormat="0" applyFill="0" applyBorder="0" applyAlignment="0" applyProtection="0"/>
    <xf numFmtId="0" fontId="28" fillId="40" borderId="10" applyNumberFormat="0" applyAlignment="0" applyProtection="0"/>
    <xf numFmtId="0" fontId="26" fillId="0" borderId="15" applyNumberFormat="0" applyFill="0" applyAlignment="0" applyProtection="0"/>
    <xf numFmtId="0" fontId="25" fillId="35" borderId="0" applyNumberFormat="0" applyBorder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2" fillId="0" borderId="0" applyNumberFormat="0" applyFill="0" applyBorder="0" applyAlignment="0" applyProtection="0"/>
    <xf numFmtId="0" fontId="36" fillId="0" borderId="18" applyNumberFormat="0" applyFill="0" applyAlignment="0" applyProtection="0"/>
    <xf numFmtId="0" fontId="31" fillId="0" borderId="0" applyNumberFormat="0" applyFill="0" applyBorder="0" applyAlignment="0" applyProtection="0"/>
    <xf numFmtId="165" fontId="19" fillId="0" borderId="0" applyProtection="0"/>
    <xf numFmtId="165" fontId="19" fillId="0" borderId="0" applyProtection="0"/>
    <xf numFmtId="165" fontId="19" fillId="0" borderId="0" applyProtection="0"/>
    <xf numFmtId="165" fontId="19" fillId="0" borderId="0" applyProtection="0"/>
    <xf numFmtId="0" fontId="19" fillId="0" borderId="0"/>
    <xf numFmtId="0" fontId="19" fillId="0" borderId="0"/>
    <xf numFmtId="0" fontId="19" fillId="0" borderId="0"/>
    <xf numFmtId="0" fontId="8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165" fontId="20" fillId="0" borderId="0" applyFont="0" applyFill="0" applyBorder="0" applyAlignment="0" applyProtection="0"/>
    <xf numFmtId="0" fontId="1" fillId="0" borderId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19" fillId="0" borderId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8" fillId="40" borderId="10" applyNumberFormat="0" applyAlignment="0" applyProtection="0"/>
    <xf numFmtId="0" fontId="23" fillId="52" borderId="10" applyNumberFormat="0" applyAlignment="0" applyProtection="0"/>
    <xf numFmtId="0" fontId="35" fillId="52" borderId="17" applyNumberFormat="0" applyAlignment="0" applyProtection="0"/>
    <xf numFmtId="0" fontId="19" fillId="54" borderId="16" applyNumberFormat="0" applyFon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19" fillId="0" borderId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17" fillId="20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16" borderId="0" applyNumberFormat="0" applyBorder="0" applyAlignment="0" applyProtection="0"/>
    <xf numFmtId="0" fontId="6" fillId="2" borderId="0" applyNumberFormat="0" applyBorder="0" applyAlignment="0" applyProtection="0"/>
    <xf numFmtId="0" fontId="17" fillId="9" borderId="0" applyNumberFormat="0" applyBorder="0" applyAlignment="0" applyProtection="0"/>
    <xf numFmtId="0" fontId="5" fillId="0" borderId="3" applyNumberFormat="0" applyFill="0" applyAlignment="0" applyProtection="0"/>
    <xf numFmtId="0" fontId="16" fillId="0" borderId="9" applyNumberFormat="0" applyFill="0" applyAlignment="0" applyProtection="0"/>
    <xf numFmtId="165" fontId="1" fillId="0" borderId="0" applyFont="0" applyFill="0" applyBorder="0" applyAlignment="0" applyProtection="0"/>
    <xf numFmtId="0" fontId="1" fillId="10" borderId="0" applyNumberFormat="0" applyBorder="0" applyAlignment="0" applyProtection="0"/>
    <xf numFmtId="0" fontId="17" fillId="29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8" borderId="0" applyNumberFormat="0" applyBorder="0" applyAlignment="0" applyProtection="0"/>
    <xf numFmtId="0" fontId="11" fillId="6" borderId="4" applyNumberFormat="0" applyAlignment="0" applyProtection="0"/>
    <xf numFmtId="0" fontId="10" fillId="6" borderId="5" applyNumberFormat="0" applyAlignment="0" applyProtection="0"/>
    <xf numFmtId="0" fontId="8" fillId="4" borderId="0" applyNumberFormat="0" applyBorder="0" applyAlignment="0" applyProtection="0"/>
    <xf numFmtId="0" fontId="5" fillId="0" borderId="0" applyNumberFormat="0" applyFill="0" applyBorder="0" applyAlignment="0" applyProtection="0"/>
    <xf numFmtId="0" fontId="1" fillId="15" borderId="0" applyNumberFormat="0" applyBorder="0" applyAlignment="0" applyProtection="0"/>
    <xf numFmtId="0" fontId="17" fillId="32" borderId="0" applyNumberFormat="0" applyBorder="0" applyAlignment="0" applyProtection="0"/>
    <xf numFmtId="0" fontId="17" fillId="24" borderId="0" applyNumberFormat="0" applyBorder="0" applyAlignment="0" applyProtection="0"/>
    <xf numFmtId="0" fontId="1" fillId="30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" fillId="11" borderId="0" applyNumberFormat="0" applyBorder="0" applyAlignment="0" applyProtection="0"/>
    <xf numFmtId="0" fontId="3" fillId="0" borderId="1" applyNumberFormat="0" applyFill="0" applyAlignment="0" applyProtection="0"/>
    <xf numFmtId="0" fontId="1" fillId="26" borderId="0" applyNumberFormat="0" applyBorder="0" applyAlignment="0" applyProtection="0"/>
    <xf numFmtId="0" fontId="17" fillId="28" borderId="0" applyNumberFormat="0" applyBorder="0" applyAlignment="0" applyProtection="0"/>
    <xf numFmtId="0" fontId="23" fillId="52" borderId="10" applyNumberFormat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4" fillId="0" borderId="2" applyNumberFormat="0" applyFill="0" applyAlignment="0" applyProtection="0"/>
    <xf numFmtId="0" fontId="1" fillId="0" borderId="0"/>
    <xf numFmtId="0" fontId="17" fillId="13" borderId="0" applyNumberFormat="0" applyBorder="0" applyAlignment="0" applyProtection="0"/>
    <xf numFmtId="0" fontId="7" fillId="3" borderId="0" applyNumberFormat="0" applyBorder="0" applyAlignment="0" applyProtection="0"/>
    <xf numFmtId="0" fontId="1" fillId="27" borderId="0" applyNumberFormat="0" applyBorder="0" applyAlignment="0" applyProtection="0"/>
    <xf numFmtId="0" fontId="17" fillId="25" borderId="0" applyNumberFormat="0" applyBorder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8" fillId="40" borderId="10" applyNumberFormat="0" applyAlignment="0" applyProtection="0"/>
    <xf numFmtId="0" fontId="23" fillId="52" borderId="10" applyNumberFormat="0" applyAlignment="0" applyProtection="0"/>
    <xf numFmtId="0" fontId="35" fillId="52" borderId="17" applyNumberFormat="0" applyAlignment="0" applyProtection="0"/>
    <xf numFmtId="0" fontId="19" fillId="54" borderId="16" applyNumberFormat="0" applyFon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17" fillId="12" borderId="0" applyNumberFormat="0" applyBorder="0" applyAlignment="0" applyProtection="0"/>
    <xf numFmtId="0" fontId="9" fillId="5" borderId="4" applyNumberFormat="0" applyAlignment="0" applyProtection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8" fillId="40" borderId="10" applyNumberFormat="0" applyAlignment="0" applyProtection="0"/>
    <xf numFmtId="0" fontId="23" fillId="52" borderId="10" applyNumberFormat="0" applyAlignment="0" applyProtection="0"/>
    <xf numFmtId="0" fontId="35" fillId="52" borderId="17" applyNumberFormat="0" applyAlignment="0" applyProtection="0"/>
    <xf numFmtId="0" fontId="19" fillId="54" borderId="16" applyNumberFormat="0" applyFon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8" fillId="40" borderId="10" applyNumberFormat="0" applyAlignment="0" applyProtection="0"/>
    <xf numFmtId="0" fontId="23" fillId="52" borderId="10" applyNumberFormat="0" applyAlignment="0" applyProtection="0"/>
    <xf numFmtId="0" fontId="35" fillId="52" borderId="17" applyNumberFormat="0" applyAlignment="0" applyProtection="0"/>
    <xf numFmtId="0" fontId="19" fillId="54" borderId="16" applyNumberFormat="0" applyFon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8" fillId="40" borderId="10" applyNumberFormat="0" applyAlignment="0" applyProtection="0"/>
    <xf numFmtId="0" fontId="23" fillId="52" borderId="10" applyNumberFormat="0" applyAlignment="0" applyProtection="0"/>
    <xf numFmtId="0" fontId="35" fillId="52" borderId="17" applyNumberFormat="0" applyAlignment="0" applyProtection="0"/>
    <xf numFmtId="0" fontId="19" fillId="54" borderId="16" applyNumberFormat="0" applyFon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8" fillId="40" borderId="10" applyNumberFormat="0" applyAlignment="0" applyProtection="0"/>
    <xf numFmtId="0" fontId="23" fillId="52" borderId="10" applyNumberFormat="0" applyAlignment="0" applyProtection="0"/>
    <xf numFmtId="0" fontId="35" fillId="52" borderId="17" applyNumberFormat="0" applyAlignment="0" applyProtection="0"/>
    <xf numFmtId="0" fontId="19" fillId="54" borderId="16" applyNumberFormat="0" applyFon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28" fillId="40" borderId="10" applyNumberFormat="0" applyAlignment="0" applyProtection="0"/>
    <xf numFmtId="0" fontId="23" fillId="52" borderId="10" applyNumberFormat="0" applyAlignment="0" applyProtection="0"/>
    <xf numFmtId="0" fontId="19" fillId="54" borderId="16" applyNumberFormat="0" applyFont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36" fillId="0" borderId="18" applyNumberFormat="0" applyFill="0" applyAlignment="0" applyProtection="0"/>
    <xf numFmtId="0" fontId="19" fillId="54" borderId="16" applyNumberFormat="0" applyFont="0" applyAlignment="0" applyProtection="0"/>
    <xf numFmtId="0" fontId="23" fillId="52" borderId="10" applyNumberFormat="0" applyAlignment="0" applyProtection="0"/>
    <xf numFmtId="0" fontId="35" fillId="52" borderId="17" applyNumberForma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8" fillId="40" borderId="10" applyNumberFormat="0" applyAlignment="0" applyProtection="0"/>
    <xf numFmtId="0" fontId="35" fillId="52" borderId="17" applyNumberFormat="0" applyAlignment="0" applyProtection="0"/>
    <xf numFmtId="0" fontId="19" fillId="54" borderId="16" applyNumberFormat="0" applyFont="0" applyAlignment="0" applyProtection="0"/>
    <xf numFmtId="0" fontId="23" fillId="52" borderId="10" applyNumberFormat="0" applyAlignment="0" applyProtection="0"/>
    <xf numFmtId="0" fontId="36" fillId="0" borderId="18" applyNumberFormat="0" applyFill="0" applyAlignment="0" applyProtection="0"/>
    <xf numFmtId="0" fontId="35" fillId="52" borderId="17" applyNumberFormat="0" applyAlignment="0" applyProtection="0"/>
    <xf numFmtId="0" fontId="28" fillId="40" borderId="10" applyNumberFormat="0" applyAlignment="0" applyProtection="0"/>
    <xf numFmtId="0" fontId="23" fillId="52" borderId="10" applyNumberFormat="0" applyAlignment="0" applyProtection="0"/>
    <xf numFmtId="0" fontId="35" fillId="52" borderId="17" applyNumberFormat="0" applyAlignment="0" applyProtection="0"/>
    <xf numFmtId="0" fontId="19" fillId="54" borderId="16" applyNumberFormat="0" applyFont="0" applyAlignment="0" applyProtection="0"/>
    <xf numFmtId="0" fontId="23" fillId="52" borderId="10" applyNumberFormat="0" applyAlignment="0" applyProtection="0"/>
    <xf numFmtId="0" fontId="36" fillId="0" borderId="18" applyNumberFormat="0" applyFill="0" applyAlignment="0" applyProtection="0"/>
    <xf numFmtId="0" fontId="35" fillId="52" borderId="17" applyNumberFormat="0" applyAlignment="0" applyProtection="0"/>
    <xf numFmtId="0" fontId="28" fillId="40" borderId="10" applyNumberFormat="0" applyAlignment="0" applyProtection="0"/>
    <xf numFmtId="0" fontId="36" fillId="0" borderId="18" applyNumberFormat="0" applyFill="0" applyAlignment="0" applyProtection="0"/>
    <xf numFmtId="0" fontId="28" fillId="40" borderId="10" applyNumberFormat="0" applyAlignment="0" applyProtection="0"/>
    <xf numFmtId="0" fontId="35" fillId="52" borderId="17" applyNumberFormat="0" applyAlignment="0" applyProtection="0"/>
    <xf numFmtId="0" fontId="28" fillId="40" borderId="10" applyNumberFormat="0" applyAlignment="0" applyProtection="0"/>
    <xf numFmtId="0" fontId="36" fillId="0" borderId="18" applyNumberFormat="0" applyFill="0" applyAlignment="0" applyProtection="0"/>
    <xf numFmtId="0" fontId="19" fillId="54" borderId="16" applyNumberFormat="0" applyFont="0" applyAlignment="0" applyProtection="0"/>
    <xf numFmtId="0" fontId="19" fillId="54" borderId="16" applyNumberFormat="0" applyFont="0" applyAlignment="0" applyProtection="0"/>
    <xf numFmtId="0" fontId="19" fillId="54" borderId="16" applyNumberFormat="0" applyFont="0" applyAlignment="0" applyProtection="0"/>
    <xf numFmtId="0" fontId="23" fillId="52" borderId="10" applyNumberFormat="0" applyAlignment="0" applyProtection="0"/>
    <xf numFmtId="0" fontId="35" fillId="52" borderId="17" applyNumberFormat="0" applyAlignment="0" applyProtection="0"/>
    <xf numFmtId="0" fontId="28" fillId="40" borderId="10" applyNumberFormat="0" applyAlignment="0" applyProtection="0"/>
    <xf numFmtId="0" fontId="23" fillId="52" borderId="10" applyNumberFormat="0" applyAlignment="0" applyProtection="0"/>
    <xf numFmtId="0" fontId="19" fillId="54" borderId="16" applyNumberFormat="0" applyFont="0" applyAlignment="0" applyProtection="0"/>
    <xf numFmtId="0" fontId="23" fillId="52" borderId="10" applyNumberFormat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8" fillId="40" borderId="10" applyNumberFormat="0" applyAlignment="0" applyProtection="0"/>
    <xf numFmtId="0" fontId="23" fillId="52" borderId="10" applyNumberFormat="0" applyAlignment="0" applyProtection="0"/>
    <xf numFmtId="0" fontId="35" fillId="52" borderId="17" applyNumberFormat="0" applyAlignment="0" applyProtection="0"/>
    <xf numFmtId="0" fontId="19" fillId="54" borderId="16" applyNumberFormat="0" applyFon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23" fillId="52" borderId="10" applyNumberFormat="0" applyAlignment="0" applyProtection="0"/>
    <xf numFmtId="0" fontId="36" fillId="0" borderId="18" applyNumberFormat="0" applyFill="0" applyAlignment="0" applyProtection="0"/>
    <xf numFmtId="0" fontId="35" fillId="52" borderId="17" applyNumberFormat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28" fillId="40" borderId="10" applyNumberFormat="0" applyAlignment="0" applyProtection="0"/>
    <xf numFmtId="0" fontId="28" fillId="40" borderId="10" applyNumberFormat="0" applyAlignment="0" applyProtection="0"/>
    <xf numFmtId="0" fontId="36" fillId="0" borderId="18" applyNumberFormat="0" applyFill="0" applyAlignment="0" applyProtection="0"/>
    <xf numFmtId="0" fontId="19" fillId="54" borderId="16" applyNumberFormat="0" applyFon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3" fillId="52" borderId="10" applyNumberFormat="0" applyAlignment="0" applyProtection="0"/>
    <xf numFmtId="0" fontId="35" fillId="52" borderId="17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8" fillId="40" borderId="10" applyNumberFormat="0" applyAlignment="0" applyProtection="0"/>
    <xf numFmtId="0" fontId="23" fillId="52" borderId="10" applyNumberFormat="0" applyAlignment="0" applyProtection="0"/>
    <xf numFmtId="0" fontId="35" fillId="52" borderId="17" applyNumberFormat="0" applyAlignment="0" applyProtection="0"/>
    <xf numFmtId="0" fontId="19" fillId="54" borderId="16" applyNumberFormat="0" applyFon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35" fillId="52" borderId="17" applyNumberFormat="0" applyAlignment="0" applyProtection="0"/>
    <xf numFmtId="0" fontId="19" fillId="54" borderId="16" applyNumberFormat="0" applyFont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8" fillId="40" borderId="10" applyNumberFormat="0" applyAlignment="0" applyProtection="0"/>
    <xf numFmtId="0" fontId="23" fillId="52" borderId="10" applyNumberFormat="0" applyAlignment="0" applyProtection="0"/>
    <xf numFmtId="0" fontId="35" fillId="52" borderId="17" applyNumberFormat="0" applyAlignment="0" applyProtection="0"/>
    <xf numFmtId="0" fontId="19" fillId="54" borderId="16" applyNumberFormat="0" applyFon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8" fillId="40" borderId="10" applyNumberFormat="0" applyAlignment="0" applyProtection="0"/>
    <xf numFmtId="0" fontId="23" fillId="52" borderId="10" applyNumberFormat="0" applyAlignment="0" applyProtection="0"/>
    <xf numFmtId="0" fontId="35" fillId="52" borderId="17" applyNumberFormat="0" applyAlignment="0" applyProtection="0"/>
    <xf numFmtId="0" fontId="19" fillId="54" borderId="16" applyNumberFormat="0" applyFon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19" fillId="54" borderId="16" applyNumberFormat="0" applyFont="0" applyAlignment="0" applyProtection="0"/>
    <xf numFmtId="0" fontId="19" fillId="54" borderId="16" applyNumberFormat="0" applyFont="0" applyAlignment="0" applyProtection="0"/>
    <xf numFmtId="0" fontId="28" fillId="40" borderId="10" applyNumberFormat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8" fillId="40" borderId="10" applyNumberFormat="0" applyAlignment="0" applyProtection="0"/>
    <xf numFmtId="0" fontId="23" fillId="52" borderId="10" applyNumberFormat="0" applyAlignment="0" applyProtection="0"/>
    <xf numFmtId="0" fontId="35" fillId="52" borderId="17" applyNumberFormat="0" applyAlignment="0" applyProtection="0"/>
    <xf numFmtId="0" fontId="19" fillId="54" borderId="16" applyNumberFormat="0" applyFon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8" fillId="40" borderId="10" applyNumberFormat="0" applyAlignment="0" applyProtection="0"/>
    <xf numFmtId="0" fontId="23" fillId="52" borderId="10" applyNumberFormat="0" applyAlignment="0" applyProtection="0"/>
    <xf numFmtId="0" fontId="35" fillId="52" borderId="17" applyNumberFormat="0" applyAlignment="0" applyProtection="0"/>
    <xf numFmtId="0" fontId="19" fillId="54" borderId="16" applyNumberFormat="0" applyFon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8" fillId="40" borderId="10" applyNumberFormat="0" applyAlignment="0" applyProtection="0"/>
    <xf numFmtId="0" fontId="23" fillId="52" borderId="10" applyNumberFormat="0" applyAlignment="0" applyProtection="0"/>
    <xf numFmtId="0" fontId="35" fillId="52" borderId="17" applyNumberFormat="0" applyAlignment="0" applyProtection="0"/>
    <xf numFmtId="0" fontId="19" fillId="54" borderId="16" applyNumberFormat="0" applyFon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8" fillId="40" borderId="10" applyNumberFormat="0" applyAlignment="0" applyProtection="0"/>
    <xf numFmtId="0" fontId="36" fillId="0" borderId="18" applyNumberFormat="0" applyFill="0" applyAlignment="0" applyProtection="0"/>
    <xf numFmtId="0" fontId="28" fillId="40" borderId="10" applyNumberFormat="0" applyAlignment="0" applyProtection="0"/>
    <xf numFmtId="0" fontId="23" fillId="52" borderId="10" applyNumberFormat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35" fillId="52" borderId="17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19" fillId="54" borderId="16" applyNumberFormat="0" applyFont="0" applyAlignment="0" applyProtection="0"/>
    <xf numFmtId="0" fontId="23" fillId="52" borderId="10" applyNumberFormat="0" applyAlignment="0" applyProtection="0"/>
    <xf numFmtId="0" fontId="23" fillId="52" borderId="10" applyNumberFormat="0" applyAlignment="0" applyProtection="0"/>
    <xf numFmtId="0" fontId="23" fillId="52" borderId="10" applyNumberFormat="0" applyAlignment="0" applyProtection="0"/>
    <xf numFmtId="0" fontId="35" fillId="52" borderId="17" applyNumberFormat="0" applyAlignment="0" applyProtection="0"/>
    <xf numFmtId="0" fontId="35" fillId="52" borderId="17" applyNumberFormat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8" fillId="40" borderId="10" applyNumberFormat="0" applyAlignment="0" applyProtection="0"/>
    <xf numFmtId="0" fontId="23" fillId="52" borderId="10" applyNumberFormat="0" applyAlignment="0" applyProtection="0"/>
    <xf numFmtId="0" fontId="35" fillId="52" borderId="17" applyNumberFormat="0" applyAlignment="0" applyProtection="0"/>
    <xf numFmtId="0" fontId="19" fillId="54" borderId="16" applyNumberFormat="0" applyFon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19" fillId="54" borderId="16" applyNumberFormat="0" applyFont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8" fillId="40" borderId="10" applyNumberFormat="0" applyAlignment="0" applyProtection="0"/>
    <xf numFmtId="0" fontId="23" fillId="52" borderId="10" applyNumberFormat="0" applyAlignment="0" applyProtection="0"/>
    <xf numFmtId="0" fontId="35" fillId="52" borderId="17" applyNumberFormat="0" applyAlignment="0" applyProtection="0"/>
    <xf numFmtId="0" fontId="19" fillId="54" borderId="16" applyNumberFormat="0" applyFon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8" fillId="40" borderId="10" applyNumberFormat="0" applyAlignment="0" applyProtection="0"/>
    <xf numFmtId="0" fontId="23" fillId="52" borderId="10" applyNumberFormat="0" applyAlignment="0" applyProtection="0"/>
    <xf numFmtId="0" fontId="35" fillId="52" borderId="17" applyNumberFormat="0" applyAlignment="0" applyProtection="0"/>
    <xf numFmtId="0" fontId="19" fillId="54" borderId="16" applyNumberFormat="0" applyFon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8" fillId="40" borderId="10" applyNumberFormat="0" applyAlignment="0" applyProtection="0"/>
    <xf numFmtId="0" fontId="23" fillId="52" borderId="10" applyNumberFormat="0" applyAlignment="0" applyProtection="0"/>
    <xf numFmtId="0" fontId="35" fillId="52" borderId="17" applyNumberFormat="0" applyAlignment="0" applyProtection="0"/>
    <xf numFmtId="0" fontId="19" fillId="54" borderId="16" applyNumberFormat="0" applyFon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8" fillId="40" borderId="10" applyNumberFormat="0" applyAlignment="0" applyProtection="0"/>
    <xf numFmtId="0" fontId="23" fillId="52" borderId="10" applyNumberFormat="0" applyAlignment="0" applyProtection="0"/>
    <xf numFmtId="0" fontId="35" fillId="52" borderId="17" applyNumberFormat="0" applyAlignment="0" applyProtection="0"/>
    <xf numFmtId="0" fontId="19" fillId="54" borderId="16" applyNumberFormat="0" applyFon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8" fillId="40" borderId="10" applyNumberFormat="0" applyAlignment="0" applyProtection="0"/>
    <xf numFmtId="0" fontId="23" fillId="52" borderId="10" applyNumberFormat="0" applyAlignment="0" applyProtection="0"/>
    <xf numFmtId="0" fontId="35" fillId="52" borderId="17" applyNumberFormat="0" applyAlignment="0" applyProtection="0"/>
    <xf numFmtId="0" fontId="19" fillId="54" borderId="16" applyNumberFormat="0" applyFon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8" fillId="40" borderId="10" applyNumberFormat="0" applyAlignment="0" applyProtection="0"/>
    <xf numFmtId="0" fontId="23" fillId="52" borderId="10" applyNumberFormat="0" applyAlignment="0" applyProtection="0"/>
    <xf numFmtId="0" fontId="35" fillId="52" borderId="17" applyNumberFormat="0" applyAlignment="0" applyProtection="0"/>
    <xf numFmtId="0" fontId="19" fillId="54" borderId="16" applyNumberFormat="0" applyFon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8" fillId="40" borderId="10" applyNumberFormat="0" applyAlignment="0" applyProtection="0"/>
    <xf numFmtId="0" fontId="23" fillId="52" borderId="10" applyNumberFormat="0" applyAlignment="0" applyProtection="0"/>
    <xf numFmtId="0" fontId="35" fillId="52" borderId="17" applyNumberFormat="0" applyAlignment="0" applyProtection="0"/>
    <xf numFmtId="0" fontId="19" fillId="54" borderId="16" applyNumberFormat="0" applyFon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8" fillId="40" borderId="10" applyNumberFormat="0" applyAlignment="0" applyProtection="0"/>
    <xf numFmtId="0" fontId="23" fillId="52" borderId="10" applyNumberFormat="0" applyAlignment="0" applyProtection="0"/>
    <xf numFmtId="0" fontId="35" fillId="52" borderId="17" applyNumberFormat="0" applyAlignment="0" applyProtection="0"/>
    <xf numFmtId="0" fontId="19" fillId="54" borderId="16" applyNumberFormat="0" applyFon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8" fillId="40" borderId="10" applyNumberFormat="0" applyAlignment="0" applyProtection="0"/>
    <xf numFmtId="0" fontId="23" fillId="52" borderId="10" applyNumberFormat="0" applyAlignment="0" applyProtection="0"/>
    <xf numFmtId="0" fontId="35" fillId="52" borderId="17" applyNumberFormat="0" applyAlignment="0" applyProtection="0"/>
    <xf numFmtId="0" fontId="19" fillId="54" borderId="16" applyNumberFormat="0" applyFon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8" fillId="40" borderId="10" applyNumberFormat="0" applyAlignment="0" applyProtection="0"/>
    <xf numFmtId="0" fontId="23" fillId="52" borderId="10" applyNumberFormat="0" applyAlignment="0" applyProtection="0"/>
    <xf numFmtId="0" fontId="35" fillId="52" borderId="17" applyNumberFormat="0" applyAlignment="0" applyProtection="0"/>
    <xf numFmtId="0" fontId="19" fillId="54" borderId="16" applyNumberFormat="0" applyFon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23" fillId="52" borderId="10" applyNumberFormat="0" applyAlignment="0" applyProtection="0"/>
    <xf numFmtId="0" fontId="28" fillId="40" borderId="10" applyNumberFormat="0" applyAlignment="0" applyProtection="0"/>
    <xf numFmtId="0" fontId="19" fillId="54" borderId="16" applyNumberFormat="0" applyFont="0" applyAlignment="0" applyProtection="0"/>
    <xf numFmtId="0" fontId="35" fillId="52" borderId="17" applyNumberFormat="0" applyAlignment="0" applyProtection="0"/>
    <xf numFmtId="0" fontId="36" fillId="0" borderId="18" applyNumberFormat="0" applyFill="0" applyAlignment="0" applyProtection="0"/>
    <xf numFmtId="0" fontId="37" fillId="0" borderId="0">
      <alignment vertical="center"/>
    </xf>
    <xf numFmtId="167" fontId="37" fillId="0" borderId="0" applyFont="0" applyFill="0" applyBorder="0" applyAlignment="0" applyProtection="0">
      <alignment vertical="center"/>
    </xf>
    <xf numFmtId="167" fontId="37" fillId="0" borderId="0" applyFont="0" applyFill="0" applyBorder="0" applyAlignment="0" applyProtection="0">
      <alignment vertical="center"/>
    </xf>
    <xf numFmtId="167" fontId="37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/>
    <xf numFmtId="0" fontId="39" fillId="0" borderId="1" applyNumberFormat="0" applyFill="0" applyAlignment="0" applyProtection="0"/>
    <xf numFmtId="0" fontId="40" fillId="0" borderId="2" applyNumberFormat="0" applyFill="0" applyAlignment="0" applyProtection="0"/>
    <xf numFmtId="0" fontId="41" fillId="0" borderId="3" applyNumberFormat="0" applyFill="0" applyAlignment="0" applyProtection="0"/>
    <xf numFmtId="0" fontId="41" fillId="0" borderId="0" applyNumberFormat="0" applyFill="0" applyBorder="0" applyAlignment="0" applyProtection="0"/>
    <xf numFmtId="0" fontId="42" fillId="2" borderId="0" applyNumberFormat="0" applyBorder="0" applyAlignment="0" applyProtection="0"/>
    <xf numFmtId="0" fontId="43" fillId="3" borderId="0" applyNumberFormat="0" applyBorder="0" applyAlignment="0" applyProtection="0"/>
    <xf numFmtId="0" fontId="44" fillId="4" borderId="0" applyNumberFormat="0" applyBorder="0" applyAlignment="0" applyProtection="0"/>
    <xf numFmtId="0" fontId="45" fillId="5" borderId="4" applyNumberFormat="0" applyAlignment="0" applyProtection="0"/>
    <xf numFmtId="0" fontId="46" fillId="6" borderId="5" applyNumberFormat="0" applyAlignment="0" applyProtection="0"/>
    <xf numFmtId="0" fontId="47" fillId="6" borderId="4" applyNumberFormat="0" applyAlignment="0" applyProtection="0"/>
    <xf numFmtId="0" fontId="48" fillId="0" borderId="6" applyNumberFormat="0" applyFill="0" applyAlignment="0" applyProtection="0"/>
    <xf numFmtId="0" fontId="49" fillId="7" borderId="7" applyNumberFormat="0" applyAlignment="0" applyProtection="0"/>
    <xf numFmtId="0" fontId="50" fillId="0" borderId="0" applyNumberFormat="0" applyFill="0" applyBorder="0" applyAlignment="0" applyProtection="0"/>
    <xf numFmtId="0" fontId="18" fillId="8" borderId="8" applyNumberFormat="0" applyFont="0" applyAlignment="0" applyProtection="0"/>
    <xf numFmtId="0" fontId="51" fillId="0" borderId="0" applyNumberFormat="0" applyFill="0" applyBorder="0" applyAlignment="0" applyProtection="0"/>
    <xf numFmtId="0" fontId="52" fillId="0" borderId="9" applyNumberFormat="0" applyFill="0" applyAlignment="0" applyProtection="0"/>
    <xf numFmtId="0" fontId="53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53" fillId="12" borderId="0" applyNumberFormat="0" applyBorder="0" applyAlignment="0" applyProtection="0"/>
    <xf numFmtId="0" fontId="53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53" fillId="16" borderId="0" applyNumberFormat="0" applyBorder="0" applyAlignment="0" applyProtection="0"/>
    <xf numFmtId="0" fontId="53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53" fillId="20" borderId="0" applyNumberFormat="0" applyBorder="0" applyAlignment="0" applyProtection="0"/>
    <xf numFmtId="0" fontId="53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53" fillId="24" borderId="0" applyNumberFormat="0" applyBorder="0" applyAlignment="0" applyProtection="0"/>
    <xf numFmtId="0" fontId="53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53" fillId="28" borderId="0" applyNumberFormat="0" applyBorder="0" applyAlignment="0" applyProtection="0"/>
    <xf numFmtId="0" fontId="53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53" fillId="32" borderId="0" applyNumberFormat="0" applyBorder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8" fillId="40" borderId="19" applyNumberFormat="0" applyAlignment="0" applyProtection="0"/>
    <xf numFmtId="0" fontId="23" fillId="52" borderId="19" applyNumberFormat="0" applyAlignment="0" applyProtection="0"/>
    <xf numFmtId="0" fontId="35" fillId="52" borderId="21" applyNumberFormat="0" applyAlignment="0" applyProtection="0"/>
    <xf numFmtId="0" fontId="19" fillId="54" borderId="20" applyNumberFormat="0" applyFon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8" fillId="40" borderId="19" applyNumberFormat="0" applyAlignment="0" applyProtection="0"/>
    <xf numFmtId="0" fontId="23" fillId="52" borderId="19" applyNumberFormat="0" applyAlignment="0" applyProtection="0"/>
    <xf numFmtId="0" fontId="35" fillId="52" borderId="21" applyNumberFormat="0" applyAlignment="0" applyProtection="0"/>
    <xf numFmtId="0" fontId="19" fillId="54" borderId="20" applyNumberFormat="0" applyFon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8" fillId="40" borderId="19" applyNumberFormat="0" applyAlignment="0" applyProtection="0"/>
    <xf numFmtId="0" fontId="23" fillId="52" borderId="19" applyNumberFormat="0" applyAlignment="0" applyProtection="0"/>
    <xf numFmtId="0" fontId="35" fillId="52" borderId="21" applyNumberFormat="0" applyAlignment="0" applyProtection="0"/>
    <xf numFmtId="0" fontId="19" fillId="54" borderId="20" applyNumberFormat="0" applyFon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8" fillId="40" borderId="19" applyNumberFormat="0" applyAlignment="0" applyProtection="0"/>
    <xf numFmtId="0" fontId="23" fillId="52" borderId="19" applyNumberFormat="0" applyAlignment="0" applyProtection="0"/>
    <xf numFmtId="0" fontId="35" fillId="52" borderId="21" applyNumberFormat="0" applyAlignment="0" applyProtection="0"/>
    <xf numFmtId="0" fontId="19" fillId="54" borderId="20" applyNumberFormat="0" applyFon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8" fillId="40" borderId="19" applyNumberFormat="0" applyAlignment="0" applyProtection="0"/>
    <xf numFmtId="0" fontId="23" fillId="52" borderId="19" applyNumberFormat="0" applyAlignment="0" applyProtection="0"/>
    <xf numFmtId="0" fontId="35" fillId="52" borderId="21" applyNumberFormat="0" applyAlignment="0" applyProtection="0"/>
    <xf numFmtId="0" fontId="19" fillId="54" borderId="20" applyNumberFormat="0" applyFon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8" fillId="40" borderId="19" applyNumberFormat="0" applyAlignment="0" applyProtection="0"/>
    <xf numFmtId="0" fontId="23" fillId="52" borderId="19" applyNumberFormat="0" applyAlignment="0" applyProtection="0"/>
    <xf numFmtId="0" fontId="35" fillId="52" borderId="21" applyNumberFormat="0" applyAlignment="0" applyProtection="0"/>
    <xf numFmtId="0" fontId="19" fillId="54" borderId="20" applyNumberFormat="0" applyFon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28" fillId="40" borderId="19" applyNumberFormat="0" applyAlignment="0" applyProtection="0"/>
    <xf numFmtId="0" fontId="23" fillId="52" borderId="19" applyNumberFormat="0" applyAlignment="0" applyProtection="0"/>
    <xf numFmtId="0" fontId="19" fillId="54" borderId="20" applyNumberFormat="0" applyFont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36" fillId="0" borderId="22" applyNumberFormat="0" applyFill="0" applyAlignment="0" applyProtection="0"/>
    <xf numFmtId="0" fontId="19" fillId="54" borderId="20" applyNumberFormat="0" applyFont="0" applyAlignment="0" applyProtection="0"/>
    <xf numFmtId="0" fontId="23" fillId="52" borderId="19" applyNumberFormat="0" applyAlignment="0" applyProtection="0"/>
    <xf numFmtId="0" fontId="35" fillId="52" borderId="21" applyNumberForma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8" fillId="40" borderId="19" applyNumberFormat="0" applyAlignment="0" applyProtection="0"/>
    <xf numFmtId="0" fontId="35" fillId="52" borderId="21" applyNumberFormat="0" applyAlignment="0" applyProtection="0"/>
    <xf numFmtId="0" fontId="19" fillId="54" borderId="20" applyNumberFormat="0" applyFont="0" applyAlignment="0" applyProtection="0"/>
    <xf numFmtId="0" fontId="23" fillId="52" borderId="19" applyNumberFormat="0" applyAlignment="0" applyProtection="0"/>
    <xf numFmtId="0" fontId="36" fillId="0" borderId="22" applyNumberFormat="0" applyFill="0" applyAlignment="0" applyProtection="0"/>
    <xf numFmtId="0" fontId="35" fillId="52" borderId="21" applyNumberFormat="0" applyAlignment="0" applyProtection="0"/>
    <xf numFmtId="0" fontId="28" fillId="40" borderId="19" applyNumberFormat="0" applyAlignment="0" applyProtection="0"/>
    <xf numFmtId="0" fontId="23" fillId="52" borderId="19" applyNumberFormat="0" applyAlignment="0" applyProtection="0"/>
    <xf numFmtId="0" fontId="35" fillId="52" borderId="21" applyNumberFormat="0" applyAlignment="0" applyProtection="0"/>
    <xf numFmtId="0" fontId="19" fillId="54" borderId="20" applyNumberFormat="0" applyFont="0" applyAlignment="0" applyProtection="0"/>
    <xf numFmtId="0" fontId="23" fillId="52" borderId="19" applyNumberFormat="0" applyAlignment="0" applyProtection="0"/>
    <xf numFmtId="0" fontId="36" fillId="0" borderId="22" applyNumberFormat="0" applyFill="0" applyAlignment="0" applyProtection="0"/>
    <xf numFmtId="0" fontId="35" fillId="52" borderId="21" applyNumberFormat="0" applyAlignment="0" applyProtection="0"/>
    <xf numFmtId="0" fontId="28" fillId="40" borderId="19" applyNumberFormat="0" applyAlignment="0" applyProtection="0"/>
    <xf numFmtId="0" fontId="36" fillId="0" borderId="22" applyNumberFormat="0" applyFill="0" applyAlignment="0" applyProtection="0"/>
    <xf numFmtId="0" fontId="28" fillId="40" borderId="19" applyNumberFormat="0" applyAlignment="0" applyProtection="0"/>
    <xf numFmtId="0" fontId="35" fillId="52" borderId="21" applyNumberFormat="0" applyAlignment="0" applyProtection="0"/>
    <xf numFmtId="0" fontId="28" fillId="40" borderId="19" applyNumberFormat="0" applyAlignment="0" applyProtection="0"/>
    <xf numFmtId="0" fontId="36" fillId="0" borderId="22" applyNumberFormat="0" applyFill="0" applyAlignment="0" applyProtection="0"/>
    <xf numFmtId="0" fontId="19" fillId="54" borderId="20" applyNumberFormat="0" applyFont="0" applyAlignment="0" applyProtection="0"/>
    <xf numFmtId="0" fontId="19" fillId="54" borderId="20" applyNumberFormat="0" applyFont="0" applyAlignment="0" applyProtection="0"/>
    <xf numFmtId="0" fontId="19" fillId="54" borderId="20" applyNumberFormat="0" applyFont="0" applyAlignment="0" applyProtection="0"/>
    <xf numFmtId="0" fontId="23" fillId="52" borderId="19" applyNumberFormat="0" applyAlignment="0" applyProtection="0"/>
    <xf numFmtId="0" fontId="35" fillId="52" borderId="21" applyNumberFormat="0" applyAlignment="0" applyProtection="0"/>
    <xf numFmtId="0" fontId="28" fillId="40" borderId="19" applyNumberFormat="0" applyAlignment="0" applyProtection="0"/>
    <xf numFmtId="0" fontId="23" fillId="52" borderId="19" applyNumberFormat="0" applyAlignment="0" applyProtection="0"/>
    <xf numFmtId="0" fontId="19" fillId="54" borderId="20" applyNumberFormat="0" applyFont="0" applyAlignment="0" applyProtection="0"/>
    <xf numFmtId="0" fontId="23" fillId="52" borderId="19" applyNumberFormat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8" fillId="40" borderId="19" applyNumberFormat="0" applyAlignment="0" applyProtection="0"/>
    <xf numFmtId="0" fontId="23" fillId="52" borderId="19" applyNumberFormat="0" applyAlignment="0" applyProtection="0"/>
    <xf numFmtId="0" fontId="35" fillId="52" borderId="21" applyNumberFormat="0" applyAlignment="0" applyProtection="0"/>
    <xf numFmtId="0" fontId="19" fillId="54" borderId="20" applyNumberFormat="0" applyFon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23" fillId="52" borderId="19" applyNumberFormat="0" applyAlignment="0" applyProtection="0"/>
    <xf numFmtId="0" fontId="36" fillId="0" borderId="22" applyNumberFormat="0" applyFill="0" applyAlignment="0" applyProtection="0"/>
    <xf numFmtId="0" fontId="35" fillId="52" borderId="21" applyNumberFormat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28" fillId="40" borderId="19" applyNumberFormat="0" applyAlignment="0" applyProtection="0"/>
    <xf numFmtId="0" fontId="28" fillId="40" borderId="19" applyNumberFormat="0" applyAlignment="0" applyProtection="0"/>
    <xf numFmtId="0" fontId="36" fillId="0" borderId="22" applyNumberFormat="0" applyFill="0" applyAlignment="0" applyProtection="0"/>
    <xf numFmtId="0" fontId="19" fillId="54" borderId="20" applyNumberFormat="0" applyFon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3" fillId="52" borderId="19" applyNumberFormat="0" applyAlignment="0" applyProtection="0"/>
    <xf numFmtId="0" fontId="35" fillId="52" borderId="21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8" fillId="40" borderId="19" applyNumberFormat="0" applyAlignment="0" applyProtection="0"/>
    <xf numFmtId="0" fontId="23" fillId="52" borderId="19" applyNumberFormat="0" applyAlignment="0" applyProtection="0"/>
    <xf numFmtId="0" fontId="35" fillId="52" borderId="21" applyNumberFormat="0" applyAlignment="0" applyProtection="0"/>
    <xf numFmtId="0" fontId="19" fillId="54" borderId="20" applyNumberFormat="0" applyFon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35" fillId="52" borderId="21" applyNumberFormat="0" applyAlignment="0" applyProtection="0"/>
    <xf numFmtId="0" fontId="19" fillId="54" borderId="20" applyNumberFormat="0" applyFont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8" fillId="40" borderId="19" applyNumberFormat="0" applyAlignment="0" applyProtection="0"/>
    <xf numFmtId="0" fontId="23" fillId="52" borderId="19" applyNumberFormat="0" applyAlignment="0" applyProtection="0"/>
    <xf numFmtId="0" fontId="35" fillId="52" borderId="21" applyNumberFormat="0" applyAlignment="0" applyProtection="0"/>
    <xf numFmtId="0" fontId="19" fillId="54" borderId="20" applyNumberFormat="0" applyFon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8" fillId="40" borderId="19" applyNumberFormat="0" applyAlignment="0" applyProtection="0"/>
    <xf numFmtId="0" fontId="23" fillId="52" borderId="19" applyNumberFormat="0" applyAlignment="0" applyProtection="0"/>
    <xf numFmtId="0" fontId="35" fillId="52" borderId="21" applyNumberFormat="0" applyAlignment="0" applyProtection="0"/>
    <xf numFmtId="0" fontId="19" fillId="54" borderId="20" applyNumberFormat="0" applyFon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19" fillId="54" borderId="20" applyNumberFormat="0" applyFont="0" applyAlignment="0" applyProtection="0"/>
    <xf numFmtId="0" fontId="19" fillId="54" borderId="20" applyNumberFormat="0" applyFont="0" applyAlignment="0" applyProtection="0"/>
    <xf numFmtId="0" fontId="28" fillId="40" borderId="19" applyNumberFormat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8" fillId="40" borderId="19" applyNumberFormat="0" applyAlignment="0" applyProtection="0"/>
    <xf numFmtId="0" fontId="23" fillId="52" borderId="19" applyNumberFormat="0" applyAlignment="0" applyProtection="0"/>
    <xf numFmtId="0" fontId="35" fillId="52" borderId="21" applyNumberFormat="0" applyAlignment="0" applyProtection="0"/>
    <xf numFmtId="0" fontId="19" fillId="54" borderId="20" applyNumberFormat="0" applyFon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8" fillId="40" borderId="19" applyNumberFormat="0" applyAlignment="0" applyProtection="0"/>
    <xf numFmtId="0" fontId="23" fillId="52" borderId="19" applyNumberFormat="0" applyAlignment="0" applyProtection="0"/>
    <xf numFmtId="0" fontId="35" fillId="52" borderId="21" applyNumberFormat="0" applyAlignment="0" applyProtection="0"/>
    <xf numFmtId="0" fontId="19" fillId="54" borderId="20" applyNumberFormat="0" applyFon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8" fillId="40" borderId="19" applyNumberFormat="0" applyAlignment="0" applyProtection="0"/>
    <xf numFmtId="0" fontId="23" fillId="52" borderId="19" applyNumberFormat="0" applyAlignment="0" applyProtection="0"/>
    <xf numFmtId="0" fontId="35" fillId="52" borderId="21" applyNumberFormat="0" applyAlignment="0" applyProtection="0"/>
    <xf numFmtId="0" fontId="19" fillId="54" borderId="20" applyNumberFormat="0" applyFon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8" fillId="40" borderId="19" applyNumberFormat="0" applyAlignment="0" applyProtection="0"/>
    <xf numFmtId="0" fontId="36" fillId="0" borderId="22" applyNumberFormat="0" applyFill="0" applyAlignment="0" applyProtection="0"/>
    <xf numFmtId="0" fontId="28" fillId="40" borderId="19" applyNumberFormat="0" applyAlignment="0" applyProtection="0"/>
    <xf numFmtId="0" fontId="23" fillId="52" borderId="19" applyNumberFormat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35" fillId="52" borderId="21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19" fillId="54" borderId="20" applyNumberFormat="0" applyFont="0" applyAlignment="0" applyProtection="0"/>
    <xf numFmtId="0" fontId="23" fillId="52" borderId="19" applyNumberFormat="0" applyAlignment="0" applyProtection="0"/>
    <xf numFmtId="0" fontId="23" fillId="52" borderId="19" applyNumberFormat="0" applyAlignment="0" applyProtection="0"/>
    <xf numFmtId="0" fontId="23" fillId="52" borderId="19" applyNumberFormat="0" applyAlignment="0" applyProtection="0"/>
    <xf numFmtId="0" fontId="35" fillId="52" borderId="21" applyNumberFormat="0" applyAlignment="0" applyProtection="0"/>
    <xf numFmtId="0" fontId="35" fillId="52" borderId="21" applyNumberFormat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8" fillId="40" borderId="19" applyNumberFormat="0" applyAlignment="0" applyProtection="0"/>
    <xf numFmtId="0" fontId="23" fillId="52" borderId="19" applyNumberFormat="0" applyAlignment="0" applyProtection="0"/>
    <xf numFmtId="0" fontId="35" fillId="52" borderId="21" applyNumberFormat="0" applyAlignment="0" applyProtection="0"/>
    <xf numFmtId="0" fontId="19" fillId="54" borderId="20" applyNumberFormat="0" applyFon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19" fillId="54" borderId="20" applyNumberFormat="0" applyFont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8" fillId="40" borderId="19" applyNumberFormat="0" applyAlignment="0" applyProtection="0"/>
    <xf numFmtId="0" fontId="23" fillId="52" borderId="19" applyNumberFormat="0" applyAlignment="0" applyProtection="0"/>
    <xf numFmtId="0" fontId="35" fillId="52" borderId="21" applyNumberFormat="0" applyAlignment="0" applyProtection="0"/>
    <xf numFmtId="0" fontId="19" fillId="54" borderId="20" applyNumberFormat="0" applyFon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8" fillId="40" borderId="19" applyNumberFormat="0" applyAlignment="0" applyProtection="0"/>
    <xf numFmtId="0" fontId="23" fillId="52" borderId="19" applyNumberFormat="0" applyAlignment="0" applyProtection="0"/>
    <xf numFmtId="0" fontId="35" fillId="52" borderId="21" applyNumberFormat="0" applyAlignment="0" applyProtection="0"/>
    <xf numFmtId="0" fontId="19" fillId="54" borderId="20" applyNumberFormat="0" applyFon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8" fillId="40" borderId="19" applyNumberFormat="0" applyAlignment="0" applyProtection="0"/>
    <xf numFmtId="0" fontId="23" fillId="52" borderId="19" applyNumberFormat="0" applyAlignment="0" applyProtection="0"/>
    <xf numFmtId="0" fontId="35" fillId="52" borderId="21" applyNumberFormat="0" applyAlignment="0" applyProtection="0"/>
    <xf numFmtId="0" fontId="19" fillId="54" borderId="20" applyNumberFormat="0" applyFon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8" fillId="40" borderId="19" applyNumberFormat="0" applyAlignment="0" applyProtection="0"/>
    <xf numFmtId="0" fontId="23" fillId="52" borderId="19" applyNumberFormat="0" applyAlignment="0" applyProtection="0"/>
    <xf numFmtId="0" fontId="35" fillId="52" borderId="21" applyNumberFormat="0" applyAlignment="0" applyProtection="0"/>
    <xf numFmtId="0" fontId="19" fillId="54" borderId="20" applyNumberFormat="0" applyFon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8" fillId="40" borderId="19" applyNumberFormat="0" applyAlignment="0" applyProtection="0"/>
    <xf numFmtId="0" fontId="23" fillId="52" borderId="19" applyNumberFormat="0" applyAlignment="0" applyProtection="0"/>
    <xf numFmtId="0" fontId="35" fillId="52" borderId="21" applyNumberFormat="0" applyAlignment="0" applyProtection="0"/>
    <xf numFmtId="0" fontId="19" fillId="54" borderId="20" applyNumberFormat="0" applyFon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8" fillId="40" borderId="19" applyNumberFormat="0" applyAlignment="0" applyProtection="0"/>
    <xf numFmtId="0" fontId="23" fillId="52" borderId="19" applyNumberFormat="0" applyAlignment="0" applyProtection="0"/>
    <xf numFmtId="0" fontId="35" fillId="52" borderId="21" applyNumberFormat="0" applyAlignment="0" applyProtection="0"/>
    <xf numFmtId="0" fontId="19" fillId="54" borderId="20" applyNumberFormat="0" applyFon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8" fillId="40" borderId="19" applyNumberFormat="0" applyAlignment="0" applyProtection="0"/>
    <xf numFmtId="0" fontId="23" fillId="52" borderId="19" applyNumberFormat="0" applyAlignment="0" applyProtection="0"/>
    <xf numFmtId="0" fontId="35" fillId="52" borderId="21" applyNumberFormat="0" applyAlignment="0" applyProtection="0"/>
    <xf numFmtId="0" fontId="19" fillId="54" borderId="20" applyNumberFormat="0" applyFon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8" fillId="40" borderId="19" applyNumberFormat="0" applyAlignment="0" applyProtection="0"/>
    <xf numFmtId="0" fontId="23" fillId="52" borderId="19" applyNumberFormat="0" applyAlignment="0" applyProtection="0"/>
    <xf numFmtId="0" fontId="35" fillId="52" borderId="21" applyNumberFormat="0" applyAlignment="0" applyProtection="0"/>
    <xf numFmtId="0" fontId="19" fillId="54" borderId="20" applyNumberFormat="0" applyFon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8" fillId="40" borderId="19" applyNumberFormat="0" applyAlignment="0" applyProtection="0"/>
    <xf numFmtId="0" fontId="23" fillId="52" borderId="19" applyNumberFormat="0" applyAlignment="0" applyProtection="0"/>
    <xf numFmtId="0" fontId="35" fillId="52" borderId="21" applyNumberFormat="0" applyAlignment="0" applyProtection="0"/>
    <xf numFmtId="0" fontId="19" fillId="54" borderId="20" applyNumberFormat="0" applyFon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8" fillId="40" borderId="19" applyNumberFormat="0" applyAlignment="0" applyProtection="0"/>
    <xf numFmtId="0" fontId="23" fillId="52" borderId="19" applyNumberFormat="0" applyAlignment="0" applyProtection="0"/>
    <xf numFmtId="0" fontId="35" fillId="52" borderId="21" applyNumberFormat="0" applyAlignment="0" applyProtection="0"/>
    <xf numFmtId="0" fontId="19" fillId="54" borderId="20" applyNumberFormat="0" applyFon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0" fontId="23" fillId="52" borderId="19" applyNumberFormat="0" applyAlignment="0" applyProtection="0"/>
    <xf numFmtId="0" fontId="28" fillId="40" borderId="19" applyNumberFormat="0" applyAlignment="0" applyProtection="0"/>
    <xf numFmtId="0" fontId="19" fillId="54" borderId="20" applyNumberFormat="0" applyFont="0" applyAlignment="0" applyProtection="0"/>
    <xf numFmtId="0" fontId="35" fillId="52" borderId="21" applyNumberFormat="0" applyAlignment="0" applyProtection="0"/>
    <xf numFmtId="0" fontId="36" fillId="0" borderId="22" applyNumberFormat="0" applyFill="0" applyAlignment="0" applyProtection="0"/>
    <xf numFmtId="165" fontId="54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4" fillId="0" borderId="0"/>
    <xf numFmtId="164" fontId="54" fillId="0" borderId="0" applyFont="0" applyFill="0" applyBorder="0" applyAlignment="0" applyProtection="0"/>
  </cellStyleXfs>
  <cellXfs count="244">
    <xf numFmtId="0" fontId="0" fillId="0" borderId="0" xfId="0"/>
    <xf numFmtId="0" fontId="0" fillId="0" borderId="33" xfId="0" applyBorder="1"/>
    <xf numFmtId="0" fontId="64" fillId="0" borderId="0" xfId="0" applyFont="1"/>
    <xf numFmtId="0" fontId="65" fillId="0" borderId="0" xfId="0" applyFont="1" applyAlignment="1">
      <alignment horizontal="left" vertical="center"/>
    </xf>
    <xf numFmtId="0" fontId="66" fillId="0" borderId="0" xfId="0" applyFont="1" applyAlignment="1">
      <alignment horizontal="center" vertical="center" shrinkToFit="1"/>
    </xf>
    <xf numFmtId="41" fontId="66" fillId="0" borderId="0" xfId="11775" applyFont="1" applyFill="1" applyBorder="1" applyAlignment="1">
      <alignment horizontal="left" vertical="center" shrinkToFit="1"/>
    </xf>
    <xf numFmtId="0" fontId="66" fillId="0" borderId="0" xfId="0" applyFont="1" applyAlignment="1">
      <alignment vertical="center" shrinkToFit="1"/>
    </xf>
    <xf numFmtId="0" fontId="66" fillId="0" borderId="0" xfId="0" applyFont="1" applyAlignment="1">
      <alignment vertical="center"/>
    </xf>
    <xf numFmtId="0" fontId="56" fillId="0" borderId="0" xfId="0" applyFont="1" applyAlignment="1">
      <alignment vertical="center"/>
    </xf>
    <xf numFmtId="0" fontId="61" fillId="0" borderId="0" xfId="0" applyFont="1" applyAlignment="1">
      <alignment vertical="center"/>
    </xf>
    <xf numFmtId="0" fontId="67" fillId="0" borderId="0" xfId="0" applyFont="1" applyAlignment="1">
      <alignment vertical="center"/>
    </xf>
    <xf numFmtId="0" fontId="67" fillId="0" borderId="0" xfId="0" applyFont="1" applyAlignment="1">
      <alignment vertical="center" shrinkToFit="1"/>
    </xf>
    <xf numFmtId="41" fontId="56" fillId="0" borderId="0" xfId="11775" applyFont="1" applyFill="1" applyBorder="1" applyAlignment="1">
      <alignment vertical="center"/>
    </xf>
    <xf numFmtId="168" fontId="56" fillId="0" borderId="0" xfId="11775" applyNumberFormat="1" applyFont="1" applyFill="1" applyBorder="1" applyAlignment="1">
      <alignment vertical="center"/>
    </xf>
    <xf numFmtId="41" fontId="55" fillId="0" borderId="0" xfId="11775" applyFont="1" applyFill="1" applyBorder="1" applyAlignment="1">
      <alignment vertical="center"/>
    </xf>
    <xf numFmtId="0" fontId="65" fillId="0" borderId="0" xfId="0" applyFont="1" applyAlignment="1">
      <alignment horizontal="center" vertical="center"/>
    </xf>
    <xf numFmtId="41" fontId="65" fillId="0" borderId="0" xfId="11775" applyFont="1" applyFill="1" applyBorder="1" applyAlignment="1">
      <alignment horizontal="center" vertical="center"/>
    </xf>
    <xf numFmtId="168" fontId="65" fillId="0" borderId="0" xfId="11775" applyNumberFormat="1" applyFont="1" applyFill="1" applyBorder="1" applyAlignment="1">
      <alignment horizontal="center" vertical="center"/>
    </xf>
    <xf numFmtId="41" fontId="68" fillId="0" borderId="0" xfId="11775" applyFont="1" applyFill="1" applyBorder="1" applyAlignment="1">
      <alignment horizontal="center" vertical="center"/>
    </xf>
    <xf numFmtId="41" fontId="60" fillId="0" borderId="0" xfId="11775" applyFont="1" applyFill="1" applyBorder="1" applyAlignment="1">
      <alignment horizontal="center" vertical="center"/>
    </xf>
    <xf numFmtId="41" fontId="61" fillId="0" borderId="0" xfId="11775" applyFont="1" applyFill="1" applyBorder="1" applyAlignment="1">
      <alignment horizontal="left" vertical="center" shrinkToFit="1"/>
    </xf>
    <xf numFmtId="41" fontId="60" fillId="0" borderId="0" xfId="11775" applyFont="1" applyFill="1" applyBorder="1" applyAlignment="1">
      <alignment horizontal="center" vertical="center" shrinkToFit="1"/>
    </xf>
    <xf numFmtId="41" fontId="60" fillId="0" borderId="0" xfId="11775" applyFont="1" applyFill="1" applyBorder="1" applyAlignment="1">
      <alignment horizontal="left" vertical="center" shrinkToFit="1"/>
    </xf>
    <xf numFmtId="41" fontId="55" fillId="0" borderId="0" xfId="11775" applyFont="1" applyFill="1" applyBorder="1" applyAlignment="1">
      <alignment horizontal="center" vertical="center" shrinkToFit="1"/>
    </xf>
    <xf numFmtId="41" fontId="66" fillId="0" borderId="0" xfId="11775" applyFont="1" applyFill="1" applyAlignment="1">
      <alignment horizontal="center" vertical="center" shrinkToFit="1"/>
    </xf>
    <xf numFmtId="41" fontId="66" fillId="0" borderId="0" xfId="11775" applyFont="1" applyFill="1" applyAlignment="1">
      <alignment horizontal="left" vertical="center" shrinkToFit="1"/>
    </xf>
    <xf numFmtId="0" fontId="63" fillId="0" borderId="0" xfId="0" applyFont="1" applyAlignment="1">
      <alignment horizontal="center" vertical="center" shrinkToFit="1"/>
    </xf>
    <xf numFmtId="41" fontId="63" fillId="0" borderId="0" xfId="11775" applyFont="1" applyFill="1" applyAlignment="1">
      <alignment horizontal="center" vertical="center" shrinkToFit="1"/>
    </xf>
    <xf numFmtId="0" fontId="63" fillId="0" borderId="0" xfId="0" applyFont="1" applyAlignment="1">
      <alignment horizontal="center" vertical="center"/>
    </xf>
    <xf numFmtId="41" fontId="63" fillId="0" borderId="0" xfId="11775" applyFont="1" applyFill="1" applyAlignment="1">
      <alignment horizontal="center" vertical="center"/>
    </xf>
    <xf numFmtId="41" fontId="56" fillId="0" borderId="0" xfId="11775" applyFont="1" applyFill="1" applyAlignment="1">
      <alignment horizontal="center" vertical="center"/>
    </xf>
    <xf numFmtId="41" fontId="61" fillId="0" borderId="0" xfId="11775" applyFont="1" applyFill="1" applyAlignment="1">
      <alignment horizontal="center" vertical="center"/>
    </xf>
    <xf numFmtId="0" fontId="67" fillId="0" borderId="0" xfId="0" applyFont="1" applyAlignment="1">
      <alignment horizontal="center" vertical="center"/>
    </xf>
    <xf numFmtId="41" fontId="67" fillId="0" borderId="0" xfId="11775" applyFont="1" applyFill="1" applyAlignment="1">
      <alignment horizontal="center" vertical="center" shrinkToFit="1"/>
    </xf>
    <xf numFmtId="41" fontId="56" fillId="0" borderId="0" xfId="11775" applyFont="1" applyFill="1" applyAlignment="1">
      <alignment vertical="center"/>
    </xf>
    <xf numFmtId="0" fontId="56" fillId="0" borderId="0" xfId="0" applyFont="1" applyAlignment="1">
      <alignment horizontal="center" vertical="center"/>
    </xf>
    <xf numFmtId="168" fontId="56" fillId="0" borderId="0" xfId="11775" applyNumberFormat="1" applyFont="1" applyFill="1" applyAlignment="1">
      <alignment horizontal="center" vertical="center" shrinkToFit="1"/>
    </xf>
    <xf numFmtId="41" fontId="56" fillId="0" borderId="0" xfId="11775" applyFont="1" applyFill="1" applyAlignment="1">
      <alignment horizontal="center" vertical="center" shrinkToFit="1"/>
    </xf>
    <xf numFmtId="168" fontId="56" fillId="0" borderId="0" xfId="11775" applyNumberFormat="1" applyFont="1" applyFill="1" applyAlignment="1">
      <alignment horizontal="center" vertical="center"/>
    </xf>
    <xf numFmtId="41" fontId="65" fillId="0" borderId="0" xfId="11775" applyFont="1" applyFill="1" applyAlignment="1">
      <alignment horizontal="center" vertical="center"/>
    </xf>
    <xf numFmtId="168" fontId="65" fillId="0" borderId="0" xfId="11775" applyNumberFormat="1" applyFont="1" applyFill="1" applyAlignment="1">
      <alignment horizontal="center" vertical="center"/>
    </xf>
    <xf numFmtId="41" fontId="68" fillId="0" borderId="0" xfId="11775" applyFont="1" applyFill="1" applyAlignment="1">
      <alignment horizontal="center" vertical="center"/>
    </xf>
    <xf numFmtId="41" fontId="61" fillId="0" borderId="0" xfId="11775" applyFont="1" applyFill="1" applyAlignment="1">
      <alignment horizontal="left" vertical="center" shrinkToFit="1"/>
    </xf>
    <xf numFmtId="41" fontId="61" fillId="0" borderId="0" xfId="11775" applyFont="1" applyFill="1" applyAlignment="1">
      <alignment horizontal="center" vertical="center" shrinkToFit="1"/>
    </xf>
    <xf numFmtId="41" fontId="60" fillId="0" borderId="0" xfId="11775" applyFont="1" applyFill="1" applyAlignment="1">
      <alignment horizontal="left" vertical="center" shrinkToFit="1"/>
    </xf>
    <xf numFmtId="0" fontId="65" fillId="55" borderId="31" xfId="0" applyFont="1" applyFill="1" applyBorder="1" applyAlignment="1">
      <alignment horizontal="center" vertical="center" shrinkToFit="1"/>
    </xf>
    <xf numFmtId="0" fontId="56" fillId="55" borderId="36" xfId="0" applyFont="1" applyFill="1" applyBorder="1" applyAlignment="1">
      <alignment vertical="center" shrinkToFit="1"/>
    </xf>
    <xf numFmtId="0" fontId="56" fillId="55" borderId="37" xfId="0" applyFont="1" applyFill="1" applyBorder="1" applyAlignment="1">
      <alignment vertical="center" shrinkToFit="1"/>
    </xf>
    <xf numFmtId="0" fontId="56" fillId="55" borderId="38" xfId="0" applyFont="1" applyFill="1" applyBorder="1" applyAlignment="1">
      <alignment vertical="center" shrinkToFit="1"/>
    </xf>
    <xf numFmtId="168" fontId="56" fillId="55" borderId="39" xfId="11775" applyNumberFormat="1" applyFont="1" applyFill="1" applyBorder="1" applyAlignment="1">
      <alignment horizontal="center" vertical="center" shrinkToFit="1"/>
    </xf>
    <xf numFmtId="41" fontId="56" fillId="55" borderId="35" xfId="11775" applyFont="1" applyFill="1" applyBorder="1" applyAlignment="1">
      <alignment horizontal="center" vertical="center" shrinkToFit="1"/>
    </xf>
    <xf numFmtId="41" fontId="61" fillId="55" borderId="43" xfId="11775" applyFont="1" applyFill="1" applyBorder="1" applyAlignment="1">
      <alignment horizontal="center" vertical="center" shrinkToFit="1"/>
    </xf>
    <xf numFmtId="0" fontId="65" fillId="55" borderId="44" xfId="0" applyFont="1" applyFill="1" applyBorder="1" applyAlignment="1">
      <alignment horizontal="center" vertical="center" shrinkToFit="1"/>
    </xf>
    <xf numFmtId="0" fontId="56" fillId="55" borderId="49" xfId="0" applyFont="1" applyFill="1" applyBorder="1" applyAlignment="1">
      <alignment horizontal="center" vertical="center" shrinkToFit="1"/>
    </xf>
    <xf numFmtId="168" fontId="56" fillId="55" borderId="49" xfId="11775" applyNumberFormat="1" applyFont="1" applyFill="1" applyBorder="1" applyAlignment="1">
      <alignment horizontal="center" vertical="center" shrinkToFit="1"/>
    </xf>
    <xf numFmtId="41" fontId="56" fillId="55" borderId="49" xfId="11775" applyFont="1" applyFill="1" applyBorder="1" applyAlignment="1">
      <alignment horizontal="center" vertical="center" shrinkToFit="1"/>
    </xf>
    <xf numFmtId="0" fontId="65" fillId="55" borderId="50" xfId="0" applyFont="1" applyFill="1" applyBorder="1" applyAlignment="1">
      <alignment horizontal="center" vertical="center" shrinkToFit="1"/>
    </xf>
    <xf numFmtId="41" fontId="65" fillId="55" borderId="50" xfId="11775" applyFont="1" applyFill="1" applyBorder="1" applyAlignment="1">
      <alignment horizontal="center" vertical="center" shrinkToFit="1"/>
    </xf>
    <xf numFmtId="168" fontId="65" fillId="55" borderId="49" xfId="11775" applyNumberFormat="1" applyFont="1" applyFill="1" applyBorder="1" applyAlignment="1">
      <alignment horizontal="center" vertical="center" shrinkToFit="1"/>
    </xf>
    <xf numFmtId="41" fontId="56" fillId="55" borderId="48" xfId="11775" applyFont="1" applyFill="1" applyBorder="1" applyAlignment="1">
      <alignment horizontal="center" vertical="center" shrinkToFit="1"/>
    </xf>
    <xf numFmtId="41" fontId="61" fillId="55" borderId="53" xfId="11775" applyFont="1" applyFill="1" applyBorder="1" applyAlignment="1">
      <alignment horizontal="center" vertical="center" shrinkToFit="1"/>
    </xf>
    <xf numFmtId="0" fontId="66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7" fillId="0" borderId="0" xfId="0" applyFont="1" applyAlignment="1">
      <alignment horizontal="center" vertical="center" shrinkToFit="1"/>
    </xf>
    <xf numFmtId="168" fontId="56" fillId="0" borderId="0" xfId="11775" applyNumberFormat="1" applyFont="1" applyFill="1" applyBorder="1" applyAlignment="1">
      <alignment horizontal="center" vertical="center" shrinkToFit="1"/>
    </xf>
    <xf numFmtId="41" fontId="56" fillId="0" borderId="0" xfId="11775" applyFont="1" applyFill="1" applyBorder="1" applyAlignment="1">
      <alignment horizontal="center" vertical="center" shrinkToFit="1"/>
    </xf>
    <xf numFmtId="168" fontId="56" fillId="0" borderId="0" xfId="11775" applyNumberFormat="1" applyFont="1" applyFill="1" applyBorder="1" applyAlignment="1">
      <alignment horizontal="center" vertical="center"/>
    </xf>
    <xf numFmtId="41" fontId="55" fillId="0" borderId="0" xfId="11775" applyFont="1" applyFill="1" applyBorder="1" applyAlignment="1">
      <alignment horizontal="center" vertical="center"/>
    </xf>
    <xf numFmtId="41" fontId="65" fillId="56" borderId="54" xfId="11775" applyFont="1" applyFill="1" applyBorder="1" applyAlignment="1">
      <alignment horizontal="left" vertical="center"/>
    </xf>
    <xf numFmtId="41" fontId="66" fillId="56" borderId="55" xfId="11775" applyFont="1" applyFill="1" applyBorder="1" applyAlignment="1">
      <alignment horizontal="left" vertical="center" shrinkToFit="1"/>
    </xf>
    <xf numFmtId="0" fontId="66" fillId="56" borderId="55" xfId="0" applyFont="1" applyFill="1" applyBorder="1" applyAlignment="1">
      <alignment horizontal="center" vertical="center" shrinkToFit="1"/>
    </xf>
    <xf numFmtId="0" fontId="66" fillId="56" borderId="55" xfId="0" applyFont="1" applyFill="1" applyBorder="1" applyAlignment="1">
      <alignment horizontal="center" vertical="center"/>
    </xf>
    <xf numFmtId="0" fontId="56" fillId="56" borderId="55" xfId="0" applyFont="1" applyFill="1" applyBorder="1" applyAlignment="1">
      <alignment vertical="center"/>
    </xf>
    <xf numFmtId="0" fontId="56" fillId="56" borderId="55" xfId="0" applyFont="1" applyFill="1" applyBorder="1" applyAlignment="1">
      <alignment horizontal="center" vertical="center"/>
    </xf>
    <xf numFmtId="0" fontId="61" fillId="56" borderId="55" xfId="0" applyFont="1" applyFill="1" applyBorder="1" applyAlignment="1">
      <alignment horizontal="center" vertical="center"/>
    </xf>
    <xf numFmtId="0" fontId="67" fillId="56" borderId="55" xfId="0" applyFont="1" applyFill="1" applyBorder="1" applyAlignment="1">
      <alignment horizontal="center" vertical="center"/>
    </xf>
    <xf numFmtId="0" fontId="67" fillId="56" borderId="55" xfId="0" applyFont="1" applyFill="1" applyBorder="1" applyAlignment="1">
      <alignment horizontal="center" vertical="center" shrinkToFit="1"/>
    </xf>
    <xf numFmtId="41" fontId="56" fillId="56" borderId="55" xfId="11775" applyFont="1" applyFill="1" applyBorder="1" applyAlignment="1">
      <alignment vertical="center"/>
    </xf>
    <xf numFmtId="9" fontId="56" fillId="56" borderId="55" xfId="11776" applyFont="1" applyFill="1" applyBorder="1" applyAlignment="1">
      <alignment horizontal="center" vertical="center"/>
    </xf>
    <xf numFmtId="168" fontId="56" fillId="56" borderId="55" xfId="11775" applyNumberFormat="1" applyFont="1" applyFill="1" applyBorder="1" applyAlignment="1">
      <alignment horizontal="center" vertical="center"/>
    </xf>
    <xf numFmtId="41" fontId="55" fillId="56" borderId="55" xfId="11775" applyFont="1" applyFill="1" applyBorder="1" applyAlignment="1">
      <alignment horizontal="center" vertical="center"/>
    </xf>
    <xf numFmtId="41" fontId="56" fillId="56" borderId="55" xfId="11775" applyFont="1" applyFill="1" applyBorder="1" applyAlignment="1" applyProtection="1">
      <alignment horizontal="center" vertical="center"/>
    </xf>
    <xf numFmtId="41" fontId="65" fillId="56" borderId="55" xfId="11775" applyFont="1" applyFill="1" applyBorder="1" applyAlignment="1">
      <alignment horizontal="left" vertical="center" shrinkToFit="1"/>
    </xf>
    <xf numFmtId="168" fontId="65" fillId="56" borderId="55" xfId="11775" applyNumberFormat="1" applyFont="1" applyFill="1" applyBorder="1" applyAlignment="1">
      <alignment horizontal="left" vertical="center" shrinkToFit="1"/>
    </xf>
    <xf numFmtId="41" fontId="68" fillId="56" borderId="55" xfId="11775" applyFont="1" applyFill="1" applyBorder="1" applyAlignment="1">
      <alignment horizontal="center" vertical="center"/>
    </xf>
    <xf numFmtId="41" fontId="60" fillId="56" borderId="55" xfId="11775" applyFont="1" applyFill="1" applyBorder="1" applyAlignment="1">
      <alignment horizontal="center" vertical="center"/>
    </xf>
    <xf numFmtId="41" fontId="60" fillId="56" borderId="55" xfId="11775" applyFont="1" applyFill="1" applyBorder="1" applyAlignment="1">
      <alignment horizontal="left" vertical="center" shrinkToFit="1"/>
    </xf>
    <xf numFmtId="41" fontId="61" fillId="56" borderId="55" xfId="11775" applyFont="1" applyFill="1" applyBorder="1" applyAlignment="1">
      <alignment horizontal="left" vertical="center" shrinkToFit="1"/>
    </xf>
    <xf numFmtId="41" fontId="60" fillId="56" borderId="55" xfId="11775" applyFont="1" applyFill="1" applyBorder="1" applyAlignment="1">
      <alignment horizontal="center" vertical="center" shrinkToFit="1"/>
    </xf>
    <xf numFmtId="41" fontId="55" fillId="56" borderId="55" xfId="11775" applyFont="1" applyFill="1" applyBorder="1" applyAlignment="1">
      <alignment horizontal="center" vertical="center" shrinkToFit="1"/>
    </xf>
    <xf numFmtId="41" fontId="60" fillId="56" borderId="56" xfId="11775" applyFont="1" applyFill="1" applyBorder="1" applyAlignment="1">
      <alignment horizontal="center" vertical="center" shrinkToFit="1"/>
    </xf>
    <xf numFmtId="0" fontId="0" fillId="0" borderId="0" xfId="0" applyAlignment="1">
      <alignment horizontal="left"/>
    </xf>
    <xf numFmtId="0" fontId="16" fillId="0" borderId="0" xfId="0" applyFont="1"/>
    <xf numFmtId="0" fontId="66" fillId="0" borderId="0" xfId="0" applyFont="1" applyAlignment="1">
      <alignment horizontal="left" vertical="center" shrinkToFit="1"/>
    </xf>
    <xf numFmtId="1" fontId="58" fillId="0" borderId="39" xfId="0" applyNumberFormat="1" applyFont="1" applyBorder="1" applyAlignment="1">
      <alignment horizontal="center" vertical="center" shrinkToFit="1"/>
    </xf>
    <xf numFmtId="41" fontId="62" fillId="0" borderId="39" xfId="11775" applyFont="1" applyFill="1" applyBorder="1" applyAlignment="1">
      <alignment horizontal="left" vertical="center" shrinkToFit="1"/>
    </xf>
    <xf numFmtId="0" fontId="62" fillId="0" borderId="39" xfId="0" applyFont="1" applyBorder="1" applyAlignment="1">
      <alignment horizontal="left" vertical="center" shrinkToFit="1"/>
    </xf>
    <xf numFmtId="0" fontId="62" fillId="0" borderId="39" xfId="0" applyFont="1" applyBorder="1" applyAlignment="1">
      <alignment horizontal="center" vertical="center" shrinkToFit="1"/>
    </xf>
    <xf numFmtId="41" fontId="62" fillId="0" borderId="39" xfId="11775" applyFont="1" applyBorder="1" applyAlignment="1">
      <alignment horizontal="left" vertical="center" shrinkToFit="1"/>
    </xf>
    <xf numFmtId="0" fontId="62" fillId="0" borderId="39" xfId="0" quotePrefix="1" applyFont="1" applyBorder="1" applyAlignment="1">
      <alignment horizontal="center" vertical="center" shrinkToFit="1"/>
    </xf>
    <xf numFmtId="0" fontId="58" fillId="0" borderId="39" xfId="0" applyFont="1" applyBorder="1" applyAlignment="1">
      <alignment horizontal="center" vertical="center" shrinkToFit="1"/>
    </xf>
    <xf numFmtId="41" fontId="58" fillId="0" borderId="39" xfId="11775" applyFont="1" applyBorder="1" applyAlignment="1">
      <alignment vertical="center" shrinkToFit="1"/>
    </xf>
    <xf numFmtId="169" fontId="58" fillId="0" borderId="39" xfId="11775" applyNumberFormat="1" applyFont="1" applyFill="1" applyBorder="1" applyAlignment="1">
      <alignment horizontal="center" vertical="center" shrinkToFit="1"/>
    </xf>
    <xf numFmtId="41" fontId="62" fillId="0" borderId="39" xfId="11775" applyFont="1" applyBorder="1" applyAlignment="1">
      <alignment horizontal="center" vertical="center" shrinkToFit="1"/>
    </xf>
    <xf numFmtId="41" fontId="58" fillId="0" borderId="39" xfId="11775" applyFont="1" applyBorder="1" applyAlignment="1">
      <alignment horizontal="center" vertical="center" shrinkToFit="1"/>
    </xf>
    <xf numFmtId="41" fontId="62" fillId="0" borderId="39" xfId="11775" applyFont="1" applyFill="1" applyBorder="1" applyAlignment="1">
      <alignment horizontal="center" vertical="center" shrinkToFit="1"/>
    </xf>
    <xf numFmtId="41" fontId="59" fillId="0" borderId="39" xfId="11775" applyFont="1" applyBorder="1" applyAlignment="1">
      <alignment vertical="center" shrinkToFit="1"/>
    </xf>
    <xf numFmtId="168" fontId="59" fillId="0" borderId="39" xfId="11775" applyNumberFormat="1" applyFont="1" applyBorder="1" applyAlignment="1">
      <alignment vertical="center" shrinkToFit="1"/>
    </xf>
    <xf numFmtId="41" fontId="59" fillId="0" borderId="39" xfId="11775" applyFont="1" applyFill="1" applyBorder="1" applyAlignment="1">
      <alignment horizontal="center" vertical="center" shrinkToFit="1"/>
    </xf>
    <xf numFmtId="41" fontId="59" fillId="0" borderId="39" xfId="11775" applyFont="1" applyFill="1" applyBorder="1" applyAlignment="1">
      <alignment vertical="center" shrinkToFit="1"/>
    </xf>
    <xf numFmtId="41" fontId="70" fillId="0" borderId="39" xfId="11775" applyFont="1" applyBorder="1" applyAlignment="1">
      <alignment vertical="center" shrinkToFit="1"/>
    </xf>
    <xf numFmtId="41" fontId="62" fillId="0" borderId="39" xfId="11775" applyFont="1" applyBorder="1" applyAlignment="1">
      <alignment vertical="center" shrinkToFit="1"/>
    </xf>
    <xf numFmtId="41" fontId="70" fillId="0" borderId="39" xfId="11775" applyFont="1" applyBorder="1" applyAlignment="1">
      <alignment horizontal="center" vertical="center" shrinkToFit="1"/>
    </xf>
    <xf numFmtId="41" fontId="59" fillId="0" borderId="39" xfId="11775" applyFont="1" applyBorder="1" applyAlignment="1">
      <alignment horizontal="center" vertical="center" shrinkToFit="1"/>
    </xf>
    <xf numFmtId="168" fontId="59" fillId="0" borderId="39" xfId="11775" applyNumberFormat="1" applyFont="1" applyFill="1" applyBorder="1" applyAlignment="1">
      <alignment horizontal="center" vertical="center" shrinkToFit="1"/>
    </xf>
    <xf numFmtId="168" fontId="59" fillId="0" borderId="39" xfId="11775" applyNumberFormat="1" applyFont="1" applyBorder="1" applyAlignment="1">
      <alignment horizontal="center" vertical="center" shrinkToFit="1"/>
    </xf>
    <xf numFmtId="41" fontId="70" fillId="0" borderId="39" xfId="11775" applyFont="1" applyBorder="1" applyAlignment="1">
      <alignment horizontal="left" vertical="center" shrinkToFit="1"/>
    </xf>
    <xf numFmtId="0" fontId="59" fillId="0" borderId="39" xfId="0" applyFont="1" applyBorder="1" applyAlignment="1">
      <alignment horizontal="center" vertical="center" shrinkToFit="1"/>
    </xf>
    <xf numFmtId="169" fontId="59" fillId="0" borderId="39" xfId="11775" applyNumberFormat="1" applyFont="1" applyBorder="1" applyAlignment="1">
      <alignment horizontal="center" vertical="center" shrinkToFit="1"/>
    </xf>
    <xf numFmtId="169" fontId="59" fillId="0" borderId="39" xfId="11775" applyNumberFormat="1" applyFont="1" applyFill="1" applyBorder="1" applyAlignment="1">
      <alignment horizontal="center" vertical="center" shrinkToFit="1"/>
    </xf>
    <xf numFmtId="41" fontId="70" fillId="0" borderId="39" xfId="11775" applyFont="1" applyFill="1" applyBorder="1" applyAlignment="1">
      <alignment horizontal="center" vertical="center" shrinkToFit="1"/>
    </xf>
    <xf numFmtId="169" fontId="58" fillId="0" borderId="39" xfId="11775" applyNumberFormat="1" applyFont="1" applyBorder="1" applyAlignment="1">
      <alignment horizontal="center" vertical="center" shrinkToFit="1"/>
    </xf>
    <xf numFmtId="41" fontId="58" fillId="0" borderId="39" xfId="11775" applyFont="1" applyFill="1" applyBorder="1" applyAlignment="1">
      <alignment vertical="center" shrinkToFit="1"/>
    </xf>
    <xf numFmtId="0" fontId="58" fillId="0" borderId="39" xfId="0" applyFont="1" applyBorder="1" applyAlignment="1">
      <alignment vertical="center" shrinkToFit="1"/>
    </xf>
    <xf numFmtId="168" fontId="58" fillId="0" borderId="39" xfId="11775" applyNumberFormat="1" applyFont="1" applyFill="1" applyBorder="1" applyAlignment="1">
      <alignment vertical="center" shrinkToFit="1"/>
    </xf>
    <xf numFmtId="41" fontId="62" fillId="0" borderId="39" xfId="11775" applyFont="1" applyFill="1" applyBorder="1" applyAlignment="1">
      <alignment vertical="center" shrinkToFit="1"/>
    </xf>
    <xf numFmtId="0" fontId="62" fillId="0" borderId="39" xfId="0" applyFont="1" applyBorder="1" applyAlignment="1">
      <alignment vertical="center" shrinkToFit="1"/>
    </xf>
    <xf numFmtId="41" fontId="58" fillId="0" borderId="39" xfId="11775" applyFont="1" applyFill="1" applyBorder="1" applyAlignment="1">
      <alignment horizontal="center" vertical="center" shrinkToFit="1"/>
    </xf>
    <xf numFmtId="41" fontId="70" fillId="0" borderId="39" xfId="11775" applyFont="1" applyFill="1" applyBorder="1" applyAlignment="1">
      <alignment vertical="center" shrinkToFit="1"/>
    </xf>
    <xf numFmtId="41" fontId="70" fillId="0" borderId="39" xfId="11775" applyFont="1" applyFill="1" applyBorder="1" applyAlignment="1">
      <alignment horizontal="left" vertical="center" shrinkToFit="1"/>
    </xf>
    <xf numFmtId="168" fontId="59" fillId="0" borderId="39" xfId="11775" applyNumberFormat="1" applyFont="1" applyFill="1" applyBorder="1" applyAlignment="1">
      <alignment vertical="center" shrinkToFit="1"/>
    </xf>
    <xf numFmtId="168" fontId="59" fillId="0" borderId="39" xfId="11775" applyNumberFormat="1" applyFont="1" applyFill="1" applyBorder="1" applyAlignment="1">
      <alignment horizontal="left" vertical="center" shrinkToFit="1"/>
    </xf>
    <xf numFmtId="168" fontId="58" fillId="0" borderId="39" xfId="11775" applyNumberFormat="1" applyFont="1" applyFill="1" applyBorder="1" applyAlignment="1">
      <alignment horizontal="center" vertical="center" shrinkToFit="1"/>
    </xf>
    <xf numFmtId="41" fontId="58" fillId="0" borderId="39" xfId="11775" applyFont="1" applyFill="1" applyBorder="1" applyAlignment="1">
      <alignment horizontal="left" vertical="center" shrinkToFit="1"/>
    </xf>
    <xf numFmtId="0" fontId="58" fillId="0" borderId="39" xfId="0" quotePrefix="1" applyFont="1" applyBorder="1" applyAlignment="1">
      <alignment horizontal="center" vertical="center" shrinkToFit="1"/>
    </xf>
    <xf numFmtId="169" fontId="58" fillId="0" borderId="39" xfId="11775" applyNumberFormat="1" applyFont="1" applyFill="1" applyBorder="1" applyAlignment="1">
      <alignment vertical="center" shrinkToFit="1"/>
    </xf>
    <xf numFmtId="168" fontId="58" fillId="0" borderId="39" xfId="11775" applyNumberFormat="1" applyFont="1" applyBorder="1" applyAlignment="1">
      <alignment horizontal="center" vertical="center" shrinkToFit="1"/>
    </xf>
    <xf numFmtId="1" fontId="58" fillId="0" borderId="39" xfId="11775" applyNumberFormat="1" applyFont="1" applyFill="1" applyBorder="1" applyAlignment="1">
      <alignment horizontal="center" vertical="center" shrinkToFit="1"/>
    </xf>
    <xf numFmtId="0" fontId="72" fillId="0" borderId="0" xfId="0" applyFont="1" applyAlignment="1">
      <alignment horizontal="center" vertical="center"/>
    </xf>
    <xf numFmtId="0" fontId="73" fillId="0" borderId="0" xfId="0" applyFont="1"/>
    <xf numFmtId="0" fontId="71" fillId="57" borderId="32" xfId="0" applyFont="1" applyFill="1" applyBorder="1"/>
    <xf numFmtId="0" fontId="62" fillId="57" borderId="33" xfId="0" applyFont="1" applyFill="1" applyBorder="1" applyAlignment="1">
      <alignment horizontal="center" vertical="center" shrinkToFit="1"/>
    </xf>
    <xf numFmtId="41" fontId="62" fillId="57" borderId="33" xfId="11775" applyFont="1" applyFill="1" applyBorder="1" applyAlignment="1">
      <alignment horizontal="left" vertical="center" shrinkToFit="1"/>
    </xf>
    <xf numFmtId="0" fontId="62" fillId="57" borderId="33" xfId="0" quotePrefix="1" applyFont="1" applyFill="1" applyBorder="1" applyAlignment="1">
      <alignment horizontal="center" vertical="center" shrinkToFit="1"/>
    </xf>
    <xf numFmtId="41" fontId="70" fillId="57" borderId="33" xfId="11775" applyFont="1" applyFill="1" applyBorder="1" applyAlignment="1">
      <alignment horizontal="left" vertical="center" shrinkToFit="1"/>
    </xf>
    <xf numFmtId="0" fontId="59" fillId="57" borderId="33" xfId="0" applyFont="1" applyFill="1" applyBorder="1" applyAlignment="1">
      <alignment horizontal="center" vertical="center" shrinkToFit="1"/>
    </xf>
    <xf numFmtId="0" fontId="58" fillId="57" borderId="33" xfId="0" applyFont="1" applyFill="1" applyBorder="1" applyAlignment="1">
      <alignment horizontal="center" vertical="center" shrinkToFit="1"/>
    </xf>
    <xf numFmtId="41" fontId="59" fillId="57" borderId="33" xfId="11775" applyFont="1" applyFill="1" applyBorder="1" applyAlignment="1">
      <alignment vertical="center" shrinkToFit="1"/>
    </xf>
    <xf numFmtId="169" fontId="59" fillId="57" borderId="33" xfId="11775" applyNumberFormat="1" applyFont="1" applyFill="1" applyBorder="1" applyAlignment="1">
      <alignment horizontal="center" vertical="center" shrinkToFit="1"/>
    </xf>
    <xf numFmtId="41" fontId="70" fillId="57" borderId="33" xfId="11775" applyFont="1" applyFill="1" applyBorder="1" applyAlignment="1">
      <alignment horizontal="center" vertical="center" shrinkToFit="1"/>
    </xf>
    <xf numFmtId="41" fontId="59" fillId="57" borderId="33" xfId="11775" applyFont="1" applyFill="1" applyBorder="1" applyAlignment="1">
      <alignment horizontal="center" vertical="center" shrinkToFit="1"/>
    </xf>
    <xf numFmtId="169" fontId="69" fillId="57" borderId="33" xfId="11775" applyNumberFormat="1" applyFont="1" applyFill="1" applyBorder="1" applyAlignment="1">
      <alignment horizontal="center" vertical="center" shrinkToFit="1"/>
    </xf>
    <xf numFmtId="41" fontId="62" fillId="57" borderId="33" xfId="11775" applyFont="1" applyFill="1" applyBorder="1" applyAlignment="1">
      <alignment horizontal="center" vertical="center" shrinkToFit="1"/>
    </xf>
    <xf numFmtId="168" fontId="59" fillId="57" borderId="33" xfId="11775" applyNumberFormat="1" applyFont="1" applyFill="1" applyBorder="1" applyAlignment="1">
      <alignment vertical="center" shrinkToFit="1"/>
    </xf>
    <xf numFmtId="41" fontId="70" fillId="57" borderId="33" xfId="11775" applyFont="1" applyFill="1" applyBorder="1" applyAlignment="1">
      <alignment vertical="center" shrinkToFit="1"/>
    </xf>
    <xf numFmtId="41" fontId="70" fillId="57" borderId="34" xfId="11775" applyFont="1" applyFill="1" applyBorder="1" applyAlignment="1">
      <alignment vertical="center" shrinkToFit="1"/>
    </xf>
    <xf numFmtId="0" fontId="71" fillId="57" borderId="40" xfId="0" applyFont="1" applyFill="1" applyBorder="1"/>
    <xf numFmtId="1" fontId="69" fillId="57" borderId="41" xfId="0" applyNumberFormat="1" applyFont="1" applyFill="1" applyBorder="1" applyAlignment="1">
      <alignment horizontal="left" vertical="center" shrinkToFit="1"/>
    </xf>
    <xf numFmtId="0" fontId="62" fillId="57" borderId="41" xfId="0" applyFont="1" applyFill="1" applyBorder="1" applyAlignment="1">
      <alignment horizontal="center" vertical="center" shrinkToFit="1"/>
    </xf>
    <xf numFmtId="41" fontId="62" fillId="57" borderId="41" xfId="11775" applyFont="1" applyFill="1" applyBorder="1" applyAlignment="1">
      <alignment horizontal="left" vertical="center" shrinkToFit="1"/>
    </xf>
    <xf numFmtId="0" fontId="62" fillId="57" borderId="41" xfId="0" quotePrefix="1" applyFont="1" applyFill="1" applyBorder="1" applyAlignment="1">
      <alignment horizontal="center" vertical="center" shrinkToFit="1"/>
    </xf>
    <xf numFmtId="41" fontId="70" fillId="57" borderId="41" xfId="11775" applyFont="1" applyFill="1" applyBorder="1" applyAlignment="1">
      <alignment horizontal="left" vertical="center" shrinkToFit="1"/>
    </xf>
    <xf numFmtId="0" fontId="59" fillId="57" borderId="41" xfId="0" applyFont="1" applyFill="1" applyBorder="1" applyAlignment="1">
      <alignment horizontal="center" vertical="center" shrinkToFit="1"/>
    </xf>
    <xf numFmtId="0" fontId="58" fillId="57" borderId="41" xfId="0" applyFont="1" applyFill="1" applyBorder="1" applyAlignment="1">
      <alignment horizontal="center" vertical="center" shrinkToFit="1"/>
    </xf>
    <xf numFmtId="41" fontId="59" fillId="57" borderId="41" xfId="11775" applyFont="1" applyFill="1" applyBorder="1" applyAlignment="1">
      <alignment vertical="center" shrinkToFit="1"/>
    </xf>
    <xf numFmtId="169" fontId="59" fillId="57" borderId="41" xfId="11775" applyNumberFormat="1" applyFont="1" applyFill="1" applyBorder="1" applyAlignment="1">
      <alignment horizontal="center" vertical="center" shrinkToFit="1"/>
    </xf>
    <xf numFmtId="41" fontId="70" fillId="57" borderId="41" xfId="11775" applyFont="1" applyFill="1" applyBorder="1" applyAlignment="1">
      <alignment horizontal="center" vertical="center" shrinkToFit="1"/>
    </xf>
    <xf numFmtId="41" fontId="59" fillId="57" borderId="41" xfId="11775" applyFont="1" applyFill="1" applyBorder="1" applyAlignment="1">
      <alignment horizontal="center" vertical="center" shrinkToFit="1"/>
    </xf>
    <xf numFmtId="169" fontId="69" fillId="57" borderId="41" xfId="11775" applyNumberFormat="1" applyFont="1" applyFill="1" applyBorder="1" applyAlignment="1">
      <alignment horizontal="center" vertical="center" shrinkToFit="1"/>
    </xf>
    <xf numFmtId="41" fontId="62" fillId="57" borderId="41" xfId="11775" applyFont="1" applyFill="1" applyBorder="1" applyAlignment="1">
      <alignment horizontal="center" vertical="center" shrinkToFit="1"/>
    </xf>
    <xf numFmtId="168" fontId="59" fillId="57" borderId="41" xfId="11775" applyNumberFormat="1" applyFont="1" applyFill="1" applyBorder="1" applyAlignment="1">
      <alignment vertical="center" shrinkToFit="1"/>
    </xf>
    <xf numFmtId="41" fontId="70" fillId="57" borderId="41" xfId="11775" applyFont="1" applyFill="1" applyBorder="1" applyAlignment="1">
      <alignment vertical="center" shrinkToFit="1"/>
    </xf>
    <xf numFmtId="41" fontId="70" fillId="57" borderId="42" xfId="11775" applyFont="1" applyFill="1" applyBorder="1" applyAlignment="1">
      <alignment vertical="center" shrinkToFit="1"/>
    </xf>
    <xf numFmtId="41" fontId="69" fillId="57" borderId="33" xfId="11775" applyFont="1" applyFill="1" applyBorder="1" applyAlignment="1">
      <alignment horizontal="center" vertical="center" shrinkToFit="1"/>
    </xf>
    <xf numFmtId="1" fontId="58" fillId="0" borderId="39" xfId="11774" applyNumberFormat="1" applyFont="1" applyFill="1" applyBorder="1" applyAlignment="1">
      <alignment horizontal="center" vertical="center" shrinkToFit="1"/>
    </xf>
    <xf numFmtId="1" fontId="59" fillId="0" borderId="39" xfId="0" applyNumberFormat="1" applyFont="1" applyBorder="1" applyAlignment="1">
      <alignment horizontal="center" vertical="center" shrinkToFit="1"/>
    </xf>
    <xf numFmtId="1" fontId="59" fillId="57" borderId="33" xfId="0" applyNumberFormat="1" applyFont="1" applyFill="1" applyBorder="1" applyAlignment="1">
      <alignment horizontal="center" vertical="center" shrinkToFit="1"/>
    </xf>
    <xf numFmtId="1" fontId="59" fillId="57" borderId="41" xfId="0" applyNumberFormat="1" applyFont="1" applyFill="1" applyBorder="1" applyAlignment="1">
      <alignment horizontal="center" vertical="center" shrinkToFit="1"/>
    </xf>
    <xf numFmtId="1" fontId="69" fillId="57" borderId="33" xfId="11774" applyNumberFormat="1" applyFont="1" applyFill="1" applyBorder="1" applyAlignment="1">
      <alignment horizontal="center" vertical="center" shrinkToFit="1"/>
    </xf>
    <xf numFmtId="1" fontId="69" fillId="57" borderId="41" xfId="11774" applyNumberFormat="1" applyFont="1" applyFill="1" applyBorder="1" applyAlignment="1">
      <alignment horizontal="center" vertical="center" shrinkToFit="1"/>
    </xf>
    <xf numFmtId="41" fontId="70" fillId="0" borderId="0" xfId="11775" applyFont="1" applyBorder="1" applyAlignment="1">
      <alignment vertical="center" shrinkToFit="1"/>
    </xf>
    <xf numFmtId="41" fontId="66" fillId="0" borderId="0" xfId="11775" applyFont="1" applyAlignment="1">
      <alignment horizontal="left" vertical="center" shrinkToFit="1"/>
    </xf>
    <xf numFmtId="41" fontId="63" fillId="0" borderId="0" xfId="11775" applyFont="1" applyAlignment="1">
      <alignment horizontal="left" vertical="center" shrinkToFit="1"/>
    </xf>
    <xf numFmtId="41" fontId="0" fillId="0" borderId="0" xfId="11775" applyFont="1" applyAlignment="1">
      <alignment horizontal="left"/>
    </xf>
    <xf numFmtId="1" fontId="58" fillId="58" borderId="39" xfId="11774" applyNumberFormat="1" applyFont="1" applyFill="1" applyBorder="1" applyAlignment="1">
      <alignment horizontal="center" vertical="center" shrinkToFit="1"/>
    </xf>
    <xf numFmtId="41" fontId="74" fillId="0" borderId="39" xfId="11775" applyFont="1" applyFill="1" applyBorder="1" applyAlignment="1">
      <alignment horizontal="left" vertical="center" shrinkToFit="1"/>
    </xf>
    <xf numFmtId="1" fontId="59" fillId="58" borderId="39" xfId="0" applyNumberFormat="1" applyFont="1" applyFill="1" applyBorder="1" applyAlignment="1">
      <alignment horizontal="center" vertical="center" shrinkToFit="1"/>
    </xf>
    <xf numFmtId="168" fontId="75" fillId="58" borderId="39" xfId="11775" applyNumberFormat="1" applyFont="1" applyFill="1" applyBorder="1" applyAlignment="1">
      <alignment horizontal="center" vertical="center" shrinkToFit="1"/>
    </xf>
    <xf numFmtId="1" fontId="75" fillId="58" borderId="39" xfId="11774" applyNumberFormat="1" applyFont="1" applyFill="1" applyBorder="1" applyAlignment="1">
      <alignment horizontal="center" vertical="center" shrinkToFit="1"/>
    </xf>
    <xf numFmtId="1" fontId="75" fillId="58" borderId="39" xfId="0" applyNumberFormat="1" applyFont="1" applyFill="1" applyBorder="1" applyAlignment="1">
      <alignment horizontal="center" vertical="center" shrinkToFit="1"/>
    </xf>
    <xf numFmtId="0" fontId="75" fillId="58" borderId="39" xfId="0" applyFont="1" applyFill="1" applyBorder="1" applyAlignment="1">
      <alignment horizontal="center" vertical="center" shrinkToFit="1"/>
    </xf>
    <xf numFmtId="41" fontId="75" fillId="58" borderId="39" xfId="11775" applyFont="1" applyFill="1" applyBorder="1" applyAlignment="1">
      <alignment vertical="center" shrinkToFit="1"/>
    </xf>
    <xf numFmtId="169" fontId="75" fillId="58" borderId="39" xfId="11775" applyNumberFormat="1" applyFont="1" applyFill="1" applyBorder="1" applyAlignment="1">
      <alignment horizontal="center" vertical="center" shrinkToFit="1"/>
    </xf>
    <xf numFmtId="41" fontId="76" fillId="58" borderId="39" xfId="11775" applyFont="1" applyFill="1" applyBorder="1" applyAlignment="1">
      <alignment horizontal="center" vertical="center" shrinkToFit="1"/>
    </xf>
    <xf numFmtId="41" fontId="75" fillId="58" borderId="39" xfId="11775" applyFont="1" applyFill="1" applyBorder="1" applyAlignment="1">
      <alignment horizontal="center" vertical="center" shrinkToFit="1"/>
    </xf>
    <xf numFmtId="41" fontId="75" fillId="0" borderId="39" xfId="11775" applyFont="1" applyBorder="1" applyAlignment="1">
      <alignment horizontal="center" vertical="center" shrinkToFit="1"/>
    </xf>
    <xf numFmtId="41" fontId="75" fillId="0" borderId="39" xfId="11775" applyFont="1" applyBorder="1" applyAlignment="1">
      <alignment vertical="center" shrinkToFit="1"/>
    </xf>
    <xf numFmtId="0" fontId="75" fillId="0" borderId="39" xfId="0" applyFont="1" applyBorder="1" applyAlignment="1">
      <alignment horizontal="center" vertical="center" shrinkToFit="1"/>
    </xf>
    <xf numFmtId="168" fontId="75" fillId="0" borderId="39" xfId="11775" applyNumberFormat="1" applyFont="1" applyFill="1" applyBorder="1" applyAlignment="1">
      <alignment horizontal="center" vertical="center" shrinkToFit="1"/>
    </xf>
    <xf numFmtId="1" fontId="69" fillId="57" borderId="33" xfId="0" applyNumberFormat="1" applyFont="1" applyFill="1" applyBorder="1" applyAlignment="1">
      <alignment horizontal="left" vertical="center" shrinkToFit="1"/>
    </xf>
    <xf numFmtId="41" fontId="60" fillId="55" borderId="35" xfId="11775" applyFont="1" applyFill="1" applyBorder="1" applyAlignment="1">
      <alignment horizontal="center" vertical="center" shrinkToFit="1"/>
    </xf>
    <xf numFmtId="41" fontId="60" fillId="55" borderId="48" xfId="11775" applyFont="1" applyFill="1" applyBorder="1" applyAlignment="1">
      <alignment horizontal="center" vertical="center" shrinkToFit="1"/>
    </xf>
    <xf numFmtId="41" fontId="61" fillId="55" borderId="29" xfId="11775" applyFont="1" applyFill="1" applyBorder="1" applyAlignment="1">
      <alignment horizontal="center" vertical="center" shrinkToFit="1"/>
    </xf>
    <xf numFmtId="41" fontId="61" fillId="55" borderId="24" xfId="11775" applyFont="1" applyFill="1" applyBorder="1" applyAlignment="1">
      <alignment horizontal="center" vertical="center" shrinkToFit="1"/>
    </xf>
    <xf numFmtId="41" fontId="61" fillId="55" borderId="30" xfId="11775" applyFont="1" applyFill="1" applyBorder="1" applyAlignment="1">
      <alignment horizontal="center" vertical="center" shrinkToFit="1"/>
    </xf>
    <xf numFmtId="0" fontId="56" fillId="55" borderId="32" xfId="0" applyFont="1" applyFill="1" applyBorder="1" applyAlignment="1">
      <alignment horizontal="center" vertical="center" shrinkToFit="1"/>
    </xf>
    <xf numFmtId="0" fontId="56" fillId="55" borderId="34" xfId="0" applyFont="1" applyFill="1" applyBorder="1" applyAlignment="1">
      <alignment horizontal="center" vertical="center" shrinkToFit="1"/>
    </xf>
    <xf numFmtId="0" fontId="56" fillId="55" borderId="45" xfId="0" applyFont="1" applyFill="1" applyBorder="1" applyAlignment="1">
      <alignment horizontal="center" vertical="center" shrinkToFit="1"/>
    </xf>
    <xf numFmtId="0" fontId="56" fillId="55" borderId="47" xfId="0" applyFont="1" applyFill="1" applyBorder="1" applyAlignment="1">
      <alignment horizontal="center" vertical="center" shrinkToFit="1"/>
    </xf>
    <xf numFmtId="41" fontId="56" fillId="55" borderId="45" xfId="11775" applyFont="1" applyFill="1" applyBorder="1" applyAlignment="1">
      <alignment horizontal="center" vertical="center" shrinkToFit="1"/>
    </xf>
    <xf numFmtId="41" fontId="56" fillId="55" borderId="46" xfId="11775" applyFont="1" applyFill="1" applyBorder="1" applyAlignment="1">
      <alignment horizontal="center" vertical="center" shrinkToFit="1"/>
    </xf>
    <xf numFmtId="41" fontId="56" fillId="55" borderId="47" xfId="11775" applyFont="1" applyFill="1" applyBorder="1" applyAlignment="1">
      <alignment horizontal="center" vertical="center" shrinkToFit="1"/>
    </xf>
    <xf numFmtId="41" fontId="68" fillId="55" borderId="50" xfId="11775" applyFont="1" applyFill="1" applyBorder="1" applyAlignment="1">
      <alignment horizontal="center" vertical="center" shrinkToFit="1"/>
    </xf>
    <xf numFmtId="41" fontId="68" fillId="55" borderId="51" xfId="11775" applyFont="1" applyFill="1" applyBorder="1" applyAlignment="1">
      <alignment horizontal="center" vertical="center" shrinkToFit="1"/>
    </xf>
    <xf numFmtId="41" fontId="68" fillId="55" borderId="52" xfId="11775" applyFont="1" applyFill="1" applyBorder="1" applyAlignment="1">
      <alignment horizontal="center" vertical="center" shrinkToFit="1"/>
    </xf>
    <xf numFmtId="0" fontId="68" fillId="55" borderId="23" xfId="0" applyFont="1" applyFill="1" applyBorder="1" applyAlignment="1">
      <alignment horizontal="center" vertical="center" shrinkToFit="1"/>
    </xf>
    <xf numFmtId="0" fontId="68" fillId="55" borderId="24" xfId="0" applyFont="1" applyFill="1" applyBorder="1" applyAlignment="1">
      <alignment horizontal="center" vertical="center" shrinkToFit="1"/>
    </xf>
    <xf numFmtId="0" fontId="68" fillId="55" borderId="25" xfId="0" applyFont="1" applyFill="1" applyBorder="1" applyAlignment="1">
      <alignment horizontal="center" vertical="center" shrinkToFit="1"/>
    </xf>
    <xf numFmtId="0" fontId="65" fillId="55" borderId="26" xfId="0" applyFont="1" applyFill="1" applyBorder="1" applyAlignment="1">
      <alignment horizontal="center" vertical="center" shrinkToFit="1"/>
    </xf>
    <xf numFmtId="0" fontId="65" fillId="55" borderId="27" xfId="0" applyFont="1" applyFill="1" applyBorder="1" applyAlignment="1">
      <alignment horizontal="center" vertical="center" shrinkToFit="1"/>
    </xf>
    <xf numFmtId="0" fontId="65" fillId="55" borderId="28" xfId="0" applyFont="1" applyFill="1" applyBorder="1" applyAlignment="1">
      <alignment horizontal="center" vertical="center" shrinkToFit="1"/>
    </xf>
    <xf numFmtId="0" fontId="65" fillId="55" borderId="40" xfId="0" applyFont="1" applyFill="1" applyBorder="1" applyAlignment="1">
      <alignment horizontal="center" vertical="center" shrinkToFit="1"/>
    </xf>
    <xf numFmtId="0" fontId="65" fillId="55" borderId="41" xfId="0" applyFont="1" applyFill="1" applyBorder="1" applyAlignment="1">
      <alignment horizontal="center" vertical="center" shrinkToFit="1"/>
    </xf>
    <xf numFmtId="0" fontId="65" fillId="55" borderId="42" xfId="0" applyFont="1" applyFill="1" applyBorder="1" applyAlignment="1">
      <alignment horizontal="center" vertical="center" shrinkToFit="1"/>
    </xf>
    <xf numFmtId="41" fontId="68" fillId="55" borderId="26" xfId="11775" applyFont="1" applyFill="1" applyBorder="1" applyAlignment="1">
      <alignment horizontal="center" vertical="center" shrinkToFit="1"/>
    </xf>
    <xf numFmtId="41" fontId="68" fillId="55" borderId="27" xfId="11775" applyFont="1" applyFill="1" applyBorder="1" applyAlignment="1">
      <alignment horizontal="center" vertical="center" shrinkToFit="1"/>
    </xf>
    <xf numFmtId="41" fontId="68" fillId="55" borderId="28" xfId="11775" applyFont="1" applyFill="1" applyBorder="1" applyAlignment="1">
      <alignment horizontal="center" vertical="center" shrinkToFit="1"/>
    </xf>
    <xf numFmtId="41" fontId="68" fillId="55" borderId="40" xfId="11775" applyFont="1" applyFill="1" applyBorder="1" applyAlignment="1">
      <alignment horizontal="center" vertical="center" shrinkToFit="1"/>
    </xf>
    <xf numFmtId="41" fontId="68" fillId="55" borderId="41" xfId="11775" applyFont="1" applyFill="1" applyBorder="1" applyAlignment="1">
      <alignment horizontal="center" vertical="center" shrinkToFit="1"/>
    </xf>
    <xf numFmtId="41" fontId="68" fillId="55" borderId="42" xfId="11775" applyFont="1" applyFill="1" applyBorder="1" applyAlignment="1">
      <alignment horizontal="center" vertical="center" shrinkToFit="1"/>
    </xf>
    <xf numFmtId="41" fontId="56" fillId="55" borderId="36" xfId="11775" applyFont="1" applyFill="1" applyBorder="1" applyAlignment="1">
      <alignment horizontal="center" vertical="center" shrinkToFit="1"/>
    </xf>
    <xf numFmtId="41" fontId="56" fillId="55" borderId="37" xfId="11775" applyFont="1" applyFill="1" applyBorder="1" applyAlignment="1">
      <alignment horizontal="center" vertical="center" shrinkToFit="1"/>
    </xf>
    <xf numFmtId="41" fontId="56" fillId="55" borderId="38" xfId="11775" applyFont="1" applyFill="1" applyBorder="1" applyAlignment="1">
      <alignment horizontal="center" vertical="center" shrinkToFit="1"/>
    </xf>
    <xf numFmtId="41" fontId="56" fillId="55" borderId="32" xfId="11775" applyFont="1" applyFill="1" applyBorder="1" applyAlignment="1">
      <alignment horizontal="center" vertical="center" shrinkToFit="1"/>
    </xf>
    <xf numFmtId="41" fontId="56" fillId="55" borderId="33" xfId="11775" applyFont="1" applyFill="1" applyBorder="1" applyAlignment="1">
      <alignment horizontal="center" vertical="center" shrinkToFit="1"/>
    </xf>
    <xf numFmtId="41" fontId="56" fillId="55" borderId="34" xfId="11775" applyFont="1" applyFill="1" applyBorder="1" applyAlignment="1">
      <alignment horizontal="center" vertical="center" shrinkToFit="1"/>
    </xf>
    <xf numFmtId="0" fontId="56" fillId="55" borderId="35" xfId="0" applyFont="1" applyFill="1" applyBorder="1" applyAlignment="1">
      <alignment horizontal="center" vertical="center" shrinkToFit="1"/>
    </xf>
    <xf numFmtId="0" fontId="56" fillId="55" borderId="48" xfId="0" applyFont="1" applyFill="1" applyBorder="1" applyAlignment="1">
      <alignment horizontal="center" vertical="center" shrinkToFit="1"/>
    </xf>
    <xf numFmtId="0" fontId="56" fillId="55" borderId="40" xfId="0" applyFont="1" applyFill="1" applyBorder="1" applyAlignment="1">
      <alignment horizontal="center" vertical="center" shrinkToFit="1"/>
    </xf>
    <xf numFmtId="0" fontId="56" fillId="55" borderId="42" xfId="0" applyFont="1" applyFill="1" applyBorder="1" applyAlignment="1">
      <alignment horizontal="center" vertical="center" shrinkToFit="1"/>
    </xf>
    <xf numFmtId="0" fontId="56" fillId="55" borderId="33" xfId="0" applyFont="1" applyFill="1" applyBorder="1" applyAlignment="1">
      <alignment horizontal="center" vertical="center" shrinkToFit="1"/>
    </xf>
    <xf numFmtId="0" fontId="56" fillId="55" borderId="41" xfId="0" applyFont="1" applyFill="1" applyBorder="1" applyAlignment="1">
      <alignment horizontal="center" vertical="center" shrinkToFit="1"/>
    </xf>
    <xf numFmtId="41" fontId="61" fillId="55" borderId="35" xfId="11775" applyFont="1" applyFill="1" applyBorder="1" applyAlignment="1">
      <alignment horizontal="center" vertical="center" shrinkToFit="1"/>
    </xf>
    <xf numFmtId="41" fontId="61" fillId="55" borderId="48" xfId="11775" applyFont="1" applyFill="1" applyBorder="1" applyAlignment="1">
      <alignment horizontal="center" vertical="center" shrinkToFit="1"/>
    </xf>
  </cellXfs>
  <cellStyles count="11779">
    <cellStyle name="20% - Accent1" xfId="18" builtinId="30" customBuiltin="1"/>
    <cellStyle name="20% - Accent1 2" xfId="62" xr:uid="{00000000-0005-0000-0000-000001000000}"/>
    <cellStyle name="20% - Accent1 3" xfId="363" xr:uid="{00000000-0005-0000-0000-000002000000}"/>
    <cellStyle name="20% - Accent1 4" xfId="5965" xr:uid="{00000000-0005-0000-0000-000003000000}"/>
    <cellStyle name="20% - Accent2" xfId="22" builtinId="34" customBuiltin="1"/>
    <cellStyle name="20% - Accent2 2" xfId="61" xr:uid="{00000000-0005-0000-0000-000005000000}"/>
    <cellStyle name="20% - Accent2 3" xfId="375" xr:uid="{00000000-0005-0000-0000-000006000000}"/>
    <cellStyle name="20% - Accent2 4" xfId="5969" xr:uid="{00000000-0005-0000-0000-000007000000}"/>
    <cellStyle name="20% - Accent3" xfId="26" builtinId="38" customBuiltin="1"/>
    <cellStyle name="20% - Accent3 2" xfId="60" xr:uid="{00000000-0005-0000-0000-000009000000}"/>
    <cellStyle name="20% - Accent3 3" xfId="366" xr:uid="{00000000-0005-0000-0000-00000A000000}"/>
    <cellStyle name="20% - Accent3 4" xfId="5973" xr:uid="{00000000-0005-0000-0000-00000B000000}"/>
    <cellStyle name="20% - Accent4" xfId="30" builtinId="42" customBuiltin="1"/>
    <cellStyle name="20% - Accent4 2" xfId="59" xr:uid="{00000000-0005-0000-0000-00000D000000}"/>
    <cellStyle name="20% - Accent4 3" xfId="376" xr:uid="{00000000-0005-0000-0000-00000E000000}"/>
    <cellStyle name="20% - Accent4 4" xfId="5977" xr:uid="{00000000-0005-0000-0000-00000F000000}"/>
    <cellStyle name="20% - Accent5" xfId="34" builtinId="46" customBuiltin="1"/>
    <cellStyle name="20% - Accent5 2" xfId="58" xr:uid="{00000000-0005-0000-0000-000011000000}"/>
    <cellStyle name="20% - Accent5 3" xfId="381" xr:uid="{00000000-0005-0000-0000-000012000000}"/>
    <cellStyle name="20% - Accent5 4" xfId="5981" xr:uid="{00000000-0005-0000-0000-000013000000}"/>
    <cellStyle name="20% - Accent6" xfId="38" builtinId="50" customBuiltin="1"/>
    <cellStyle name="20% - Accent6 2" xfId="57" xr:uid="{00000000-0005-0000-0000-000015000000}"/>
    <cellStyle name="20% - Accent6 3" xfId="374" xr:uid="{00000000-0005-0000-0000-000016000000}"/>
    <cellStyle name="20% - Accent6 4" xfId="5985" xr:uid="{00000000-0005-0000-0000-000017000000}"/>
    <cellStyle name="40% - Accent1" xfId="19" builtinId="31" customBuiltin="1"/>
    <cellStyle name="40% - Accent1 2" xfId="52" xr:uid="{00000000-0005-0000-0000-000019000000}"/>
    <cellStyle name="40% - Accent1 3" xfId="379" xr:uid="{00000000-0005-0000-0000-00001A000000}"/>
    <cellStyle name="40% - Accent1 4" xfId="5966" xr:uid="{00000000-0005-0000-0000-00001B000000}"/>
    <cellStyle name="40% - Accent2" xfId="23" builtinId="35" customBuiltin="1"/>
    <cellStyle name="40% - Accent2 2" xfId="56" xr:uid="{00000000-0005-0000-0000-00001D000000}"/>
    <cellStyle name="40% - Accent2 3" xfId="371" xr:uid="{00000000-0005-0000-0000-00001E000000}"/>
    <cellStyle name="40% - Accent2 4" xfId="5970" xr:uid="{00000000-0005-0000-0000-00001F000000}"/>
    <cellStyle name="40% - Accent3" xfId="27" builtinId="39" customBuiltin="1"/>
    <cellStyle name="40% - Accent3 2" xfId="55" xr:uid="{00000000-0005-0000-0000-000021000000}"/>
    <cellStyle name="40% - Accent3 3" xfId="386" xr:uid="{00000000-0005-0000-0000-000022000000}"/>
    <cellStyle name="40% - Accent3 4" xfId="5974" xr:uid="{00000000-0005-0000-0000-000023000000}"/>
    <cellStyle name="40% - Accent4" xfId="31" builtinId="43" customBuiltin="1"/>
    <cellStyle name="40% - Accent4 2" xfId="54" xr:uid="{00000000-0005-0000-0000-000025000000}"/>
    <cellStyle name="40% - Accent4 3" xfId="384" xr:uid="{00000000-0005-0000-0000-000026000000}"/>
    <cellStyle name="40% - Accent4 4" xfId="5978" xr:uid="{00000000-0005-0000-0000-000027000000}"/>
    <cellStyle name="40% - Accent5" xfId="35" builtinId="47" customBuiltin="1"/>
    <cellStyle name="40% - Accent5 2" xfId="53" xr:uid="{00000000-0005-0000-0000-000029000000}"/>
    <cellStyle name="40% - Accent5 3" xfId="391" xr:uid="{00000000-0005-0000-0000-00002A000000}"/>
    <cellStyle name="40% - Accent5 4" xfId="5982" xr:uid="{00000000-0005-0000-0000-00002B000000}"/>
    <cellStyle name="40% - Accent6" xfId="39" builtinId="51" customBuiltin="1"/>
    <cellStyle name="40% - Accent6 2" xfId="64" xr:uid="{00000000-0005-0000-0000-00002D000000}"/>
    <cellStyle name="40% - Accent6 3" xfId="385" xr:uid="{00000000-0005-0000-0000-00002E000000}"/>
    <cellStyle name="40% - Accent6 4" xfId="5986" xr:uid="{00000000-0005-0000-0000-00002F000000}"/>
    <cellStyle name="60% - Accent1" xfId="20" builtinId="32" customBuiltin="1"/>
    <cellStyle name="60% - Accent1 2" xfId="65" xr:uid="{00000000-0005-0000-0000-000031000000}"/>
    <cellStyle name="60% - Accent1 3" xfId="104" xr:uid="{00000000-0005-0000-0000-000032000000}"/>
    <cellStyle name="60% - Accent1 4" xfId="633" xr:uid="{00000000-0005-0000-0000-000033000000}"/>
    <cellStyle name="60% - Accent1 5" xfId="5967" xr:uid="{00000000-0005-0000-0000-000034000000}"/>
    <cellStyle name="60% - Accent2" xfId="24" builtinId="36" customBuiltin="1"/>
    <cellStyle name="60% - Accent2 2" xfId="66" xr:uid="{00000000-0005-0000-0000-000036000000}"/>
    <cellStyle name="60% - Accent2 3" xfId="105" xr:uid="{00000000-0005-0000-0000-000037000000}"/>
    <cellStyle name="60% - Accent2 4" xfId="357" xr:uid="{00000000-0005-0000-0000-000038000000}"/>
    <cellStyle name="60% - Accent2 5" xfId="5971" xr:uid="{00000000-0005-0000-0000-000039000000}"/>
    <cellStyle name="60% - Accent3" xfId="28" builtinId="40" customBuiltin="1"/>
    <cellStyle name="60% - Accent3 2" xfId="67" xr:uid="{00000000-0005-0000-0000-00003B000000}"/>
    <cellStyle name="60% - Accent3 3" xfId="106" xr:uid="{00000000-0005-0000-0000-00003C000000}"/>
    <cellStyle name="60% - Accent3 4" xfId="354" xr:uid="{00000000-0005-0000-0000-00003D000000}"/>
    <cellStyle name="60% - Accent3 5" xfId="5975" xr:uid="{00000000-0005-0000-0000-00003E000000}"/>
    <cellStyle name="60% - Accent4" xfId="32" builtinId="44" customBuiltin="1"/>
    <cellStyle name="60% - Accent4 2" xfId="68" xr:uid="{00000000-0005-0000-0000-000040000000}"/>
    <cellStyle name="60% - Accent4 3" xfId="107" xr:uid="{00000000-0005-0000-0000-000041000000}"/>
    <cellStyle name="60% - Accent4 4" xfId="373" xr:uid="{00000000-0005-0000-0000-000042000000}"/>
    <cellStyle name="60% - Accent4 5" xfId="5979" xr:uid="{00000000-0005-0000-0000-000043000000}"/>
    <cellStyle name="60% - Accent5" xfId="36" builtinId="48" customBuiltin="1"/>
    <cellStyle name="60% - Accent5 2" xfId="69" xr:uid="{00000000-0005-0000-0000-000045000000}"/>
    <cellStyle name="60% - Accent5 3" xfId="108" xr:uid="{00000000-0005-0000-0000-000046000000}"/>
    <cellStyle name="60% - Accent5 4" xfId="382" xr:uid="{00000000-0005-0000-0000-000047000000}"/>
    <cellStyle name="60% - Accent5 5" xfId="5983" xr:uid="{00000000-0005-0000-0000-000048000000}"/>
    <cellStyle name="60% - Accent6" xfId="40" builtinId="52" customBuiltin="1"/>
    <cellStyle name="60% - Accent6 2" xfId="70" xr:uid="{00000000-0005-0000-0000-00004A000000}"/>
    <cellStyle name="60% - Accent6 3" xfId="109" xr:uid="{00000000-0005-0000-0000-00004B000000}"/>
    <cellStyle name="60% - Accent6 4" xfId="372" xr:uid="{00000000-0005-0000-0000-00004C000000}"/>
    <cellStyle name="60% - Accent6 5" xfId="5987" xr:uid="{00000000-0005-0000-0000-00004D000000}"/>
    <cellStyle name="Accent1" xfId="17" builtinId="29" customBuiltin="1"/>
    <cellStyle name="Accent1 2" xfId="71" xr:uid="{00000000-0005-0000-0000-00004F000000}"/>
    <cellStyle name="Accent1 3" xfId="359" xr:uid="{00000000-0005-0000-0000-000050000000}"/>
    <cellStyle name="Accent1 4" xfId="5964" xr:uid="{00000000-0005-0000-0000-000051000000}"/>
    <cellStyle name="Accent2" xfId="21" builtinId="33" customBuiltin="1"/>
    <cellStyle name="Accent2 2" xfId="72" xr:uid="{00000000-0005-0000-0000-000053000000}"/>
    <cellStyle name="Accent2 3" xfId="389" xr:uid="{00000000-0005-0000-0000-000054000000}"/>
    <cellStyle name="Accent2 4" xfId="5968" xr:uid="{00000000-0005-0000-0000-000055000000}"/>
    <cellStyle name="Accent3" xfId="25" builtinId="37" customBuiltin="1"/>
    <cellStyle name="Accent3 2" xfId="73" xr:uid="{00000000-0005-0000-0000-000057000000}"/>
    <cellStyle name="Accent3 3" xfId="355" xr:uid="{00000000-0005-0000-0000-000058000000}"/>
    <cellStyle name="Accent3 4" xfId="5972" xr:uid="{00000000-0005-0000-0000-000059000000}"/>
    <cellStyle name="Accent4" xfId="29" builtinId="41" customBuiltin="1"/>
    <cellStyle name="Accent4 2" xfId="74" xr:uid="{00000000-0005-0000-0000-00005B000000}"/>
    <cellStyle name="Accent4 3" xfId="356" xr:uid="{00000000-0005-0000-0000-00005C000000}"/>
    <cellStyle name="Accent4 4" xfId="5976" xr:uid="{00000000-0005-0000-0000-00005D000000}"/>
    <cellStyle name="Accent5" xfId="33" builtinId="45" customBuiltin="1"/>
    <cellStyle name="Accent5 2" xfId="75" xr:uid="{00000000-0005-0000-0000-00005F000000}"/>
    <cellStyle name="Accent5 3" xfId="392" xr:uid="{00000000-0005-0000-0000-000060000000}"/>
    <cellStyle name="Accent5 4" xfId="5980" xr:uid="{00000000-0005-0000-0000-000061000000}"/>
    <cellStyle name="Accent6" xfId="37" builtinId="49" customBuiltin="1"/>
    <cellStyle name="Accent6 2" xfId="76" xr:uid="{00000000-0005-0000-0000-000063000000}"/>
    <cellStyle name="Accent6 3" xfId="364" xr:uid="{00000000-0005-0000-0000-000064000000}"/>
    <cellStyle name="Accent6 4" xfId="5984" xr:uid="{00000000-0005-0000-0000-000065000000}"/>
    <cellStyle name="Bad" xfId="6" builtinId="27" customBuiltin="1"/>
    <cellStyle name="Bad 2" xfId="77" xr:uid="{00000000-0005-0000-0000-000067000000}"/>
    <cellStyle name="Bad 3" xfId="390" xr:uid="{00000000-0005-0000-0000-000068000000}"/>
    <cellStyle name="Bad 4" xfId="5953" xr:uid="{00000000-0005-0000-0000-000069000000}"/>
    <cellStyle name="Calculation" xfId="10" builtinId="22" customBuiltin="1"/>
    <cellStyle name="Calculation 2" xfId="78" xr:uid="{00000000-0005-0000-0000-00006B000000}"/>
    <cellStyle name="Calculation 2 2" xfId="112" xr:uid="{00000000-0005-0000-0000-00006C000000}"/>
    <cellStyle name="Calculation 2 2 10" xfId="637" xr:uid="{00000000-0005-0000-0000-00006D000000}"/>
    <cellStyle name="Calculation 2 2 10 2" xfId="1368" xr:uid="{00000000-0005-0000-0000-00006E000000}"/>
    <cellStyle name="Calculation 2 2 10 2 2" xfId="2884" xr:uid="{00000000-0005-0000-0000-00006F000000}"/>
    <cellStyle name="Calculation 2 2 10 2 2 2" xfId="8714" xr:uid="{00000000-0005-0000-0000-000070000000}"/>
    <cellStyle name="Calculation 2 2 10 2 3" xfId="4307" xr:uid="{00000000-0005-0000-0000-000071000000}"/>
    <cellStyle name="Calculation 2 2 10 2 3 2" xfId="10137" xr:uid="{00000000-0005-0000-0000-000072000000}"/>
    <cellStyle name="Calculation 2 2 10 2 4" xfId="5703" xr:uid="{00000000-0005-0000-0000-000073000000}"/>
    <cellStyle name="Calculation 2 2 10 2 4 2" xfId="11533" xr:uid="{00000000-0005-0000-0000-000074000000}"/>
    <cellStyle name="Calculation 2 2 10 2 5" xfId="7198" xr:uid="{00000000-0005-0000-0000-000075000000}"/>
    <cellStyle name="Calculation 2 2 10 3" xfId="2157" xr:uid="{00000000-0005-0000-0000-000076000000}"/>
    <cellStyle name="Calculation 2 2 10 3 2" xfId="7987" xr:uid="{00000000-0005-0000-0000-000077000000}"/>
    <cellStyle name="Calculation 2 2 10 4" xfId="3583" xr:uid="{00000000-0005-0000-0000-000078000000}"/>
    <cellStyle name="Calculation 2 2 10 4 2" xfId="9413" xr:uid="{00000000-0005-0000-0000-000079000000}"/>
    <cellStyle name="Calculation 2 2 10 5" xfId="4979" xr:uid="{00000000-0005-0000-0000-00007A000000}"/>
    <cellStyle name="Calculation 2 2 10 5 2" xfId="10809" xr:uid="{00000000-0005-0000-0000-00007B000000}"/>
    <cellStyle name="Calculation 2 2 10 6" xfId="6474" xr:uid="{00000000-0005-0000-0000-00007C000000}"/>
    <cellStyle name="Calculation 2 2 11" xfId="881" xr:uid="{00000000-0005-0000-0000-00007D000000}"/>
    <cellStyle name="Calculation 2 2 11 2" xfId="2401" xr:uid="{00000000-0005-0000-0000-00007E000000}"/>
    <cellStyle name="Calculation 2 2 11 2 2" xfId="8231" xr:uid="{00000000-0005-0000-0000-00007F000000}"/>
    <cellStyle name="Calculation 2 2 11 3" xfId="3827" xr:uid="{00000000-0005-0000-0000-000080000000}"/>
    <cellStyle name="Calculation 2 2 11 3 2" xfId="9657" xr:uid="{00000000-0005-0000-0000-000081000000}"/>
    <cellStyle name="Calculation 2 2 11 4" xfId="5223" xr:uid="{00000000-0005-0000-0000-000082000000}"/>
    <cellStyle name="Calculation 2 2 11 4 2" xfId="11053" xr:uid="{00000000-0005-0000-0000-000083000000}"/>
    <cellStyle name="Calculation 2 2 11 5" xfId="6718" xr:uid="{00000000-0005-0000-0000-000084000000}"/>
    <cellStyle name="Calculation 2 2 12" xfId="1655" xr:uid="{00000000-0005-0000-0000-000085000000}"/>
    <cellStyle name="Calculation 2 2 12 2" xfId="7485" xr:uid="{00000000-0005-0000-0000-000086000000}"/>
    <cellStyle name="Calculation 2 2 13" xfId="1895" xr:uid="{00000000-0005-0000-0000-000087000000}"/>
    <cellStyle name="Calculation 2 2 13 2" xfId="7725" xr:uid="{00000000-0005-0000-0000-000088000000}"/>
    <cellStyle name="Calculation 2 2 14" xfId="1653" xr:uid="{00000000-0005-0000-0000-000089000000}"/>
    <cellStyle name="Calculation 2 2 14 2" xfId="7483" xr:uid="{00000000-0005-0000-0000-00008A000000}"/>
    <cellStyle name="Calculation 2 2 15" xfId="5993" xr:uid="{00000000-0005-0000-0000-00008B000000}"/>
    <cellStyle name="Calculation 2 2 2" xfId="117" xr:uid="{00000000-0005-0000-0000-00008C000000}"/>
    <cellStyle name="Calculation 2 2 2 10" xfId="1645" xr:uid="{00000000-0005-0000-0000-00008D000000}"/>
    <cellStyle name="Calculation 2 2 2 10 2" xfId="7475" xr:uid="{00000000-0005-0000-0000-00008E000000}"/>
    <cellStyle name="Calculation 2 2 2 11" xfId="1647" xr:uid="{00000000-0005-0000-0000-00008F000000}"/>
    <cellStyle name="Calculation 2 2 2 11 2" xfId="7477" xr:uid="{00000000-0005-0000-0000-000090000000}"/>
    <cellStyle name="Calculation 2 2 2 12" xfId="5998" xr:uid="{00000000-0005-0000-0000-000091000000}"/>
    <cellStyle name="Calculation 2 2 2 2" xfId="138" xr:uid="{00000000-0005-0000-0000-000092000000}"/>
    <cellStyle name="Calculation 2 2 2 2 10" xfId="3330" xr:uid="{00000000-0005-0000-0000-000093000000}"/>
    <cellStyle name="Calculation 2 2 2 2 10 2" xfId="9160" xr:uid="{00000000-0005-0000-0000-000094000000}"/>
    <cellStyle name="Calculation 2 2 2 2 11" xfId="6018" xr:uid="{00000000-0005-0000-0000-000095000000}"/>
    <cellStyle name="Calculation 2 2 2 2 2" xfId="178" xr:uid="{00000000-0005-0000-0000-000096000000}"/>
    <cellStyle name="Calculation 2 2 2 2 2 10" xfId="6058" xr:uid="{00000000-0005-0000-0000-000097000000}"/>
    <cellStyle name="Calculation 2 2 2 2 2 2" xfId="259" xr:uid="{00000000-0005-0000-0000-000098000000}"/>
    <cellStyle name="Calculation 2 2 2 2 2 2 2" xfId="538" xr:uid="{00000000-0005-0000-0000-000099000000}"/>
    <cellStyle name="Calculation 2 2 2 2 2 2 2 2" xfId="1273" xr:uid="{00000000-0005-0000-0000-00009A000000}"/>
    <cellStyle name="Calculation 2 2 2 2 2 2 2 2 2" xfId="2789" xr:uid="{00000000-0005-0000-0000-00009B000000}"/>
    <cellStyle name="Calculation 2 2 2 2 2 2 2 2 2 2" xfId="8619" xr:uid="{00000000-0005-0000-0000-00009C000000}"/>
    <cellStyle name="Calculation 2 2 2 2 2 2 2 2 3" xfId="4212" xr:uid="{00000000-0005-0000-0000-00009D000000}"/>
    <cellStyle name="Calculation 2 2 2 2 2 2 2 2 3 2" xfId="10042" xr:uid="{00000000-0005-0000-0000-00009E000000}"/>
    <cellStyle name="Calculation 2 2 2 2 2 2 2 2 4" xfId="5608" xr:uid="{00000000-0005-0000-0000-00009F000000}"/>
    <cellStyle name="Calculation 2 2 2 2 2 2 2 2 4 2" xfId="11438" xr:uid="{00000000-0005-0000-0000-0000A0000000}"/>
    <cellStyle name="Calculation 2 2 2 2 2 2 2 2 5" xfId="7103" xr:uid="{00000000-0005-0000-0000-0000A1000000}"/>
    <cellStyle name="Calculation 2 2 2 2 2 2 2 3" xfId="2060" xr:uid="{00000000-0005-0000-0000-0000A2000000}"/>
    <cellStyle name="Calculation 2 2 2 2 2 2 2 3 2" xfId="7890" xr:uid="{00000000-0005-0000-0000-0000A3000000}"/>
    <cellStyle name="Calculation 2 2 2 2 2 2 2 4" xfId="3487" xr:uid="{00000000-0005-0000-0000-0000A4000000}"/>
    <cellStyle name="Calculation 2 2 2 2 2 2 2 4 2" xfId="9317" xr:uid="{00000000-0005-0000-0000-0000A5000000}"/>
    <cellStyle name="Calculation 2 2 2 2 2 2 2 5" xfId="4884" xr:uid="{00000000-0005-0000-0000-0000A6000000}"/>
    <cellStyle name="Calculation 2 2 2 2 2 2 2 5 2" xfId="10714" xr:uid="{00000000-0005-0000-0000-0000A7000000}"/>
    <cellStyle name="Calculation 2 2 2 2 2 2 2 6" xfId="6379" xr:uid="{00000000-0005-0000-0000-0000A8000000}"/>
    <cellStyle name="Calculation 2 2 2 2 2 2 3" xfId="782" xr:uid="{00000000-0005-0000-0000-0000A9000000}"/>
    <cellStyle name="Calculation 2 2 2 2 2 2 3 2" xfId="1513" xr:uid="{00000000-0005-0000-0000-0000AA000000}"/>
    <cellStyle name="Calculation 2 2 2 2 2 2 3 2 2" xfId="3029" xr:uid="{00000000-0005-0000-0000-0000AB000000}"/>
    <cellStyle name="Calculation 2 2 2 2 2 2 3 2 2 2" xfId="8859" xr:uid="{00000000-0005-0000-0000-0000AC000000}"/>
    <cellStyle name="Calculation 2 2 2 2 2 2 3 2 3" xfId="4452" xr:uid="{00000000-0005-0000-0000-0000AD000000}"/>
    <cellStyle name="Calculation 2 2 2 2 2 2 3 2 3 2" xfId="10282" xr:uid="{00000000-0005-0000-0000-0000AE000000}"/>
    <cellStyle name="Calculation 2 2 2 2 2 2 3 2 4" xfId="5848" xr:uid="{00000000-0005-0000-0000-0000AF000000}"/>
    <cellStyle name="Calculation 2 2 2 2 2 2 3 2 4 2" xfId="11678" xr:uid="{00000000-0005-0000-0000-0000B0000000}"/>
    <cellStyle name="Calculation 2 2 2 2 2 2 3 2 5" xfId="7343" xr:uid="{00000000-0005-0000-0000-0000B1000000}"/>
    <cellStyle name="Calculation 2 2 2 2 2 2 3 3" xfId="2302" xr:uid="{00000000-0005-0000-0000-0000B2000000}"/>
    <cellStyle name="Calculation 2 2 2 2 2 2 3 3 2" xfId="8132" xr:uid="{00000000-0005-0000-0000-0000B3000000}"/>
    <cellStyle name="Calculation 2 2 2 2 2 2 3 4" xfId="3728" xr:uid="{00000000-0005-0000-0000-0000B4000000}"/>
    <cellStyle name="Calculation 2 2 2 2 2 2 3 4 2" xfId="9558" xr:uid="{00000000-0005-0000-0000-0000B5000000}"/>
    <cellStyle name="Calculation 2 2 2 2 2 2 3 5" xfId="5124" xr:uid="{00000000-0005-0000-0000-0000B6000000}"/>
    <cellStyle name="Calculation 2 2 2 2 2 2 3 5 2" xfId="10954" xr:uid="{00000000-0005-0000-0000-0000B7000000}"/>
    <cellStyle name="Calculation 2 2 2 2 2 2 3 6" xfId="6619" xr:uid="{00000000-0005-0000-0000-0000B8000000}"/>
    <cellStyle name="Calculation 2 2 2 2 2 2 4" xfId="1026" xr:uid="{00000000-0005-0000-0000-0000B9000000}"/>
    <cellStyle name="Calculation 2 2 2 2 2 2 4 2" xfId="2546" xr:uid="{00000000-0005-0000-0000-0000BA000000}"/>
    <cellStyle name="Calculation 2 2 2 2 2 2 4 2 2" xfId="8376" xr:uid="{00000000-0005-0000-0000-0000BB000000}"/>
    <cellStyle name="Calculation 2 2 2 2 2 2 4 3" xfId="3972" xr:uid="{00000000-0005-0000-0000-0000BC000000}"/>
    <cellStyle name="Calculation 2 2 2 2 2 2 4 3 2" xfId="9802" xr:uid="{00000000-0005-0000-0000-0000BD000000}"/>
    <cellStyle name="Calculation 2 2 2 2 2 2 4 4" xfId="5368" xr:uid="{00000000-0005-0000-0000-0000BE000000}"/>
    <cellStyle name="Calculation 2 2 2 2 2 2 4 4 2" xfId="11198" xr:uid="{00000000-0005-0000-0000-0000BF000000}"/>
    <cellStyle name="Calculation 2 2 2 2 2 2 4 5" xfId="6863" xr:uid="{00000000-0005-0000-0000-0000C0000000}"/>
    <cellStyle name="Calculation 2 2 2 2 2 2 5" xfId="1800" xr:uid="{00000000-0005-0000-0000-0000C1000000}"/>
    <cellStyle name="Calculation 2 2 2 2 2 2 5 2" xfId="7630" xr:uid="{00000000-0005-0000-0000-0000C2000000}"/>
    <cellStyle name="Calculation 2 2 2 2 2 2 6" xfId="3231" xr:uid="{00000000-0005-0000-0000-0000C3000000}"/>
    <cellStyle name="Calculation 2 2 2 2 2 2 6 2" xfId="9061" xr:uid="{00000000-0005-0000-0000-0000C4000000}"/>
    <cellStyle name="Calculation 2 2 2 2 2 2 7" xfId="4643" xr:uid="{00000000-0005-0000-0000-0000C5000000}"/>
    <cellStyle name="Calculation 2 2 2 2 2 2 7 2" xfId="10473" xr:uid="{00000000-0005-0000-0000-0000C6000000}"/>
    <cellStyle name="Calculation 2 2 2 2 2 2 8" xfId="6138" xr:uid="{00000000-0005-0000-0000-0000C7000000}"/>
    <cellStyle name="Calculation 2 2 2 2 2 3" xfId="339" xr:uid="{00000000-0005-0000-0000-0000C8000000}"/>
    <cellStyle name="Calculation 2 2 2 2 2 3 2" xfId="618" xr:uid="{00000000-0005-0000-0000-0000C9000000}"/>
    <cellStyle name="Calculation 2 2 2 2 2 3 2 2" xfId="1353" xr:uid="{00000000-0005-0000-0000-0000CA000000}"/>
    <cellStyle name="Calculation 2 2 2 2 2 3 2 2 2" xfId="2869" xr:uid="{00000000-0005-0000-0000-0000CB000000}"/>
    <cellStyle name="Calculation 2 2 2 2 2 3 2 2 2 2" xfId="8699" xr:uid="{00000000-0005-0000-0000-0000CC000000}"/>
    <cellStyle name="Calculation 2 2 2 2 2 3 2 2 3" xfId="4292" xr:uid="{00000000-0005-0000-0000-0000CD000000}"/>
    <cellStyle name="Calculation 2 2 2 2 2 3 2 2 3 2" xfId="10122" xr:uid="{00000000-0005-0000-0000-0000CE000000}"/>
    <cellStyle name="Calculation 2 2 2 2 2 3 2 2 4" xfId="5688" xr:uid="{00000000-0005-0000-0000-0000CF000000}"/>
    <cellStyle name="Calculation 2 2 2 2 2 3 2 2 4 2" xfId="11518" xr:uid="{00000000-0005-0000-0000-0000D0000000}"/>
    <cellStyle name="Calculation 2 2 2 2 2 3 2 2 5" xfId="7183" xr:uid="{00000000-0005-0000-0000-0000D1000000}"/>
    <cellStyle name="Calculation 2 2 2 2 2 3 2 3" xfId="2140" xr:uid="{00000000-0005-0000-0000-0000D2000000}"/>
    <cellStyle name="Calculation 2 2 2 2 2 3 2 3 2" xfId="7970" xr:uid="{00000000-0005-0000-0000-0000D3000000}"/>
    <cellStyle name="Calculation 2 2 2 2 2 3 2 4" xfId="3567" xr:uid="{00000000-0005-0000-0000-0000D4000000}"/>
    <cellStyle name="Calculation 2 2 2 2 2 3 2 4 2" xfId="9397" xr:uid="{00000000-0005-0000-0000-0000D5000000}"/>
    <cellStyle name="Calculation 2 2 2 2 2 3 2 5" xfId="4964" xr:uid="{00000000-0005-0000-0000-0000D6000000}"/>
    <cellStyle name="Calculation 2 2 2 2 2 3 2 5 2" xfId="10794" xr:uid="{00000000-0005-0000-0000-0000D7000000}"/>
    <cellStyle name="Calculation 2 2 2 2 2 3 2 6" xfId="6459" xr:uid="{00000000-0005-0000-0000-0000D8000000}"/>
    <cellStyle name="Calculation 2 2 2 2 2 3 3" xfId="862" xr:uid="{00000000-0005-0000-0000-0000D9000000}"/>
    <cellStyle name="Calculation 2 2 2 2 2 3 3 2" xfId="1593" xr:uid="{00000000-0005-0000-0000-0000DA000000}"/>
    <cellStyle name="Calculation 2 2 2 2 2 3 3 2 2" xfId="3109" xr:uid="{00000000-0005-0000-0000-0000DB000000}"/>
    <cellStyle name="Calculation 2 2 2 2 2 3 3 2 2 2" xfId="8939" xr:uid="{00000000-0005-0000-0000-0000DC000000}"/>
    <cellStyle name="Calculation 2 2 2 2 2 3 3 2 3" xfId="4532" xr:uid="{00000000-0005-0000-0000-0000DD000000}"/>
    <cellStyle name="Calculation 2 2 2 2 2 3 3 2 3 2" xfId="10362" xr:uid="{00000000-0005-0000-0000-0000DE000000}"/>
    <cellStyle name="Calculation 2 2 2 2 2 3 3 2 4" xfId="5928" xr:uid="{00000000-0005-0000-0000-0000DF000000}"/>
    <cellStyle name="Calculation 2 2 2 2 2 3 3 2 4 2" xfId="11758" xr:uid="{00000000-0005-0000-0000-0000E0000000}"/>
    <cellStyle name="Calculation 2 2 2 2 2 3 3 2 5" xfId="7423" xr:uid="{00000000-0005-0000-0000-0000E1000000}"/>
    <cellStyle name="Calculation 2 2 2 2 2 3 3 3" xfId="2382" xr:uid="{00000000-0005-0000-0000-0000E2000000}"/>
    <cellStyle name="Calculation 2 2 2 2 2 3 3 3 2" xfId="8212" xr:uid="{00000000-0005-0000-0000-0000E3000000}"/>
    <cellStyle name="Calculation 2 2 2 2 2 3 3 4" xfId="3808" xr:uid="{00000000-0005-0000-0000-0000E4000000}"/>
    <cellStyle name="Calculation 2 2 2 2 2 3 3 4 2" xfId="9638" xr:uid="{00000000-0005-0000-0000-0000E5000000}"/>
    <cellStyle name="Calculation 2 2 2 2 2 3 3 5" xfId="5204" xr:uid="{00000000-0005-0000-0000-0000E6000000}"/>
    <cellStyle name="Calculation 2 2 2 2 2 3 3 5 2" xfId="11034" xr:uid="{00000000-0005-0000-0000-0000E7000000}"/>
    <cellStyle name="Calculation 2 2 2 2 2 3 3 6" xfId="6699" xr:uid="{00000000-0005-0000-0000-0000E8000000}"/>
    <cellStyle name="Calculation 2 2 2 2 2 3 4" xfId="1106" xr:uid="{00000000-0005-0000-0000-0000E9000000}"/>
    <cellStyle name="Calculation 2 2 2 2 2 3 4 2" xfId="2626" xr:uid="{00000000-0005-0000-0000-0000EA000000}"/>
    <cellStyle name="Calculation 2 2 2 2 2 3 4 2 2" xfId="8456" xr:uid="{00000000-0005-0000-0000-0000EB000000}"/>
    <cellStyle name="Calculation 2 2 2 2 2 3 4 3" xfId="4052" xr:uid="{00000000-0005-0000-0000-0000EC000000}"/>
    <cellStyle name="Calculation 2 2 2 2 2 3 4 3 2" xfId="9882" xr:uid="{00000000-0005-0000-0000-0000ED000000}"/>
    <cellStyle name="Calculation 2 2 2 2 2 3 4 4" xfId="5448" xr:uid="{00000000-0005-0000-0000-0000EE000000}"/>
    <cellStyle name="Calculation 2 2 2 2 2 3 4 4 2" xfId="11278" xr:uid="{00000000-0005-0000-0000-0000EF000000}"/>
    <cellStyle name="Calculation 2 2 2 2 2 3 4 5" xfId="6943" xr:uid="{00000000-0005-0000-0000-0000F0000000}"/>
    <cellStyle name="Calculation 2 2 2 2 2 3 5" xfId="1880" xr:uid="{00000000-0005-0000-0000-0000F1000000}"/>
    <cellStyle name="Calculation 2 2 2 2 2 3 5 2" xfId="7710" xr:uid="{00000000-0005-0000-0000-0000F2000000}"/>
    <cellStyle name="Calculation 2 2 2 2 2 3 6" xfId="3311" xr:uid="{00000000-0005-0000-0000-0000F3000000}"/>
    <cellStyle name="Calculation 2 2 2 2 2 3 6 2" xfId="9141" xr:uid="{00000000-0005-0000-0000-0000F4000000}"/>
    <cellStyle name="Calculation 2 2 2 2 2 3 7" xfId="4723" xr:uid="{00000000-0005-0000-0000-0000F5000000}"/>
    <cellStyle name="Calculation 2 2 2 2 2 3 7 2" xfId="10553" xr:uid="{00000000-0005-0000-0000-0000F6000000}"/>
    <cellStyle name="Calculation 2 2 2 2 2 3 8" xfId="6218" xr:uid="{00000000-0005-0000-0000-0000F7000000}"/>
    <cellStyle name="Calculation 2 2 2 2 2 4" xfId="458" xr:uid="{00000000-0005-0000-0000-0000F8000000}"/>
    <cellStyle name="Calculation 2 2 2 2 2 4 2" xfId="1193" xr:uid="{00000000-0005-0000-0000-0000F9000000}"/>
    <cellStyle name="Calculation 2 2 2 2 2 4 2 2" xfId="2709" xr:uid="{00000000-0005-0000-0000-0000FA000000}"/>
    <cellStyle name="Calculation 2 2 2 2 2 4 2 2 2" xfId="8539" xr:uid="{00000000-0005-0000-0000-0000FB000000}"/>
    <cellStyle name="Calculation 2 2 2 2 2 4 2 3" xfId="4132" xr:uid="{00000000-0005-0000-0000-0000FC000000}"/>
    <cellStyle name="Calculation 2 2 2 2 2 4 2 3 2" xfId="9962" xr:uid="{00000000-0005-0000-0000-0000FD000000}"/>
    <cellStyle name="Calculation 2 2 2 2 2 4 2 4" xfId="5528" xr:uid="{00000000-0005-0000-0000-0000FE000000}"/>
    <cellStyle name="Calculation 2 2 2 2 2 4 2 4 2" xfId="11358" xr:uid="{00000000-0005-0000-0000-0000FF000000}"/>
    <cellStyle name="Calculation 2 2 2 2 2 4 2 5" xfId="7023" xr:uid="{00000000-0005-0000-0000-000000010000}"/>
    <cellStyle name="Calculation 2 2 2 2 2 4 3" xfId="1980" xr:uid="{00000000-0005-0000-0000-000001010000}"/>
    <cellStyle name="Calculation 2 2 2 2 2 4 3 2" xfId="7810" xr:uid="{00000000-0005-0000-0000-000002010000}"/>
    <cellStyle name="Calculation 2 2 2 2 2 4 4" xfId="3407" xr:uid="{00000000-0005-0000-0000-000003010000}"/>
    <cellStyle name="Calculation 2 2 2 2 2 4 4 2" xfId="9237" xr:uid="{00000000-0005-0000-0000-000004010000}"/>
    <cellStyle name="Calculation 2 2 2 2 2 4 5" xfId="4804" xr:uid="{00000000-0005-0000-0000-000005010000}"/>
    <cellStyle name="Calculation 2 2 2 2 2 4 5 2" xfId="10634" xr:uid="{00000000-0005-0000-0000-000006010000}"/>
    <cellStyle name="Calculation 2 2 2 2 2 4 6" xfId="6299" xr:uid="{00000000-0005-0000-0000-000007010000}"/>
    <cellStyle name="Calculation 2 2 2 2 2 5" xfId="702" xr:uid="{00000000-0005-0000-0000-000008010000}"/>
    <cellStyle name="Calculation 2 2 2 2 2 5 2" xfId="1433" xr:uid="{00000000-0005-0000-0000-000009010000}"/>
    <cellStyle name="Calculation 2 2 2 2 2 5 2 2" xfId="2949" xr:uid="{00000000-0005-0000-0000-00000A010000}"/>
    <cellStyle name="Calculation 2 2 2 2 2 5 2 2 2" xfId="8779" xr:uid="{00000000-0005-0000-0000-00000B010000}"/>
    <cellStyle name="Calculation 2 2 2 2 2 5 2 3" xfId="4372" xr:uid="{00000000-0005-0000-0000-00000C010000}"/>
    <cellStyle name="Calculation 2 2 2 2 2 5 2 3 2" xfId="10202" xr:uid="{00000000-0005-0000-0000-00000D010000}"/>
    <cellStyle name="Calculation 2 2 2 2 2 5 2 4" xfId="5768" xr:uid="{00000000-0005-0000-0000-00000E010000}"/>
    <cellStyle name="Calculation 2 2 2 2 2 5 2 4 2" xfId="11598" xr:uid="{00000000-0005-0000-0000-00000F010000}"/>
    <cellStyle name="Calculation 2 2 2 2 2 5 2 5" xfId="7263" xr:uid="{00000000-0005-0000-0000-000010010000}"/>
    <cellStyle name="Calculation 2 2 2 2 2 5 3" xfId="2222" xr:uid="{00000000-0005-0000-0000-000011010000}"/>
    <cellStyle name="Calculation 2 2 2 2 2 5 3 2" xfId="8052" xr:uid="{00000000-0005-0000-0000-000012010000}"/>
    <cellStyle name="Calculation 2 2 2 2 2 5 4" xfId="3648" xr:uid="{00000000-0005-0000-0000-000013010000}"/>
    <cellStyle name="Calculation 2 2 2 2 2 5 4 2" xfId="9478" xr:uid="{00000000-0005-0000-0000-000014010000}"/>
    <cellStyle name="Calculation 2 2 2 2 2 5 5" xfId="5044" xr:uid="{00000000-0005-0000-0000-000015010000}"/>
    <cellStyle name="Calculation 2 2 2 2 2 5 5 2" xfId="10874" xr:uid="{00000000-0005-0000-0000-000016010000}"/>
    <cellStyle name="Calculation 2 2 2 2 2 5 6" xfId="6539" xr:uid="{00000000-0005-0000-0000-000017010000}"/>
    <cellStyle name="Calculation 2 2 2 2 2 6" xfId="946" xr:uid="{00000000-0005-0000-0000-000018010000}"/>
    <cellStyle name="Calculation 2 2 2 2 2 6 2" xfId="2466" xr:uid="{00000000-0005-0000-0000-000019010000}"/>
    <cellStyle name="Calculation 2 2 2 2 2 6 2 2" xfId="8296" xr:uid="{00000000-0005-0000-0000-00001A010000}"/>
    <cellStyle name="Calculation 2 2 2 2 2 6 3" xfId="3892" xr:uid="{00000000-0005-0000-0000-00001B010000}"/>
    <cellStyle name="Calculation 2 2 2 2 2 6 3 2" xfId="9722" xr:uid="{00000000-0005-0000-0000-00001C010000}"/>
    <cellStyle name="Calculation 2 2 2 2 2 6 4" xfId="5288" xr:uid="{00000000-0005-0000-0000-00001D010000}"/>
    <cellStyle name="Calculation 2 2 2 2 2 6 4 2" xfId="11118" xr:uid="{00000000-0005-0000-0000-00001E010000}"/>
    <cellStyle name="Calculation 2 2 2 2 2 6 5" xfId="6783" xr:uid="{00000000-0005-0000-0000-00001F010000}"/>
    <cellStyle name="Calculation 2 2 2 2 2 7" xfId="1720" xr:uid="{00000000-0005-0000-0000-000020010000}"/>
    <cellStyle name="Calculation 2 2 2 2 2 7 2" xfId="7550" xr:uid="{00000000-0005-0000-0000-000021010000}"/>
    <cellStyle name="Calculation 2 2 2 2 2 8" xfId="3151" xr:uid="{00000000-0005-0000-0000-000022010000}"/>
    <cellStyle name="Calculation 2 2 2 2 2 8 2" xfId="8981" xr:uid="{00000000-0005-0000-0000-000023010000}"/>
    <cellStyle name="Calculation 2 2 2 2 2 9" xfId="4563" xr:uid="{00000000-0005-0000-0000-000024010000}"/>
    <cellStyle name="Calculation 2 2 2 2 2 9 2" xfId="10393" xr:uid="{00000000-0005-0000-0000-000025010000}"/>
    <cellStyle name="Calculation 2 2 2 2 3" xfId="219" xr:uid="{00000000-0005-0000-0000-000026010000}"/>
    <cellStyle name="Calculation 2 2 2 2 3 2" xfId="498" xr:uid="{00000000-0005-0000-0000-000027010000}"/>
    <cellStyle name="Calculation 2 2 2 2 3 2 2" xfId="1233" xr:uid="{00000000-0005-0000-0000-000028010000}"/>
    <cellStyle name="Calculation 2 2 2 2 3 2 2 2" xfId="2749" xr:uid="{00000000-0005-0000-0000-000029010000}"/>
    <cellStyle name="Calculation 2 2 2 2 3 2 2 2 2" xfId="8579" xr:uid="{00000000-0005-0000-0000-00002A010000}"/>
    <cellStyle name="Calculation 2 2 2 2 3 2 2 3" xfId="4172" xr:uid="{00000000-0005-0000-0000-00002B010000}"/>
    <cellStyle name="Calculation 2 2 2 2 3 2 2 3 2" xfId="10002" xr:uid="{00000000-0005-0000-0000-00002C010000}"/>
    <cellStyle name="Calculation 2 2 2 2 3 2 2 4" xfId="5568" xr:uid="{00000000-0005-0000-0000-00002D010000}"/>
    <cellStyle name="Calculation 2 2 2 2 3 2 2 4 2" xfId="11398" xr:uid="{00000000-0005-0000-0000-00002E010000}"/>
    <cellStyle name="Calculation 2 2 2 2 3 2 2 5" xfId="7063" xr:uid="{00000000-0005-0000-0000-00002F010000}"/>
    <cellStyle name="Calculation 2 2 2 2 3 2 3" xfId="2020" xr:uid="{00000000-0005-0000-0000-000030010000}"/>
    <cellStyle name="Calculation 2 2 2 2 3 2 3 2" xfId="7850" xr:uid="{00000000-0005-0000-0000-000031010000}"/>
    <cellStyle name="Calculation 2 2 2 2 3 2 4" xfId="3447" xr:uid="{00000000-0005-0000-0000-000032010000}"/>
    <cellStyle name="Calculation 2 2 2 2 3 2 4 2" xfId="9277" xr:uid="{00000000-0005-0000-0000-000033010000}"/>
    <cellStyle name="Calculation 2 2 2 2 3 2 5" xfId="4844" xr:uid="{00000000-0005-0000-0000-000034010000}"/>
    <cellStyle name="Calculation 2 2 2 2 3 2 5 2" xfId="10674" xr:uid="{00000000-0005-0000-0000-000035010000}"/>
    <cellStyle name="Calculation 2 2 2 2 3 2 6" xfId="6339" xr:uid="{00000000-0005-0000-0000-000036010000}"/>
    <cellStyle name="Calculation 2 2 2 2 3 3" xfId="742" xr:uid="{00000000-0005-0000-0000-000037010000}"/>
    <cellStyle name="Calculation 2 2 2 2 3 3 2" xfId="1473" xr:uid="{00000000-0005-0000-0000-000038010000}"/>
    <cellStyle name="Calculation 2 2 2 2 3 3 2 2" xfId="2989" xr:uid="{00000000-0005-0000-0000-000039010000}"/>
    <cellStyle name="Calculation 2 2 2 2 3 3 2 2 2" xfId="8819" xr:uid="{00000000-0005-0000-0000-00003A010000}"/>
    <cellStyle name="Calculation 2 2 2 2 3 3 2 3" xfId="4412" xr:uid="{00000000-0005-0000-0000-00003B010000}"/>
    <cellStyle name="Calculation 2 2 2 2 3 3 2 3 2" xfId="10242" xr:uid="{00000000-0005-0000-0000-00003C010000}"/>
    <cellStyle name="Calculation 2 2 2 2 3 3 2 4" xfId="5808" xr:uid="{00000000-0005-0000-0000-00003D010000}"/>
    <cellStyle name="Calculation 2 2 2 2 3 3 2 4 2" xfId="11638" xr:uid="{00000000-0005-0000-0000-00003E010000}"/>
    <cellStyle name="Calculation 2 2 2 2 3 3 2 5" xfId="7303" xr:uid="{00000000-0005-0000-0000-00003F010000}"/>
    <cellStyle name="Calculation 2 2 2 2 3 3 3" xfId="2262" xr:uid="{00000000-0005-0000-0000-000040010000}"/>
    <cellStyle name="Calculation 2 2 2 2 3 3 3 2" xfId="8092" xr:uid="{00000000-0005-0000-0000-000041010000}"/>
    <cellStyle name="Calculation 2 2 2 2 3 3 4" xfId="3688" xr:uid="{00000000-0005-0000-0000-000042010000}"/>
    <cellStyle name="Calculation 2 2 2 2 3 3 4 2" xfId="9518" xr:uid="{00000000-0005-0000-0000-000043010000}"/>
    <cellStyle name="Calculation 2 2 2 2 3 3 5" xfId="5084" xr:uid="{00000000-0005-0000-0000-000044010000}"/>
    <cellStyle name="Calculation 2 2 2 2 3 3 5 2" xfId="10914" xr:uid="{00000000-0005-0000-0000-000045010000}"/>
    <cellStyle name="Calculation 2 2 2 2 3 3 6" xfId="6579" xr:uid="{00000000-0005-0000-0000-000046010000}"/>
    <cellStyle name="Calculation 2 2 2 2 3 4" xfId="986" xr:uid="{00000000-0005-0000-0000-000047010000}"/>
    <cellStyle name="Calculation 2 2 2 2 3 4 2" xfId="2506" xr:uid="{00000000-0005-0000-0000-000048010000}"/>
    <cellStyle name="Calculation 2 2 2 2 3 4 2 2" xfId="8336" xr:uid="{00000000-0005-0000-0000-000049010000}"/>
    <cellStyle name="Calculation 2 2 2 2 3 4 3" xfId="3932" xr:uid="{00000000-0005-0000-0000-00004A010000}"/>
    <cellStyle name="Calculation 2 2 2 2 3 4 3 2" xfId="9762" xr:uid="{00000000-0005-0000-0000-00004B010000}"/>
    <cellStyle name="Calculation 2 2 2 2 3 4 4" xfId="5328" xr:uid="{00000000-0005-0000-0000-00004C010000}"/>
    <cellStyle name="Calculation 2 2 2 2 3 4 4 2" xfId="11158" xr:uid="{00000000-0005-0000-0000-00004D010000}"/>
    <cellStyle name="Calculation 2 2 2 2 3 4 5" xfId="6823" xr:uid="{00000000-0005-0000-0000-00004E010000}"/>
    <cellStyle name="Calculation 2 2 2 2 3 5" xfId="1760" xr:uid="{00000000-0005-0000-0000-00004F010000}"/>
    <cellStyle name="Calculation 2 2 2 2 3 5 2" xfId="7590" xr:uid="{00000000-0005-0000-0000-000050010000}"/>
    <cellStyle name="Calculation 2 2 2 2 3 6" xfId="3191" xr:uid="{00000000-0005-0000-0000-000051010000}"/>
    <cellStyle name="Calculation 2 2 2 2 3 6 2" xfId="9021" xr:uid="{00000000-0005-0000-0000-000052010000}"/>
    <cellStyle name="Calculation 2 2 2 2 3 7" xfId="4603" xr:uid="{00000000-0005-0000-0000-000053010000}"/>
    <cellStyle name="Calculation 2 2 2 2 3 7 2" xfId="10433" xr:uid="{00000000-0005-0000-0000-000054010000}"/>
    <cellStyle name="Calculation 2 2 2 2 3 8" xfId="6098" xr:uid="{00000000-0005-0000-0000-000055010000}"/>
    <cellStyle name="Calculation 2 2 2 2 4" xfId="299" xr:uid="{00000000-0005-0000-0000-000056010000}"/>
    <cellStyle name="Calculation 2 2 2 2 4 2" xfId="578" xr:uid="{00000000-0005-0000-0000-000057010000}"/>
    <cellStyle name="Calculation 2 2 2 2 4 2 2" xfId="1313" xr:uid="{00000000-0005-0000-0000-000058010000}"/>
    <cellStyle name="Calculation 2 2 2 2 4 2 2 2" xfId="2829" xr:uid="{00000000-0005-0000-0000-000059010000}"/>
    <cellStyle name="Calculation 2 2 2 2 4 2 2 2 2" xfId="8659" xr:uid="{00000000-0005-0000-0000-00005A010000}"/>
    <cellStyle name="Calculation 2 2 2 2 4 2 2 3" xfId="4252" xr:uid="{00000000-0005-0000-0000-00005B010000}"/>
    <cellStyle name="Calculation 2 2 2 2 4 2 2 3 2" xfId="10082" xr:uid="{00000000-0005-0000-0000-00005C010000}"/>
    <cellStyle name="Calculation 2 2 2 2 4 2 2 4" xfId="5648" xr:uid="{00000000-0005-0000-0000-00005D010000}"/>
    <cellStyle name="Calculation 2 2 2 2 4 2 2 4 2" xfId="11478" xr:uid="{00000000-0005-0000-0000-00005E010000}"/>
    <cellStyle name="Calculation 2 2 2 2 4 2 2 5" xfId="7143" xr:uid="{00000000-0005-0000-0000-00005F010000}"/>
    <cellStyle name="Calculation 2 2 2 2 4 2 3" xfId="2100" xr:uid="{00000000-0005-0000-0000-000060010000}"/>
    <cellStyle name="Calculation 2 2 2 2 4 2 3 2" xfId="7930" xr:uid="{00000000-0005-0000-0000-000061010000}"/>
    <cellStyle name="Calculation 2 2 2 2 4 2 4" xfId="3527" xr:uid="{00000000-0005-0000-0000-000062010000}"/>
    <cellStyle name="Calculation 2 2 2 2 4 2 4 2" xfId="9357" xr:uid="{00000000-0005-0000-0000-000063010000}"/>
    <cellStyle name="Calculation 2 2 2 2 4 2 5" xfId="4924" xr:uid="{00000000-0005-0000-0000-000064010000}"/>
    <cellStyle name="Calculation 2 2 2 2 4 2 5 2" xfId="10754" xr:uid="{00000000-0005-0000-0000-000065010000}"/>
    <cellStyle name="Calculation 2 2 2 2 4 2 6" xfId="6419" xr:uid="{00000000-0005-0000-0000-000066010000}"/>
    <cellStyle name="Calculation 2 2 2 2 4 3" xfId="822" xr:uid="{00000000-0005-0000-0000-000067010000}"/>
    <cellStyle name="Calculation 2 2 2 2 4 3 2" xfId="1553" xr:uid="{00000000-0005-0000-0000-000068010000}"/>
    <cellStyle name="Calculation 2 2 2 2 4 3 2 2" xfId="3069" xr:uid="{00000000-0005-0000-0000-000069010000}"/>
    <cellStyle name="Calculation 2 2 2 2 4 3 2 2 2" xfId="8899" xr:uid="{00000000-0005-0000-0000-00006A010000}"/>
    <cellStyle name="Calculation 2 2 2 2 4 3 2 3" xfId="4492" xr:uid="{00000000-0005-0000-0000-00006B010000}"/>
    <cellStyle name="Calculation 2 2 2 2 4 3 2 3 2" xfId="10322" xr:uid="{00000000-0005-0000-0000-00006C010000}"/>
    <cellStyle name="Calculation 2 2 2 2 4 3 2 4" xfId="5888" xr:uid="{00000000-0005-0000-0000-00006D010000}"/>
    <cellStyle name="Calculation 2 2 2 2 4 3 2 4 2" xfId="11718" xr:uid="{00000000-0005-0000-0000-00006E010000}"/>
    <cellStyle name="Calculation 2 2 2 2 4 3 2 5" xfId="7383" xr:uid="{00000000-0005-0000-0000-00006F010000}"/>
    <cellStyle name="Calculation 2 2 2 2 4 3 3" xfId="2342" xr:uid="{00000000-0005-0000-0000-000070010000}"/>
    <cellStyle name="Calculation 2 2 2 2 4 3 3 2" xfId="8172" xr:uid="{00000000-0005-0000-0000-000071010000}"/>
    <cellStyle name="Calculation 2 2 2 2 4 3 4" xfId="3768" xr:uid="{00000000-0005-0000-0000-000072010000}"/>
    <cellStyle name="Calculation 2 2 2 2 4 3 4 2" xfId="9598" xr:uid="{00000000-0005-0000-0000-000073010000}"/>
    <cellStyle name="Calculation 2 2 2 2 4 3 5" xfId="5164" xr:uid="{00000000-0005-0000-0000-000074010000}"/>
    <cellStyle name="Calculation 2 2 2 2 4 3 5 2" xfId="10994" xr:uid="{00000000-0005-0000-0000-000075010000}"/>
    <cellStyle name="Calculation 2 2 2 2 4 3 6" xfId="6659" xr:uid="{00000000-0005-0000-0000-000076010000}"/>
    <cellStyle name="Calculation 2 2 2 2 4 4" xfId="1066" xr:uid="{00000000-0005-0000-0000-000077010000}"/>
    <cellStyle name="Calculation 2 2 2 2 4 4 2" xfId="2586" xr:uid="{00000000-0005-0000-0000-000078010000}"/>
    <cellStyle name="Calculation 2 2 2 2 4 4 2 2" xfId="8416" xr:uid="{00000000-0005-0000-0000-000079010000}"/>
    <cellStyle name="Calculation 2 2 2 2 4 4 3" xfId="4012" xr:uid="{00000000-0005-0000-0000-00007A010000}"/>
    <cellStyle name="Calculation 2 2 2 2 4 4 3 2" xfId="9842" xr:uid="{00000000-0005-0000-0000-00007B010000}"/>
    <cellStyle name="Calculation 2 2 2 2 4 4 4" xfId="5408" xr:uid="{00000000-0005-0000-0000-00007C010000}"/>
    <cellStyle name="Calculation 2 2 2 2 4 4 4 2" xfId="11238" xr:uid="{00000000-0005-0000-0000-00007D010000}"/>
    <cellStyle name="Calculation 2 2 2 2 4 4 5" xfId="6903" xr:uid="{00000000-0005-0000-0000-00007E010000}"/>
    <cellStyle name="Calculation 2 2 2 2 4 5" xfId="1840" xr:uid="{00000000-0005-0000-0000-00007F010000}"/>
    <cellStyle name="Calculation 2 2 2 2 4 5 2" xfId="7670" xr:uid="{00000000-0005-0000-0000-000080010000}"/>
    <cellStyle name="Calculation 2 2 2 2 4 6" xfId="3271" xr:uid="{00000000-0005-0000-0000-000081010000}"/>
    <cellStyle name="Calculation 2 2 2 2 4 6 2" xfId="9101" xr:uid="{00000000-0005-0000-0000-000082010000}"/>
    <cellStyle name="Calculation 2 2 2 2 4 7" xfId="4683" xr:uid="{00000000-0005-0000-0000-000083010000}"/>
    <cellStyle name="Calculation 2 2 2 2 4 7 2" xfId="10513" xr:uid="{00000000-0005-0000-0000-000084010000}"/>
    <cellStyle name="Calculation 2 2 2 2 4 8" xfId="6178" xr:uid="{00000000-0005-0000-0000-000085010000}"/>
    <cellStyle name="Calculation 2 2 2 2 5" xfId="418" xr:uid="{00000000-0005-0000-0000-000086010000}"/>
    <cellStyle name="Calculation 2 2 2 2 5 2" xfId="1153" xr:uid="{00000000-0005-0000-0000-000087010000}"/>
    <cellStyle name="Calculation 2 2 2 2 5 2 2" xfId="2669" xr:uid="{00000000-0005-0000-0000-000088010000}"/>
    <cellStyle name="Calculation 2 2 2 2 5 2 2 2" xfId="8499" xr:uid="{00000000-0005-0000-0000-000089010000}"/>
    <cellStyle name="Calculation 2 2 2 2 5 2 3" xfId="4092" xr:uid="{00000000-0005-0000-0000-00008A010000}"/>
    <cellStyle name="Calculation 2 2 2 2 5 2 3 2" xfId="9922" xr:uid="{00000000-0005-0000-0000-00008B010000}"/>
    <cellStyle name="Calculation 2 2 2 2 5 2 4" xfId="5488" xr:uid="{00000000-0005-0000-0000-00008C010000}"/>
    <cellStyle name="Calculation 2 2 2 2 5 2 4 2" xfId="11318" xr:uid="{00000000-0005-0000-0000-00008D010000}"/>
    <cellStyle name="Calculation 2 2 2 2 5 2 5" xfId="6983" xr:uid="{00000000-0005-0000-0000-00008E010000}"/>
    <cellStyle name="Calculation 2 2 2 2 5 3" xfId="1940" xr:uid="{00000000-0005-0000-0000-00008F010000}"/>
    <cellStyle name="Calculation 2 2 2 2 5 3 2" xfId="7770" xr:uid="{00000000-0005-0000-0000-000090010000}"/>
    <cellStyle name="Calculation 2 2 2 2 5 4" xfId="3367" xr:uid="{00000000-0005-0000-0000-000091010000}"/>
    <cellStyle name="Calculation 2 2 2 2 5 4 2" xfId="9197" xr:uid="{00000000-0005-0000-0000-000092010000}"/>
    <cellStyle name="Calculation 2 2 2 2 5 5" xfId="4764" xr:uid="{00000000-0005-0000-0000-000093010000}"/>
    <cellStyle name="Calculation 2 2 2 2 5 5 2" xfId="10594" xr:uid="{00000000-0005-0000-0000-000094010000}"/>
    <cellStyle name="Calculation 2 2 2 2 5 6" xfId="6259" xr:uid="{00000000-0005-0000-0000-000095010000}"/>
    <cellStyle name="Calculation 2 2 2 2 6" xfId="662" xr:uid="{00000000-0005-0000-0000-000096010000}"/>
    <cellStyle name="Calculation 2 2 2 2 6 2" xfId="1393" xr:uid="{00000000-0005-0000-0000-000097010000}"/>
    <cellStyle name="Calculation 2 2 2 2 6 2 2" xfId="2909" xr:uid="{00000000-0005-0000-0000-000098010000}"/>
    <cellStyle name="Calculation 2 2 2 2 6 2 2 2" xfId="8739" xr:uid="{00000000-0005-0000-0000-000099010000}"/>
    <cellStyle name="Calculation 2 2 2 2 6 2 3" xfId="4332" xr:uid="{00000000-0005-0000-0000-00009A010000}"/>
    <cellStyle name="Calculation 2 2 2 2 6 2 3 2" xfId="10162" xr:uid="{00000000-0005-0000-0000-00009B010000}"/>
    <cellStyle name="Calculation 2 2 2 2 6 2 4" xfId="5728" xr:uid="{00000000-0005-0000-0000-00009C010000}"/>
    <cellStyle name="Calculation 2 2 2 2 6 2 4 2" xfId="11558" xr:uid="{00000000-0005-0000-0000-00009D010000}"/>
    <cellStyle name="Calculation 2 2 2 2 6 2 5" xfId="7223" xr:uid="{00000000-0005-0000-0000-00009E010000}"/>
    <cellStyle name="Calculation 2 2 2 2 6 3" xfId="2182" xr:uid="{00000000-0005-0000-0000-00009F010000}"/>
    <cellStyle name="Calculation 2 2 2 2 6 3 2" xfId="8012" xr:uid="{00000000-0005-0000-0000-0000A0010000}"/>
    <cellStyle name="Calculation 2 2 2 2 6 4" xfId="3608" xr:uid="{00000000-0005-0000-0000-0000A1010000}"/>
    <cellStyle name="Calculation 2 2 2 2 6 4 2" xfId="9438" xr:uid="{00000000-0005-0000-0000-0000A2010000}"/>
    <cellStyle name="Calculation 2 2 2 2 6 5" xfId="5004" xr:uid="{00000000-0005-0000-0000-0000A3010000}"/>
    <cellStyle name="Calculation 2 2 2 2 6 5 2" xfId="10834" xr:uid="{00000000-0005-0000-0000-0000A4010000}"/>
    <cellStyle name="Calculation 2 2 2 2 6 6" xfId="6499" xr:uid="{00000000-0005-0000-0000-0000A5010000}"/>
    <cellStyle name="Calculation 2 2 2 2 7" xfId="906" xr:uid="{00000000-0005-0000-0000-0000A6010000}"/>
    <cellStyle name="Calculation 2 2 2 2 7 2" xfId="2426" xr:uid="{00000000-0005-0000-0000-0000A7010000}"/>
    <cellStyle name="Calculation 2 2 2 2 7 2 2" xfId="8256" xr:uid="{00000000-0005-0000-0000-0000A8010000}"/>
    <cellStyle name="Calculation 2 2 2 2 7 3" xfId="3852" xr:uid="{00000000-0005-0000-0000-0000A9010000}"/>
    <cellStyle name="Calculation 2 2 2 2 7 3 2" xfId="9682" xr:uid="{00000000-0005-0000-0000-0000AA010000}"/>
    <cellStyle name="Calculation 2 2 2 2 7 4" xfId="5248" xr:uid="{00000000-0005-0000-0000-0000AB010000}"/>
    <cellStyle name="Calculation 2 2 2 2 7 4 2" xfId="11078" xr:uid="{00000000-0005-0000-0000-0000AC010000}"/>
    <cellStyle name="Calculation 2 2 2 2 7 5" xfId="6743" xr:uid="{00000000-0005-0000-0000-0000AD010000}"/>
    <cellStyle name="Calculation 2 2 2 2 8" xfId="1680" xr:uid="{00000000-0005-0000-0000-0000AE010000}"/>
    <cellStyle name="Calculation 2 2 2 2 8 2" xfId="7510" xr:uid="{00000000-0005-0000-0000-0000AF010000}"/>
    <cellStyle name="Calculation 2 2 2 2 9" xfId="1630" xr:uid="{00000000-0005-0000-0000-0000B0010000}"/>
    <cellStyle name="Calculation 2 2 2 2 9 2" xfId="7460" xr:uid="{00000000-0005-0000-0000-0000B1010000}"/>
    <cellStyle name="Calculation 2 2 2 3" xfId="158" xr:uid="{00000000-0005-0000-0000-0000B2010000}"/>
    <cellStyle name="Calculation 2 2 2 3 10" xfId="6038" xr:uid="{00000000-0005-0000-0000-0000B3010000}"/>
    <cellStyle name="Calculation 2 2 2 3 2" xfId="239" xr:uid="{00000000-0005-0000-0000-0000B4010000}"/>
    <cellStyle name="Calculation 2 2 2 3 2 2" xfId="518" xr:uid="{00000000-0005-0000-0000-0000B5010000}"/>
    <cellStyle name="Calculation 2 2 2 3 2 2 2" xfId="1253" xr:uid="{00000000-0005-0000-0000-0000B6010000}"/>
    <cellStyle name="Calculation 2 2 2 3 2 2 2 2" xfId="2769" xr:uid="{00000000-0005-0000-0000-0000B7010000}"/>
    <cellStyle name="Calculation 2 2 2 3 2 2 2 2 2" xfId="8599" xr:uid="{00000000-0005-0000-0000-0000B8010000}"/>
    <cellStyle name="Calculation 2 2 2 3 2 2 2 3" xfId="4192" xr:uid="{00000000-0005-0000-0000-0000B9010000}"/>
    <cellStyle name="Calculation 2 2 2 3 2 2 2 3 2" xfId="10022" xr:uid="{00000000-0005-0000-0000-0000BA010000}"/>
    <cellStyle name="Calculation 2 2 2 3 2 2 2 4" xfId="5588" xr:uid="{00000000-0005-0000-0000-0000BB010000}"/>
    <cellStyle name="Calculation 2 2 2 3 2 2 2 4 2" xfId="11418" xr:uid="{00000000-0005-0000-0000-0000BC010000}"/>
    <cellStyle name="Calculation 2 2 2 3 2 2 2 5" xfId="7083" xr:uid="{00000000-0005-0000-0000-0000BD010000}"/>
    <cellStyle name="Calculation 2 2 2 3 2 2 3" xfId="2040" xr:uid="{00000000-0005-0000-0000-0000BE010000}"/>
    <cellStyle name="Calculation 2 2 2 3 2 2 3 2" xfId="7870" xr:uid="{00000000-0005-0000-0000-0000BF010000}"/>
    <cellStyle name="Calculation 2 2 2 3 2 2 4" xfId="3467" xr:uid="{00000000-0005-0000-0000-0000C0010000}"/>
    <cellStyle name="Calculation 2 2 2 3 2 2 4 2" xfId="9297" xr:uid="{00000000-0005-0000-0000-0000C1010000}"/>
    <cellStyle name="Calculation 2 2 2 3 2 2 5" xfId="4864" xr:uid="{00000000-0005-0000-0000-0000C2010000}"/>
    <cellStyle name="Calculation 2 2 2 3 2 2 5 2" xfId="10694" xr:uid="{00000000-0005-0000-0000-0000C3010000}"/>
    <cellStyle name="Calculation 2 2 2 3 2 2 6" xfId="6359" xr:uid="{00000000-0005-0000-0000-0000C4010000}"/>
    <cellStyle name="Calculation 2 2 2 3 2 3" xfId="762" xr:uid="{00000000-0005-0000-0000-0000C5010000}"/>
    <cellStyle name="Calculation 2 2 2 3 2 3 2" xfId="1493" xr:uid="{00000000-0005-0000-0000-0000C6010000}"/>
    <cellStyle name="Calculation 2 2 2 3 2 3 2 2" xfId="3009" xr:uid="{00000000-0005-0000-0000-0000C7010000}"/>
    <cellStyle name="Calculation 2 2 2 3 2 3 2 2 2" xfId="8839" xr:uid="{00000000-0005-0000-0000-0000C8010000}"/>
    <cellStyle name="Calculation 2 2 2 3 2 3 2 3" xfId="4432" xr:uid="{00000000-0005-0000-0000-0000C9010000}"/>
    <cellStyle name="Calculation 2 2 2 3 2 3 2 3 2" xfId="10262" xr:uid="{00000000-0005-0000-0000-0000CA010000}"/>
    <cellStyle name="Calculation 2 2 2 3 2 3 2 4" xfId="5828" xr:uid="{00000000-0005-0000-0000-0000CB010000}"/>
    <cellStyle name="Calculation 2 2 2 3 2 3 2 4 2" xfId="11658" xr:uid="{00000000-0005-0000-0000-0000CC010000}"/>
    <cellStyle name="Calculation 2 2 2 3 2 3 2 5" xfId="7323" xr:uid="{00000000-0005-0000-0000-0000CD010000}"/>
    <cellStyle name="Calculation 2 2 2 3 2 3 3" xfId="2282" xr:uid="{00000000-0005-0000-0000-0000CE010000}"/>
    <cellStyle name="Calculation 2 2 2 3 2 3 3 2" xfId="8112" xr:uid="{00000000-0005-0000-0000-0000CF010000}"/>
    <cellStyle name="Calculation 2 2 2 3 2 3 4" xfId="3708" xr:uid="{00000000-0005-0000-0000-0000D0010000}"/>
    <cellStyle name="Calculation 2 2 2 3 2 3 4 2" xfId="9538" xr:uid="{00000000-0005-0000-0000-0000D1010000}"/>
    <cellStyle name="Calculation 2 2 2 3 2 3 5" xfId="5104" xr:uid="{00000000-0005-0000-0000-0000D2010000}"/>
    <cellStyle name="Calculation 2 2 2 3 2 3 5 2" xfId="10934" xr:uid="{00000000-0005-0000-0000-0000D3010000}"/>
    <cellStyle name="Calculation 2 2 2 3 2 3 6" xfId="6599" xr:uid="{00000000-0005-0000-0000-0000D4010000}"/>
    <cellStyle name="Calculation 2 2 2 3 2 4" xfId="1006" xr:uid="{00000000-0005-0000-0000-0000D5010000}"/>
    <cellStyle name="Calculation 2 2 2 3 2 4 2" xfId="2526" xr:uid="{00000000-0005-0000-0000-0000D6010000}"/>
    <cellStyle name="Calculation 2 2 2 3 2 4 2 2" xfId="8356" xr:uid="{00000000-0005-0000-0000-0000D7010000}"/>
    <cellStyle name="Calculation 2 2 2 3 2 4 3" xfId="3952" xr:uid="{00000000-0005-0000-0000-0000D8010000}"/>
    <cellStyle name="Calculation 2 2 2 3 2 4 3 2" xfId="9782" xr:uid="{00000000-0005-0000-0000-0000D9010000}"/>
    <cellStyle name="Calculation 2 2 2 3 2 4 4" xfId="5348" xr:uid="{00000000-0005-0000-0000-0000DA010000}"/>
    <cellStyle name="Calculation 2 2 2 3 2 4 4 2" xfId="11178" xr:uid="{00000000-0005-0000-0000-0000DB010000}"/>
    <cellStyle name="Calculation 2 2 2 3 2 4 5" xfId="6843" xr:uid="{00000000-0005-0000-0000-0000DC010000}"/>
    <cellStyle name="Calculation 2 2 2 3 2 5" xfId="1780" xr:uid="{00000000-0005-0000-0000-0000DD010000}"/>
    <cellStyle name="Calculation 2 2 2 3 2 5 2" xfId="7610" xr:uid="{00000000-0005-0000-0000-0000DE010000}"/>
    <cellStyle name="Calculation 2 2 2 3 2 6" xfId="3211" xr:uid="{00000000-0005-0000-0000-0000DF010000}"/>
    <cellStyle name="Calculation 2 2 2 3 2 6 2" xfId="9041" xr:uid="{00000000-0005-0000-0000-0000E0010000}"/>
    <cellStyle name="Calculation 2 2 2 3 2 7" xfId="4623" xr:uid="{00000000-0005-0000-0000-0000E1010000}"/>
    <cellStyle name="Calculation 2 2 2 3 2 7 2" xfId="10453" xr:uid="{00000000-0005-0000-0000-0000E2010000}"/>
    <cellStyle name="Calculation 2 2 2 3 2 8" xfId="6118" xr:uid="{00000000-0005-0000-0000-0000E3010000}"/>
    <cellStyle name="Calculation 2 2 2 3 3" xfId="319" xr:uid="{00000000-0005-0000-0000-0000E4010000}"/>
    <cellStyle name="Calculation 2 2 2 3 3 2" xfId="598" xr:uid="{00000000-0005-0000-0000-0000E5010000}"/>
    <cellStyle name="Calculation 2 2 2 3 3 2 2" xfId="1333" xr:uid="{00000000-0005-0000-0000-0000E6010000}"/>
    <cellStyle name="Calculation 2 2 2 3 3 2 2 2" xfId="2849" xr:uid="{00000000-0005-0000-0000-0000E7010000}"/>
    <cellStyle name="Calculation 2 2 2 3 3 2 2 2 2" xfId="8679" xr:uid="{00000000-0005-0000-0000-0000E8010000}"/>
    <cellStyle name="Calculation 2 2 2 3 3 2 2 3" xfId="4272" xr:uid="{00000000-0005-0000-0000-0000E9010000}"/>
    <cellStyle name="Calculation 2 2 2 3 3 2 2 3 2" xfId="10102" xr:uid="{00000000-0005-0000-0000-0000EA010000}"/>
    <cellStyle name="Calculation 2 2 2 3 3 2 2 4" xfId="5668" xr:uid="{00000000-0005-0000-0000-0000EB010000}"/>
    <cellStyle name="Calculation 2 2 2 3 3 2 2 4 2" xfId="11498" xr:uid="{00000000-0005-0000-0000-0000EC010000}"/>
    <cellStyle name="Calculation 2 2 2 3 3 2 2 5" xfId="7163" xr:uid="{00000000-0005-0000-0000-0000ED010000}"/>
    <cellStyle name="Calculation 2 2 2 3 3 2 3" xfId="2120" xr:uid="{00000000-0005-0000-0000-0000EE010000}"/>
    <cellStyle name="Calculation 2 2 2 3 3 2 3 2" xfId="7950" xr:uid="{00000000-0005-0000-0000-0000EF010000}"/>
    <cellStyle name="Calculation 2 2 2 3 3 2 4" xfId="3547" xr:uid="{00000000-0005-0000-0000-0000F0010000}"/>
    <cellStyle name="Calculation 2 2 2 3 3 2 4 2" xfId="9377" xr:uid="{00000000-0005-0000-0000-0000F1010000}"/>
    <cellStyle name="Calculation 2 2 2 3 3 2 5" xfId="4944" xr:uid="{00000000-0005-0000-0000-0000F2010000}"/>
    <cellStyle name="Calculation 2 2 2 3 3 2 5 2" xfId="10774" xr:uid="{00000000-0005-0000-0000-0000F3010000}"/>
    <cellStyle name="Calculation 2 2 2 3 3 2 6" xfId="6439" xr:uid="{00000000-0005-0000-0000-0000F4010000}"/>
    <cellStyle name="Calculation 2 2 2 3 3 3" xfId="842" xr:uid="{00000000-0005-0000-0000-0000F5010000}"/>
    <cellStyle name="Calculation 2 2 2 3 3 3 2" xfId="1573" xr:uid="{00000000-0005-0000-0000-0000F6010000}"/>
    <cellStyle name="Calculation 2 2 2 3 3 3 2 2" xfId="3089" xr:uid="{00000000-0005-0000-0000-0000F7010000}"/>
    <cellStyle name="Calculation 2 2 2 3 3 3 2 2 2" xfId="8919" xr:uid="{00000000-0005-0000-0000-0000F8010000}"/>
    <cellStyle name="Calculation 2 2 2 3 3 3 2 3" xfId="4512" xr:uid="{00000000-0005-0000-0000-0000F9010000}"/>
    <cellStyle name="Calculation 2 2 2 3 3 3 2 3 2" xfId="10342" xr:uid="{00000000-0005-0000-0000-0000FA010000}"/>
    <cellStyle name="Calculation 2 2 2 3 3 3 2 4" xfId="5908" xr:uid="{00000000-0005-0000-0000-0000FB010000}"/>
    <cellStyle name="Calculation 2 2 2 3 3 3 2 4 2" xfId="11738" xr:uid="{00000000-0005-0000-0000-0000FC010000}"/>
    <cellStyle name="Calculation 2 2 2 3 3 3 2 5" xfId="7403" xr:uid="{00000000-0005-0000-0000-0000FD010000}"/>
    <cellStyle name="Calculation 2 2 2 3 3 3 3" xfId="2362" xr:uid="{00000000-0005-0000-0000-0000FE010000}"/>
    <cellStyle name="Calculation 2 2 2 3 3 3 3 2" xfId="8192" xr:uid="{00000000-0005-0000-0000-0000FF010000}"/>
    <cellStyle name="Calculation 2 2 2 3 3 3 4" xfId="3788" xr:uid="{00000000-0005-0000-0000-000000020000}"/>
    <cellStyle name="Calculation 2 2 2 3 3 3 4 2" xfId="9618" xr:uid="{00000000-0005-0000-0000-000001020000}"/>
    <cellStyle name="Calculation 2 2 2 3 3 3 5" xfId="5184" xr:uid="{00000000-0005-0000-0000-000002020000}"/>
    <cellStyle name="Calculation 2 2 2 3 3 3 5 2" xfId="11014" xr:uid="{00000000-0005-0000-0000-000003020000}"/>
    <cellStyle name="Calculation 2 2 2 3 3 3 6" xfId="6679" xr:uid="{00000000-0005-0000-0000-000004020000}"/>
    <cellStyle name="Calculation 2 2 2 3 3 4" xfId="1086" xr:uid="{00000000-0005-0000-0000-000005020000}"/>
    <cellStyle name="Calculation 2 2 2 3 3 4 2" xfId="2606" xr:uid="{00000000-0005-0000-0000-000006020000}"/>
    <cellStyle name="Calculation 2 2 2 3 3 4 2 2" xfId="8436" xr:uid="{00000000-0005-0000-0000-000007020000}"/>
    <cellStyle name="Calculation 2 2 2 3 3 4 3" xfId="4032" xr:uid="{00000000-0005-0000-0000-000008020000}"/>
    <cellStyle name="Calculation 2 2 2 3 3 4 3 2" xfId="9862" xr:uid="{00000000-0005-0000-0000-000009020000}"/>
    <cellStyle name="Calculation 2 2 2 3 3 4 4" xfId="5428" xr:uid="{00000000-0005-0000-0000-00000A020000}"/>
    <cellStyle name="Calculation 2 2 2 3 3 4 4 2" xfId="11258" xr:uid="{00000000-0005-0000-0000-00000B020000}"/>
    <cellStyle name="Calculation 2 2 2 3 3 4 5" xfId="6923" xr:uid="{00000000-0005-0000-0000-00000C020000}"/>
    <cellStyle name="Calculation 2 2 2 3 3 5" xfId="1860" xr:uid="{00000000-0005-0000-0000-00000D020000}"/>
    <cellStyle name="Calculation 2 2 2 3 3 5 2" xfId="7690" xr:uid="{00000000-0005-0000-0000-00000E020000}"/>
    <cellStyle name="Calculation 2 2 2 3 3 6" xfId="3291" xr:uid="{00000000-0005-0000-0000-00000F020000}"/>
    <cellStyle name="Calculation 2 2 2 3 3 6 2" xfId="9121" xr:uid="{00000000-0005-0000-0000-000010020000}"/>
    <cellStyle name="Calculation 2 2 2 3 3 7" xfId="4703" xr:uid="{00000000-0005-0000-0000-000011020000}"/>
    <cellStyle name="Calculation 2 2 2 3 3 7 2" xfId="10533" xr:uid="{00000000-0005-0000-0000-000012020000}"/>
    <cellStyle name="Calculation 2 2 2 3 3 8" xfId="6198" xr:uid="{00000000-0005-0000-0000-000013020000}"/>
    <cellStyle name="Calculation 2 2 2 3 4" xfId="438" xr:uid="{00000000-0005-0000-0000-000014020000}"/>
    <cellStyle name="Calculation 2 2 2 3 4 2" xfId="1173" xr:uid="{00000000-0005-0000-0000-000015020000}"/>
    <cellStyle name="Calculation 2 2 2 3 4 2 2" xfId="2689" xr:uid="{00000000-0005-0000-0000-000016020000}"/>
    <cellStyle name="Calculation 2 2 2 3 4 2 2 2" xfId="8519" xr:uid="{00000000-0005-0000-0000-000017020000}"/>
    <cellStyle name="Calculation 2 2 2 3 4 2 3" xfId="4112" xr:uid="{00000000-0005-0000-0000-000018020000}"/>
    <cellStyle name="Calculation 2 2 2 3 4 2 3 2" xfId="9942" xr:uid="{00000000-0005-0000-0000-000019020000}"/>
    <cellStyle name="Calculation 2 2 2 3 4 2 4" xfId="5508" xr:uid="{00000000-0005-0000-0000-00001A020000}"/>
    <cellStyle name="Calculation 2 2 2 3 4 2 4 2" xfId="11338" xr:uid="{00000000-0005-0000-0000-00001B020000}"/>
    <cellStyle name="Calculation 2 2 2 3 4 2 5" xfId="7003" xr:uid="{00000000-0005-0000-0000-00001C020000}"/>
    <cellStyle name="Calculation 2 2 2 3 4 3" xfId="1960" xr:uid="{00000000-0005-0000-0000-00001D020000}"/>
    <cellStyle name="Calculation 2 2 2 3 4 3 2" xfId="7790" xr:uid="{00000000-0005-0000-0000-00001E020000}"/>
    <cellStyle name="Calculation 2 2 2 3 4 4" xfId="3387" xr:uid="{00000000-0005-0000-0000-00001F020000}"/>
    <cellStyle name="Calculation 2 2 2 3 4 4 2" xfId="9217" xr:uid="{00000000-0005-0000-0000-000020020000}"/>
    <cellStyle name="Calculation 2 2 2 3 4 5" xfId="4784" xr:uid="{00000000-0005-0000-0000-000021020000}"/>
    <cellStyle name="Calculation 2 2 2 3 4 5 2" xfId="10614" xr:uid="{00000000-0005-0000-0000-000022020000}"/>
    <cellStyle name="Calculation 2 2 2 3 4 6" xfId="6279" xr:uid="{00000000-0005-0000-0000-000023020000}"/>
    <cellStyle name="Calculation 2 2 2 3 5" xfId="682" xr:uid="{00000000-0005-0000-0000-000024020000}"/>
    <cellStyle name="Calculation 2 2 2 3 5 2" xfId="1413" xr:uid="{00000000-0005-0000-0000-000025020000}"/>
    <cellStyle name="Calculation 2 2 2 3 5 2 2" xfId="2929" xr:uid="{00000000-0005-0000-0000-000026020000}"/>
    <cellStyle name="Calculation 2 2 2 3 5 2 2 2" xfId="8759" xr:uid="{00000000-0005-0000-0000-000027020000}"/>
    <cellStyle name="Calculation 2 2 2 3 5 2 3" xfId="4352" xr:uid="{00000000-0005-0000-0000-000028020000}"/>
    <cellStyle name="Calculation 2 2 2 3 5 2 3 2" xfId="10182" xr:uid="{00000000-0005-0000-0000-000029020000}"/>
    <cellStyle name="Calculation 2 2 2 3 5 2 4" xfId="5748" xr:uid="{00000000-0005-0000-0000-00002A020000}"/>
    <cellStyle name="Calculation 2 2 2 3 5 2 4 2" xfId="11578" xr:uid="{00000000-0005-0000-0000-00002B020000}"/>
    <cellStyle name="Calculation 2 2 2 3 5 2 5" xfId="7243" xr:uid="{00000000-0005-0000-0000-00002C020000}"/>
    <cellStyle name="Calculation 2 2 2 3 5 3" xfId="2202" xr:uid="{00000000-0005-0000-0000-00002D020000}"/>
    <cellStyle name="Calculation 2 2 2 3 5 3 2" xfId="8032" xr:uid="{00000000-0005-0000-0000-00002E020000}"/>
    <cellStyle name="Calculation 2 2 2 3 5 4" xfId="3628" xr:uid="{00000000-0005-0000-0000-00002F020000}"/>
    <cellStyle name="Calculation 2 2 2 3 5 4 2" xfId="9458" xr:uid="{00000000-0005-0000-0000-000030020000}"/>
    <cellStyle name="Calculation 2 2 2 3 5 5" xfId="5024" xr:uid="{00000000-0005-0000-0000-000031020000}"/>
    <cellStyle name="Calculation 2 2 2 3 5 5 2" xfId="10854" xr:uid="{00000000-0005-0000-0000-000032020000}"/>
    <cellStyle name="Calculation 2 2 2 3 5 6" xfId="6519" xr:uid="{00000000-0005-0000-0000-000033020000}"/>
    <cellStyle name="Calculation 2 2 2 3 6" xfId="926" xr:uid="{00000000-0005-0000-0000-000034020000}"/>
    <cellStyle name="Calculation 2 2 2 3 6 2" xfId="2446" xr:uid="{00000000-0005-0000-0000-000035020000}"/>
    <cellStyle name="Calculation 2 2 2 3 6 2 2" xfId="8276" xr:uid="{00000000-0005-0000-0000-000036020000}"/>
    <cellStyle name="Calculation 2 2 2 3 6 3" xfId="3872" xr:uid="{00000000-0005-0000-0000-000037020000}"/>
    <cellStyle name="Calculation 2 2 2 3 6 3 2" xfId="9702" xr:uid="{00000000-0005-0000-0000-000038020000}"/>
    <cellStyle name="Calculation 2 2 2 3 6 4" xfId="5268" xr:uid="{00000000-0005-0000-0000-000039020000}"/>
    <cellStyle name="Calculation 2 2 2 3 6 4 2" xfId="11098" xr:uid="{00000000-0005-0000-0000-00003A020000}"/>
    <cellStyle name="Calculation 2 2 2 3 6 5" xfId="6763" xr:uid="{00000000-0005-0000-0000-00003B020000}"/>
    <cellStyle name="Calculation 2 2 2 3 7" xfId="1700" xr:uid="{00000000-0005-0000-0000-00003C020000}"/>
    <cellStyle name="Calculation 2 2 2 3 7 2" xfId="7530" xr:uid="{00000000-0005-0000-0000-00003D020000}"/>
    <cellStyle name="Calculation 2 2 2 3 8" xfId="3131" xr:uid="{00000000-0005-0000-0000-00003E020000}"/>
    <cellStyle name="Calculation 2 2 2 3 8 2" xfId="8961" xr:uid="{00000000-0005-0000-0000-00003F020000}"/>
    <cellStyle name="Calculation 2 2 2 3 9" xfId="1616" xr:uid="{00000000-0005-0000-0000-000040020000}"/>
    <cellStyle name="Calculation 2 2 2 3 9 2" xfId="7446" xr:uid="{00000000-0005-0000-0000-000041020000}"/>
    <cellStyle name="Calculation 2 2 2 4" xfId="198" xr:uid="{00000000-0005-0000-0000-000042020000}"/>
    <cellStyle name="Calculation 2 2 2 4 2" xfId="478" xr:uid="{00000000-0005-0000-0000-000043020000}"/>
    <cellStyle name="Calculation 2 2 2 4 2 2" xfId="1213" xr:uid="{00000000-0005-0000-0000-000044020000}"/>
    <cellStyle name="Calculation 2 2 2 4 2 2 2" xfId="2729" xr:uid="{00000000-0005-0000-0000-000045020000}"/>
    <cellStyle name="Calculation 2 2 2 4 2 2 2 2" xfId="8559" xr:uid="{00000000-0005-0000-0000-000046020000}"/>
    <cellStyle name="Calculation 2 2 2 4 2 2 3" xfId="4152" xr:uid="{00000000-0005-0000-0000-000047020000}"/>
    <cellStyle name="Calculation 2 2 2 4 2 2 3 2" xfId="9982" xr:uid="{00000000-0005-0000-0000-000048020000}"/>
    <cellStyle name="Calculation 2 2 2 4 2 2 4" xfId="5548" xr:uid="{00000000-0005-0000-0000-000049020000}"/>
    <cellStyle name="Calculation 2 2 2 4 2 2 4 2" xfId="11378" xr:uid="{00000000-0005-0000-0000-00004A020000}"/>
    <cellStyle name="Calculation 2 2 2 4 2 2 5" xfId="7043" xr:uid="{00000000-0005-0000-0000-00004B020000}"/>
    <cellStyle name="Calculation 2 2 2 4 2 3" xfId="2000" xr:uid="{00000000-0005-0000-0000-00004C020000}"/>
    <cellStyle name="Calculation 2 2 2 4 2 3 2" xfId="7830" xr:uid="{00000000-0005-0000-0000-00004D020000}"/>
    <cellStyle name="Calculation 2 2 2 4 2 4" xfId="3427" xr:uid="{00000000-0005-0000-0000-00004E020000}"/>
    <cellStyle name="Calculation 2 2 2 4 2 4 2" xfId="9257" xr:uid="{00000000-0005-0000-0000-00004F020000}"/>
    <cellStyle name="Calculation 2 2 2 4 2 5" xfId="4824" xr:uid="{00000000-0005-0000-0000-000050020000}"/>
    <cellStyle name="Calculation 2 2 2 4 2 5 2" xfId="10654" xr:uid="{00000000-0005-0000-0000-000051020000}"/>
    <cellStyle name="Calculation 2 2 2 4 2 6" xfId="6319" xr:uid="{00000000-0005-0000-0000-000052020000}"/>
    <cellStyle name="Calculation 2 2 2 4 3" xfId="722" xr:uid="{00000000-0005-0000-0000-000053020000}"/>
    <cellStyle name="Calculation 2 2 2 4 3 2" xfId="1453" xr:uid="{00000000-0005-0000-0000-000054020000}"/>
    <cellStyle name="Calculation 2 2 2 4 3 2 2" xfId="2969" xr:uid="{00000000-0005-0000-0000-000055020000}"/>
    <cellStyle name="Calculation 2 2 2 4 3 2 2 2" xfId="8799" xr:uid="{00000000-0005-0000-0000-000056020000}"/>
    <cellStyle name="Calculation 2 2 2 4 3 2 3" xfId="4392" xr:uid="{00000000-0005-0000-0000-000057020000}"/>
    <cellStyle name="Calculation 2 2 2 4 3 2 3 2" xfId="10222" xr:uid="{00000000-0005-0000-0000-000058020000}"/>
    <cellStyle name="Calculation 2 2 2 4 3 2 4" xfId="5788" xr:uid="{00000000-0005-0000-0000-000059020000}"/>
    <cellStyle name="Calculation 2 2 2 4 3 2 4 2" xfId="11618" xr:uid="{00000000-0005-0000-0000-00005A020000}"/>
    <cellStyle name="Calculation 2 2 2 4 3 2 5" xfId="7283" xr:uid="{00000000-0005-0000-0000-00005B020000}"/>
    <cellStyle name="Calculation 2 2 2 4 3 3" xfId="2242" xr:uid="{00000000-0005-0000-0000-00005C020000}"/>
    <cellStyle name="Calculation 2 2 2 4 3 3 2" xfId="8072" xr:uid="{00000000-0005-0000-0000-00005D020000}"/>
    <cellStyle name="Calculation 2 2 2 4 3 4" xfId="3668" xr:uid="{00000000-0005-0000-0000-00005E020000}"/>
    <cellStyle name="Calculation 2 2 2 4 3 4 2" xfId="9498" xr:uid="{00000000-0005-0000-0000-00005F020000}"/>
    <cellStyle name="Calculation 2 2 2 4 3 5" xfId="5064" xr:uid="{00000000-0005-0000-0000-000060020000}"/>
    <cellStyle name="Calculation 2 2 2 4 3 5 2" xfId="10894" xr:uid="{00000000-0005-0000-0000-000061020000}"/>
    <cellStyle name="Calculation 2 2 2 4 3 6" xfId="6559" xr:uid="{00000000-0005-0000-0000-000062020000}"/>
    <cellStyle name="Calculation 2 2 2 4 4" xfId="966" xr:uid="{00000000-0005-0000-0000-000063020000}"/>
    <cellStyle name="Calculation 2 2 2 4 4 2" xfId="2486" xr:uid="{00000000-0005-0000-0000-000064020000}"/>
    <cellStyle name="Calculation 2 2 2 4 4 2 2" xfId="8316" xr:uid="{00000000-0005-0000-0000-000065020000}"/>
    <cellStyle name="Calculation 2 2 2 4 4 3" xfId="3912" xr:uid="{00000000-0005-0000-0000-000066020000}"/>
    <cellStyle name="Calculation 2 2 2 4 4 3 2" xfId="9742" xr:uid="{00000000-0005-0000-0000-000067020000}"/>
    <cellStyle name="Calculation 2 2 2 4 4 4" xfId="5308" xr:uid="{00000000-0005-0000-0000-000068020000}"/>
    <cellStyle name="Calculation 2 2 2 4 4 4 2" xfId="11138" xr:uid="{00000000-0005-0000-0000-000069020000}"/>
    <cellStyle name="Calculation 2 2 2 4 4 5" xfId="6803" xr:uid="{00000000-0005-0000-0000-00006A020000}"/>
    <cellStyle name="Calculation 2 2 2 4 5" xfId="1740" xr:uid="{00000000-0005-0000-0000-00006B020000}"/>
    <cellStyle name="Calculation 2 2 2 4 5 2" xfId="7570" xr:uid="{00000000-0005-0000-0000-00006C020000}"/>
    <cellStyle name="Calculation 2 2 2 4 6" xfId="3171" xr:uid="{00000000-0005-0000-0000-00006D020000}"/>
    <cellStyle name="Calculation 2 2 2 4 6 2" xfId="9001" xr:uid="{00000000-0005-0000-0000-00006E020000}"/>
    <cellStyle name="Calculation 2 2 2 4 7" xfId="4583" xr:uid="{00000000-0005-0000-0000-00006F020000}"/>
    <cellStyle name="Calculation 2 2 2 4 7 2" xfId="10413" xr:uid="{00000000-0005-0000-0000-000070020000}"/>
    <cellStyle name="Calculation 2 2 2 4 8" xfId="6078" xr:uid="{00000000-0005-0000-0000-000071020000}"/>
    <cellStyle name="Calculation 2 2 2 5" xfId="279" xr:uid="{00000000-0005-0000-0000-000072020000}"/>
    <cellStyle name="Calculation 2 2 2 5 2" xfId="558" xr:uid="{00000000-0005-0000-0000-000073020000}"/>
    <cellStyle name="Calculation 2 2 2 5 2 2" xfId="1293" xr:uid="{00000000-0005-0000-0000-000074020000}"/>
    <cellStyle name="Calculation 2 2 2 5 2 2 2" xfId="2809" xr:uid="{00000000-0005-0000-0000-000075020000}"/>
    <cellStyle name="Calculation 2 2 2 5 2 2 2 2" xfId="8639" xr:uid="{00000000-0005-0000-0000-000076020000}"/>
    <cellStyle name="Calculation 2 2 2 5 2 2 3" xfId="4232" xr:uid="{00000000-0005-0000-0000-000077020000}"/>
    <cellStyle name="Calculation 2 2 2 5 2 2 3 2" xfId="10062" xr:uid="{00000000-0005-0000-0000-000078020000}"/>
    <cellStyle name="Calculation 2 2 2 5 2 2 4" xfId="5628" xr:uid="{00000000-0005-0000-0000-000079020000}"/>
    <cellStyle name="Calculation 2 2 2 5 2 2 4 2" xfId="11458" xr:uid="{00000000-0005-0000-0000-00007A020000}"/>
    <cellStyle name="Calculation 2 2 2 5 2 2 5" xfId="7123" xr:uid="{00000000-0005-0000-0000-00007B020000}"/>
    <cellStyle name="Calculation 2 2 2 5 2 3" xfId="2080" xr:uid="{00000000-0005-0000-0000-00007C020000}"/>
    <cellStyle name="Calculation 2 2 2 5 2 3 2" xfId="7910" xr:uid="{00000000-0005-0000-0000-00007D020000}"/>
    <cellStyle name="Calculation 2 2 2 5 2 4" xfId="3507" xr:uid="{00000000-0005-0000-0000-00007E020000}"/>
    <cellStyle name="Calculation 2 2 2 5 2 4 2" xfId="9337" xr:uid="{00000000-0005-0000-0000-00007F020000}"/>
    <cellStyle name="Calculation 2 2 2 5 2 5" xfId="4904" xr:uid="{00000000-0005-0000-0000-000080020000}"/>
    <cellStyle name="Calculation 2 2 2 5 2 5 2" xfId="10734" xr:uid="{00000000-0005-0000-0000-000081020000}"/>
    <cellStyle name="Calculation 2 2 2 5 2 6" xfId="6399" xr:uid="{00000000-0005-0000-0000-000082020000}"/>
    <cellStyle name="Calculation 2 2 2 5 3" xfId="802" xr:uid="{00000000-0005-0000-0000-000083020000}"/>
    <cellStyle name="Calculation 2 2 2 5 3 2" xfId="1533" xr:uid="{00000000-0005-0000-0000-000084020000}"/>
    <cellStyle name="Calculation 2 2 2 5 3 2 2" xfId="3049" xr:uid="{00000000-0005-0000-0000-000085020000}"/>
    <cellStyle name="Calculation 2 2 2 5 3 2 2 2" xfId="8879" xr:uid="{00000000-0005-0000-0000-000086020000}"/>
    <cellStyle name="Calculation 2 2 2 5 3 2 3" xfId="4472" xr:uid="{00000000-0005-0000-0000-000087020000}"/>
    <cellStyle name="Calculation 2 2 2 5 3 2 3 2" xfId="10302" xr:uid="{00000000-0005-0000-0000-000088020000}"/>
    <cellStyle name="Calculation 2 2 2 5 3 2 4" xfId="5868" xr:uid="{00000000-0005-0000-0000-000089020000}"/>
    <cellStyle name="Calculation 2 2 2 5 3 2 4 2" xfId="11698" xr:uid="{00000000-0005-0000-0000-00008A020000}"/>
    <cellStyle name="Calculation 2 2 2 5 3 2 5" xfId="7363" xr:uid="{00000000-0005-0000-0000-00008B020000}"/>
    <cellStyle name="Calculation 2 2 2 5 3 3" xfId="2322" xr:uid="{00000000-0005-0000-0000-00008C020000}"/>
    <cellStyle name="Calculation 2 2 2 5 3 3 2" xfId="8152" xr:uid="{00000000-0005-0000-0000-00008D020000}"/>
    <cellStyle name="Calculation 2 2 2 5 3 4" xfId="3748" xr:uid="{00000000-0005-0000-0000-00008E020000}"/>
    <cellStyle name="Calculation 2 2 2 5 3 4 2" xfId="9578" xr:uid="{00000000-0005-0000-0000-00008F020000}"/>
    <cellStyle name="Calculation 2 2 2 5 3 5" xfId="5144" xr:uid="{00000000-0005-0000-0000-000090020000}"/>
    <cellStyle name="Calculation 2 2 2 5 3 5 2" xfId="10974" xr:uid="{00000000-0005-0000-0000-000091020000}"/>
    <cellStyle name="Calculation 2 2 2 5 3 6" xfId="6639" xr:uid="{00000000-0005-0000-0000-000092020000}"/>
    <cellStyle name="Calculation 2 2 2 5 4" xfId="1046" xr:uid="{00000000-0005-0000-0000-000093020000}"/>
    <cellStyle name="Calculation 2 2 2 5 4 2" xfId="2566" xr:uid="{00000000-0005-0000-0000-000094020000}"/>
    <cellStyle name="Calculation 2 2 2 5 4 2 2" xfId="8396" xr:uid="{00000000-0005-0000-0000-000095020000}"/>
    <cellStyle name="Calculation 2 2 2 5 4 3" xfId="3992" xr:uid="{00000000-0005-0000-0000-000096020000}"/>
    <cellStyle name="Calculation 2 2 2 5 4 3 2" xfId="9822" xr:uid="{00000000-0005-0000-0000-000097020000}"/>
    <cellStyle name="Calculation 2 2 2 5 4 4" xfId="5388" xr:uid="{00000000-0005-0000-0000-000098020000}"/>
    <cellStyle name="Calculation 2 2 2 5 4 4 2" xfId="11218" xr:uid="{00000000-0005-0000-0000-000099020000}"/>
    <cellStyle name="Calculation 2 2 2 5 4 5" xfId="6883" xr:uid="{00000000-0005-0000-0000-00009A020000}"/>
    <cellStyle name="Calculation 2 2 2 5 5" xfId="1820" xr:uid="{00000000-0005-0000-0000-00009B020000}"/>
    <cellStyle name="Calculation 2 2 2 5 5 2" xfId="7650" xr:uid="{00000000-0005-0000-0000-00009C020000}"/>
    <cellStyle name="Calculation 2 2 2 5 6" xfId="3251" xr:uid="{00000000-0005-0000-0000-00009D020000}"/>
    <cellStyle name="Calculation 2 2 2 5 6 2" xfId="9081" xr:uid="{00000000-0005-0000-0000-00009E020000}"/>
    <cellStyle name="Calculation 2 2 2 5 7" xfId="4663" xr:uid="{00000000-0005-0000-0000-00009F020000}"/>
    <cellStyle name="Calculation 2 2 2 5 7 2" xfId="10493" xr:uid="{00000000-0005-0000-0000-0000A0020000}"/>
    <cellStyle name="Calculation 2 2 2 5 8" xfId="6158" xr:uid="{00000000-0005-0000-0000-0000A1020000}"/>
    <cellStyle name="Calculation 2 2 2 6" xfId="398" xr:uid="{00000000-0005-0000-0000-0000A2020000}"/>
    <cellStyle name="Calculation 2 2 2 6 2" xfId="1133" xr:uid="{00000000-0005-0000-0000-0000A3020000}"/>
    <cellStyle name="Calculation 2 2 2 6 2 2" xfId="2649" xr:uid="{00000000-0005-0000-0000-0000A4020000}"/>
    <cellStyle name="Calculation 2 2 2 6 2 2 2" xfId="8479" xr:uid="{00000000-0005-0000-0000-0000A5020000}"/>
    <cellStyle name="Calculation 2 2 2 6 2 3" xfId="4072" xr:uid="{00000000-0005-0000-0000-0000A6020000}"/>
    <cellStyle name="Calculation 2 2 2 6 2 3 2" xfId="9902" xr:uid="{00000000-0005-0000-0000-0000A7020000}"/>
    <cellStyle name="Calculation 2 2 2 6 2 4" xfId="5468" xr:uid="{00000000-0005-0000-0000-0000A8020000}"/>
    <cellStyle name="Calculation 2 2 2 6 2 4 2" xfId="11298" xr:uid="{00000000-0005-0000-0000-0000A9020000}"/>
    <cellStyle name="Calculation 2 2 2 6 2 5" xfId="6963" xr:uid="{00000000-0005-0000-0000-0000AA020000}"/>
    <cellStyle name="Calculation 2 2 2 6 3" xfId="1920" xr:uid="{00000000-0005-0000-0000-0000AB020000}"/>
    <cellStyle name="Calculation 2 2 2 6 3 2" xfId="7750" xr:uid="{00000000-0005-0000-0000-0000AC020000}"/>
    <cellStyle name="Calculation 2 2 2 6 4" xfId="3347" xr:uid="{00000000-0005-0000-0000-0000AD020000}"/>
    <cellStyle name="Calculation 2 2 2 6 4 2" xfId="9177" xr:uid="{00000000-0005-0000-0000-0000AE020000}"/>
    <cellStyle name="Calculation 2 2 2 6 5" xfId="4744" xr:uid="{00000000-0005-0000-0000-0000AF020000}"/>
    <cellStyle name="Calculation 2 2 2 6 5 2" xfId="10574" xr:uid="{00000000-0005-0000-0000-0000B0020000}"/>
    <cellStyle name="Calculation 2 2 2 6 6" xfId="6239" xr:uid="{00000000-0005-0000-0000-0000B1020000}"/>
    <cellStyle name="Calculation 2 2 2 7" xfId="642" xr:uid="{00000000-0005-0000-0000-0000B2020000}"/>
    <cellStyle name="Calculation 2 2 2 7 2" xfId="1373" xr:uid="{00000000-0005-0000-0000-0000B3020000}"/>
    <cellStyle name="Calculation 2 2 2 7 2 2" xfId="2889" xr:uid="{00000000-0005-0000-0000-0000B4020000}"/>
    <cellStyle name="Calculation 2 2 2 7 2 2 2" xfId="8719" xr:uid="{00000000-0005-0000-0000-0000B5020000}"/>
    <cellStyle name="Calculation 2 2 2 7 2 3" xfId="4312" xr:uid="{00000000-0005-0000-0000-0000B6020000}"/>
    <cellStyle name="Calculation 2 2 2 7 2 3 2" xfId="10142" xr:uid="{00000000-0005-0000-0000-0000B7020000}"/>
    <cellStyle name="Calculation 2 2 2 7 2 4" xfId="5708" xr:uid="{00000000-0005-0000-0000-0000B8020000}"/>
    <cellStyle name="Calculation 2 2 2 7 2 4 2" xfId="11538" xr:uid="{00000000-0005-0000-0000-0000B9020000}"/>
    <cellStyle name="Calculation 2 2 2 7 2 5" xfId="7203" xr:uid="{00000000-0005-0000-0000-0000BA020000}"/>
    <cellStyle name="Calculation 2 2 2 7 3" xfId="2162" xr:uid="{00000000-0005-0000-0000-0000BB020000}"/>
    <cellStyle name="Calculation 2 2 2 7 3 2" xfId="7992" xr:uid="{00000000-0005-0000-0000-0000BC020000}"/>
    <cellStyle name="Calculation 2 2 2 7 4" xfId="3588" xr:uid="{00000000-0005-0000-0000-0000BD020000}"/>
    <cellStyle name="Calculation 2 2 2 7 4 2" xfId="9418" xr:uid="{00000000-0005-0000-0000-0000BE020000}"/>
    <cellStyle name="Calculation 2 2 2 7 5" xfId="4984" xr:uid="{00000000-0005-0000-0000-0000BF020000}"/>
    <cellStyle name="Calculation 2 2 2 7 5 2" xfId="10814" xr:uid="{00000000-0005-0000-0000-0000C0020000}"/>
    <cellStyle name="Calculation 2 2 2 7 6" xfId="6479" xr:uid="{00000000-0005-0000-0000-0000C1020000}"/>
    <cellStyle name="Calculation 2 2 2 8" xfId="886" xr:uid="{00000000-0005-0000-0000-0000C2020000}"/>
    <cellStyle name="Calculation 2 2 2 8 2" xfId="2406" xr:uid="{00000000-0005-0000-0000-0000C3020000}"/>
    <cellStyle name="Calculation 2 2 2 8 2 2" xfId="8236" xr:uid="{00000000-0005-0000-0000-0000C4020000}"/>
    <cellStyle name="Calculation 2 2 2 8 3" xfId="3832" xr:uid="{00000000-0005-0000-0000-0000C5020000}"/>
    <cellStyle name="Calculation 2 2 2 8 3 2" xfId="9662" xr:uid="{00000000-0005-0000-0000-0000C6020000}"/>
    <cellStyle name="Calculation 2 2 2 8 4" xfId="5228" xr:uid="{00000000-0005-0000-0000-0000C7020000}"/>
    <cellStyle name="Calculation 2 2 2 8 4 2" xfId="11058" xr:uid="{00000000-0005-0000-0000-0000C8020000}"/>
    <cellStyle name="Calculation 2 2 2 8 5" xfId="6723" xr:uid="{00000000-0005-0000-0000-0000C9020000}"/>
    <cellStyle name="Calculation 2 2 2 9" xfId="1660" xr:uid="{00000000-0005-0000-0000-0000CA020000}"/>
    <cellStyle name="Calculation 2 2 2 9 2" xfId="7490" xr:uid="{00000000-0005-0000-0000-0000CB020000}"/>
    <cellStyle name="Calculation 2 2 3" xfId="122" xr:uid="{00000000-0005-0000-0000-0000CC020000}"/>
    <cellStyle name="Calculation 2 2 3 10" xfId="1911" xr:uid="{00000000-0005-0000-0000-0000CD020000}"/>
    <cellStyle name="Calculation 2 2 3 10 2" xfId="7741" xr:uid="{00000000-0005-0000-0000-0000CE020000}"/>
    <cellStyle name="Calculation 2 2 3 11" xfId="1610" xr:uid="{00000000-0005-0000-0000-0000CF020000}"/>
    <cellStyle name="Calculation 2 2 3 11 2" xfId="7440" xr:uid="{00000000-0005-0000-0000-0000D0020000}"/>
    <cellStyle name="Calculation 2 2 3 12" xfId="6003" xr:uid="{00000000-0005-0000-0000-0000D1020000}"/>
    <cellStyle name="Calculation 2 2 3 2" xfId="143" xr:uid="{00000000-0005-0000-0000-0000D2020000}"/>
    <cellStyle name="Calculation 2 2 3 2 10" xfId="1901" xr:uid="{00000000-0005-0000-0000-0000D3020000}"/>
    <cellStyle name="Calculation 2 2 3 2 10 2" xfId="7731" xr:uid="{00000000-0005-0000-0000-0000D4020000}"/>
    <cellStyle name="Calculation 2 2 3 2 11" xfId="6023" xr:uid="{00000000-0005-0000-0000-0000D5020000}"/>
    <cellStyle name="Calculation 2 2 3 2 2" xfId="183" xr:uid="{00000000-0005-0000-0000-0000D6020000}"/>
    <cellStyle name="Calculation 2 2 3 2 2 10" xfId="6063" xr:uid="{00000000-0005-0000-0000-0000D7020000}"/>
    <cellStyle name="Calculation 2 2 3 2 2 2" xfId="264" xr:uid="{00000000-0005-0000-0000-0000D8020000}"/>
    <cellStyle name="Calculation 2 2 3 2 2 2 2" xfId="543" xr:uid="{00000000-0005-0000-0000-0000D9020000}"/>
    <cellStyle name="Calculation 2 2 3 2 2 2 2 2" xfId="1278" xr:uid="{00000000-0005-0000-0000-0000DA020000}"/>
    <cellStyle name="Calculation 2 2 3 2 2 2 2 2 2" xfId="2794" xr:uid="{00000000-0005-0000-0000-0000DB020000}"/>
    <cellStyle name="Calculation 2 2 3 2 2 2 2 2 2 2" xfId="8624" xr:uid="{00000000-0005-0000-0000-0000DC020000}"/>
    <cellStyle name="Calculation 2 2 3 2 2 2 2 2 3" xfId="4217" xr:uid="{00000000-0005-0000-0000-0000DD020000}"/>
    <cellStyle name="Calculation 2 2 3 2 2 2 2 2 3 2" xfId="10047" xr:uid="{00000000-0005-0000-0000-0000DE020000}"/>
    <cellStyle name="Calculation 2 2 3 2 2 2 2 2 4" xfId="5613" xr:uid="{00000000-0005-0000-0000-0000DF020000}"/>
    <cellStyle name="Calculation 2 2 3 2 2 2 2 2 4 2" xfId="11443" xr:uid="{00000000-0005-0000-0000-0000E0020000}"/>
    <cellStyle name="Calculation 2 2 3 2 2 2 2 2 5" xfId="7108" xr:uid="{00000000-0005-0000-0000-0000E1020000}"/>
    <cellStyle name="Calculation 2 2 3 2 2 2 2 3" xfId="2065" xr:uid="{00000000-0005-0000-0000-0000E2020000}"/>
    <cellStyle name="Calculation 2 2 3 2 2 2 2 3 2" xfId="7895" xr:uid="{00000000-0005-0000-0000-0000E3020000}"/>
    <cellStyle name="Calculation 2 2 3 2 2 2 2 4" xfId="3492" xr:uid="{00000000-0005-0000-0000-0000E4020000}"/>
    <cellStyle name="Calculation 2 2 3 2 2 2 2 4 2" xfId="9322" xr:uid="{00000000-0005-0000-0000-0000E5020000}"/>
    <cellStyle name="Calculation 2 2 3 2 2 2 2 5" xfId="4889" xr:uid="{00000000-0005-0000-0000-0000E6020000}"/>
    <cellStyle name="Calculation 2 2 3 2 2 2 2 5 2" xfId="10719" xr:uid="{00000000-0005-0000-0000-0000E7020000}"/>
    <cellStyle name="Calculation 2 2 3 2 2 2 2 6" xfId="6384" xr:uid="{00000000-0005-0000-0000-0000E8020000}"/>
    <cellStyle name="Calculation 2 2 3 2 2 2 3" xfId="787" xr:uid="{00000000-0005-0000-0000-0000E9020000}"/>
    <cellStyle name="Calculation 2 2 3 2 2 2 3 2" xfId="1518" xr:uid="{00000000-0005-0000-0000-0000EA020000}"/>
    <cellStyle name="Calculation 2 2 3 2 2 2 3 2 2" xfId="3034" xr:uid="{00000000-0005-0000-0000-0000EB020000}"/>
    <cellStyle name="Calculation 2 2 3 2 2 2 3 2 2 2" xfId="8864" xr:uid="{00000000-0005-0000-0000-0000EC020000}"/>
    <cellStyle name="Calculation 2 2 3 2 2 2 3 2 3" xfId="4457" xr:uid="{00000000-0005-0000-0000-0000ED020000}"/>
    <cellStyle name="Calculation 2 2 3 2 2 2 3 2 3 2" xfId="10287" xr:uid="{00000000-0005-0000-0000-0000EE020000}"/>
    <cellStyle name="Calculation 2 2 3 2 2 2 3 2 4" xfId="5853" xr:uid="{00000000-0005-0000-0000-0000EF020000}"/>
    <cellStyle name="Calculation 2 2 3 2 2 2 3 2 4 2" xfId="11683" xr:uid="{00000000-0005-0000-0000-0000F0020000}"/>
    <cellStyle name="Calculation 2 2 3 2 2 2 3 2 5" xfId="7348" xr:uid="{00000000-0005-0000-0000-0000F1020000}"/>
    <cellStyle name="Calculation 2 2 3 2 2 2 3 3" xfId="2307" xr:uid="{00000000-0005-0000-0000-0000F2020000}"/>
    <cellStyle name="Calculation 2 2 3 2 2 2 3 3 2" xfId="8137" xr:uid="{00000000-0005-0000-0000-0000F3020000}"/>
    <cellStyle name="Calculation 2 2 3 2 2 2 3 4" xfId="3733" xr:uid="{00000000-0005-0000-0000-0000F4020000}"/>
    <cellStyle name="Calculation 2 2 3 2 2 2 3 4 2" xfId="9563" xr:uid="{00000000-0005-0000-0000-0000F5020000}"/>
    <cellStyle name="Calculation 2 2 3 2 2 2 3 5" xfId="5129" xr:uid="{00000000-0005-0000-0000-0000F6020000}"/>
    <cellStyle name="Calculation 2 2 3 2 2 2 3 5 2" xfId="10959" xr:uid="{00000000-0005-0000-0000-0000F7020000}"/>
    <cellStyle name="Calculation 2 2 3 2 2 2 3 6" xfId="6624" xr:uid="{00000000-0005-0000-0000-0000F8020000}"/>
    <cellStyle name="Calculation 2 2 3 2 2 2 4" xfId="1031" xr:uid="{00000000-0005-0000-0000-0000F9020000}"/>
    <cellStyle name="Calculation 2 2 3 2 2 2 4 2" xfId="2551" xr:uid="{00000000-0005-0000-0000-0000FA020000}"/>
    <cellStyle name="Calculation 2 2 3 2 2 2 4 2 2" xfId="8381" xr:uid="{00000000-0005-0000-0000-0000FB020000}"/>
    <cellStyle name="Calculation 2 2 3 2 2 2 4 3" xfId="3977" xr:uid="{00000000-0005-0000-0000-0000FC020000}"/>
    <cellStyle name="Calculation 2 2 3 2 2 2 4 3 2" xfId="9807" xr:uid="{00000000-0005-0000-0000-0000FD020000}"/>
    <cellStyle name="Calculation 2 2 3 2 2 2 4 4" xfId="5373" xr:uid="{00000000-0005-0000-0000-0000FE020000}"/>
    <cellStyle name="Calculation 2 2 3 2 2 2 4 4 2" xfId="11203" xr:uid="{00000000-0005-0000-0000-0000FF020000}"/>
    <cellStyle name="Calculation 2 2 3 2 2 2 4 5" xfId="6868" xr:uid="{00000000-0005-0000-0000-000000030000}"/>
    <cellStyle name="Calculation 2 2 3 2 2 2 5" xfId="1805" xr:uid="{00000000-0005-0000-0000-000001030000}"/>
    <cellStyle name="Calculation 2 2 3 2 2 2 5 2" xfId="7635" xr:uid="{00000000-0005-0000-0000-000002030000}"/>
    <cellStyle name="Calculation 2 2 3 2 2 2 6" xfId="3236" xr:uid="{00000000-0005-0000-0000-000003030000}"/>
    <cellStyle name="Calculation 2 2 3 2 2 2 6 2" xfId="9066" xr:uid="{00000000-0005-0000-0000-000004030000}"/>
    <cellStyle name="Calculation 2 2 3 2 2 2 7" xfId="4648" xr:uid="{00000000-0005-0000-0000-000005030000}"/>
    <cellStyle name="Calculation 2 2 3 2 2 2 7 2" xfId="10478" xr:uid="{00000000-0005-0000-0000-000006030000}"/>
    <cellStyle name="Calculation 2 2 3 2 2 2 8" xfId="6143" xr:uid="{00000000-0005-0000-0000-000007030000}"/>
    <cellStyle name="Calculation 2 2 3 2 2 3" xfId="344" xr:uid="{00000000-0005-0000-0000-000008030000}"/>
    <cellStyle name="Calculation 2 2 3 2 2 3 2" xfId="623" xr:uid="{00000000-0005-0000-0000-000009030000}"/>
    <cellStyle name="Calculation 2 2 3 2 2 3 2 2" xfId="1358" xr:uid="{00000000-0005-0000-0000-00000A030000}"/>
    <cellStyle name="Calculation 2 2 3 2 2 3 2 2 2" xfId="2874" xr:uid="{00000000-0005-0000-0000-00000B030000}"/>
    <cellStyle name="Calculation 2 2 3 2 2 3 2 2 2 2" xfId="8704" xr:uid="{00000000-0005-0000-0000-00000C030000}"/>
    <cellStyle name="Calculation 2 2 3 2 2 3 2 2 3" xfId="4297" xr:uid="{00000000-0005-0000-0000-00000D030000}"/>
    <cellStyle name="Calculation 2 2 3 2 2 3 2 2 3 2" xfId="10127" xr:uid="{00000000-0005-0000-0000-00000E030000}"/>
    <cellStyle name="Calculation 2 2 3 2 2 3 2 2 4" xfId="5693" xr:uid="{00000000-0005-0000-0000-00000F030000}"/>
    <cellStyle name="Calculation 2 2 3 2 2 3 2 2 4 2" xfId="11523" xr:uid="{00000000-0005-0000-0000-000010030000}"/>
    <cellStyle name="Calculation 2 2 3 2 2 3 2 2 5" xfId="7188" xr:uid="{00000000-0005-0000-0000-000011030000}"/>
    <cellStyle name="Calculation 2 2 3 2 2 3 2 3" xfId="2145" xr:uid="{00000000-0005-0000-0000-000012030000}"/>
    <cellStyle name="Calculation 2 2 3 2 2 3 2 3 2" xfId="7975" xr:uid="{00000000-0005-0000-0000-000013030000}"/>
    <cellStyle name="Calculation 2 2 3 2 2 3 2 4" xfId="3572" xr:uid="{00000000-0005-0000-0000-000014030000}"/>
    <cellStyle name="Calculation 2 2 3 2 2 3 2 4 2" xfId="9402" xr:uid="{00000000-0005-0000-0000-000015030000}"/>
    <cellStyle name="Calculation 2 2 3 2 2 3 2 5" xfId="4969" xr:uid="{00000000-0005-0000-0000-000016030000}"/>
    <cellStyle name="Calculation 2 2 3 2 2 3 2 5 2" xfId="10799" xr:uid="{00000000-0005-0000-0000-000017030000}"/>
    <cellStyle name="Calculation 2 2 3 2 2 3 2 6" xfId="6464" xr:uid="{00000000-0005-0000-0000-000018030000}"/>
    <cellStyle name="Calculation 2 2 3 2 2 3 3" xfId="867" xr:uid="{00000000-0005-0000-0000-000019030000}"/>
    <cellStyle name="Calculation 2 2 3 2 2 3 3 2" xfId="1598" xr:uid="{00000000-0005-0000-0000-00001A030000}"/>
    <cellStyle name="Calculation 2 2 3 2 2 3 3 2 2" xfId="3114" xr:uid="{00000000-0005-0000-0000-00001B030000}"/>
    <cellStyle name="Calculation 2 2 3 2 2 3 3 2 2 2" xfId="8944" xr:uid="{00000000-0005-0000-0000-00001C030000}"/>
    <cellStyle name="Calculation 2 2 3 2 2 3 3 2 3" xfId="4537" xr:uid="{00000000-0005-0000-0000-00001D030000}"/>
    <cellStyle name="Calculation 2 2 3 2 2 3 3 2 3 2" xfId="10367" xr:uid="{00000000-0005-0000-0000-00001E030000}"/>
    <cellStyle name="Calculation 2 2 3 2 2 3 3 2 4" xfId="5933" xr:uid="{00000000-0005-0000-0000-00001F030000}"/>
    <cellStyle name="Calculation 2 2 3 2 2 3 3 2 4 2" xfId="11763" xr:uid="{00000000-0005-0000-0000-000020030000}"/>
    <cellStyle name="Calculation 2 2 3 2 2 3 3 2 5" xfId="7428" xr:uid="{00000000-0005-0000-0000-000021030000}"/>
    <cellStyle name="Calculation 2 2 3 2 2 3 3 3" xfId="2387" xr:uid="{00000000-0005-0000-0000-000022030000}"/>
    <cellStyle name="Calculation 2 2 3 2 2 3 3 3 2" xfId="8217" xr:uid="{00000000-0005-0000-0000-000023030000}"/>
    <cellStyle name="Calculation 2 2 3 2 2 3 3 4" xfId="3813" xr:uid="{00000000-0005-0000-0000-000024030000}"/>
    <cellStyle name="Calculation 2 2 3 2 2 3 3 4 2" xfId="9643" xr:uid="{00000000-0005-0000-0000-000025030000}"/>
    <cellStyle name="Calculation 2 2 3 2 2 3 3 5" xfId="5209" xr:uid="{00000000-0005-0000-0000-000026030000}"/>
    <cellStyle name="Calculation 2 2 3 2 2 3 3 5 2" xfId="11039" xr:uid="{00000000-0005-0000-0000-000027030000}"/>
    <cellStyle name="Calculation 2 2 3 2 2 3 3 6" xfId="6704" xr:uid="{00000000-0005-0000-0000-000028030000}"/>
    <cellStyle name="Calculation 2 2 3 2 2 3 4" xfId="1111" xr:uid="{00000000-0005-0000-0000-000029030000}"/>
    <cellStyle name="Calculation 2 2 3 2 2 3 4 2" xfId="2631" xr:uid="{00000000-0005-0000-0000-00002A030000}"/>
    <cellStyle name="Calculation 2 2 3 2 2 3 4 2 2" xfId="8461" xr:uid="{00000000-0005-0000-0000-00002B030000}"/>
    <cellStyle name="Calculation 2 2 3 2 2 3 4 3" xfId="4057" xr:uid="{00000000-0005-0000-0000-00002C030000}"/>
    <cellStyle name="Calculation 2 2 3 2 2 3 4 3 2" xfId="9887" xr:uid="{00000000-0005-0000-0000-00002D030000}"/>
    <cellStyle name="Calculation 2 2 3 2 2 3 4 4" xfId="5453" xr:uid="{00000000-0005-0000-0000-00002E030000}"/>
    <cellStyle name="Calculation 2 2 3 2 2 3 4 4 2" xfId="11283" xr:uid="{00000000-0005-0000-0000-00002F030000}"/>
    <cellStyle name="Calculation 2 2 3 2 2 3 4 5" xfId="6948" xr:uid="{00000000-0005-0000-0000-000030030000}"/>
    <cellStyle name="Calculation 2 2 3 2 2 3 5" xfId="1885" xr:uid="{00000000-0005-0000-0000-000031030000}"/>
    <cellStyle name="Calculation 2 2 3 2 2 3 5 2" xfId="7715" xr:uid="{00000000-0005-0000-0000-000032030000}"/>
    <cellStyle name="Calculation 2 2 3 2 2 3 6" xfId="3316" xr:uid="{00000000-0005-0000-0000-000033030000}"/>
    <cellStyle name="Calculation 2 2 3 2 2 3 6 2" xfId="9146" xr:uid="{00000000-0005-0000-0000-000034030000}"/>
    <cellStyle name="Calculation 2 2 3 2 2 3 7" xfId="4728" xr:uid="{00000000-0005-0000-0000-000035030000}"/>
    <cellStyle name="Calculation 2 2 3 2 2 3 7 2" xfId="10558" xr:uid="{00000000-0005-0000-0000-000036030000}"/>
    <cellStyle name="Calculation 2 2 3 2 2 3 8" xfId="6223" xr:uid="{00000000-0005-0000-0000-000037030000}"/>
    <cellStyle name="Calculation 2 2 3 2 2 4" xfId="463" xr:uid="{00000000-0005-0000-0000-000038030000}"/>
    <cellStyle name="Calculation 2 2 3 2 2 4 2" xfId="1198" xr:uid="{00000000-0005-0000-0000-000039030000}"/>
    <cellStyle name="Calculation 2 2 3 2 2 4 2 2" xfId="2714" xr:uid="{00000000-0005-0000-0000-00003A030000}"/>
    <cellStyle name="Calculation 2 2 3 2 2 4 2 2 2" xfId="8544" xr:uid="{00000000-0005-0000-0000-00003B030000}"/>
    <cellStyle name="Calculation 2 2 3 2 2 4 2 3" xfId="4137" xr:uid="{00000000-0005-0000-0000-00003C030000}"/>
    <cellStyle name="Calculation 2 2 3 2 2 4 2 3 2" xfId="9967" xr:uid="{00000000-0005-0000-0000-00003D030000}"/>
    <cellStyle name="Calculation 2 2 3 2 2 4 2 4" xfId="5533" xr:uid="{00000000-0005-0000-0000-00003E030000}"/>
    <cellStyle name="Calculation 2 2 3 2 2 4 2 4 2" xfId="11363" xr:uid="{00000000-0005-0000-0000-00003F030000}"/>
    <cellStyle name="Calculation 2 2 3 2 2 4 2 5" xfId="7028" xr:uid="{00000000-0005-0000-0000-000040030000}"/>
    <cellStyle name="Calculation 2 2 3 2 2 4 3" xfId="1985" xr:uid="{00000000-0005-0000-0000-000041030000}"/>
    <cellStyle name="Calculation 2 2 3 2 2 4 3 2" xfId="7815" xr:uid="{00000000-0005-0000-0000-000042030000}"/>
    <cellStyle name="Calculation 2 2 3 2 2 4 4" xfId="3412" xr:uid="{00000000-0005-0000-0000-000043030000}"/>
    <cellStyle name="Calculation 2 2 3 2 2 4 4 2" xfId="9242" xr:uid="{00000000-0005-0000-0000-000044030000}"/>
    <cellStyle name="Calculation 2 2 3 2 2 4 5" xfId="4809" xr:uid="{00000000-0005-0000-0000-000045030000}"/>
    <cellStyle name="Calculation 2 2 3 2 2 4 5 2" xfId="10639" xr:uid="{00000000-0005-0000-0000-000046030000}"/>
    <cellStyle name="Calculation 2 2 3 2 2 4 6" xfId="6304" xr:uid="{00000000-0005-0000-0000-000047030000}"/>
    <cellStyle name="Calculation 2 2 3 2 2 5" xfId="707" xr:uid="{00000000-0005-0000-0000-000048030000}"/>
    <cellStyle name="Calculation 2 2 3 2 2 5 2" xfId="1438" xr:uid="{00000000-0005-0000-0000-000049030000}"/>
    <cellStyle name="Calculation 2 2 3 2 2 5 2 2" xfId="2954" xr:uid="{00000000-0005-0000-0000-00004A030000}"/>
    <cellStyle name="Calculation 2 2 3 2 2 5 2 2 2" xfId="8784" xr:uid="{00000000-0005-0000-0000-00004B030000}"/>
    <cellStyle name="Calculation 2 2 3 2 2 5 2 3" xfId="4377" xr:uid="{00000000-0005-0000-0000-00004C030000}"/>
    <cellStyle name="Calculation 2 2 3 2 2 5 2 3 2" xfId="10207" xr:uid="{00000000-0005-0000-0000-00004D030000}"/>
    <cellStyle name="Calculation 2 2 3 2 2 5 2 4" xfId="5773" xr:uid="{00000000-0005-0000-0000-00004E030000}"/>
    <cellStyle name="Calculation 2 2 3 2 2 5 2 4 2" xfId="11603" xr:uid="{00000000-0005-0000-0000-00004F030000}"/>
    <cellStyle name="Calculation 2 2 3 2 2 5 2 5" xfId="7268" xr:uid="{00000000-0005-0000-0000-000050030000}"/>
    <cellStyle name="Calculation 2 2 3 2 2 5 3" xfId="2227" xr:uid="{00000000-0005-0000-0000-000051030000}"/>
    <cellStyle name="Calculation 2 2 3 2 2 5 3 2" xfId="8057" xr:uid="{00000000-0005-0000-0000-000052030000}"/>
    <cellStyle name="Calculation 2 2 3 2 2 5 4" xfId="3653" xr:uid="{00000000-0005-0000-0000-000053030000}"/>
    <cellStyle name="Calculation 2 2 3 2 2 5 4 2" xfId="9483" xr:uid="{00000000-0005-0000-0000-000054030000}"/>
    <cellStyle name="Calculation 2 2 3 2 2 5 5" xfId="5049" xr:uid="{00000000-0005-0000-0000-000055030000}"/>
    <cellStyle name="Calculation 2 2 3 2 2 5 5 2" xfId="10879" xr:uid="{00000000-0005-0000-0000-000056030000}"/>
    <cellStyle name="Calculation 2 2 3 2 2 5 6" xfId="6544" xr:uid="{00000000-0005-0000-0000-000057030000}"/>
    <cellStyle name="Calculation 2 2 3 2 2 6" xfId="951" xr:uid="{00000000-0005-0000-0000-000058030000}"/>
    <cellStyle name="Calculation 2 2 3 2 2 6 2" xfId="2471" xr:uid="{00000000-0005-0000-0000-000059030000}"/>
    <cellStyle name="Calculation 2 2 3 2 2 6 2 2" xfId="8301" xr:uid="{00000000-0005-0000-0000-00005A030000}"/>
    <cellStyle name="Calculation 2 2 3 2 2 6 3" xfId="3897" xr:uid="{00000000-0005-0000-0000-00005B030000}"/>
    <cellStyle name="Calculation 2 2 3 2 2 6 3 2" xfId="9727" xr:uid="{00000000-0005-0000-0000-00005C030000}"/>
    <cellStyle name="Calculation 2 2 3 2 2 6 4" xfId="5293" xr:uid="{00000000-0005-0000-0000-00005D030000}"/>
    <cellStyle name="Calculation 2 2 3 2 2 6 4 2" xfId="11123" xr:uid="{00000000-0005-0000-0000-00005E030000}"/>
    <cellStyle name="Calculation 2 2 3 2 2 6 5" xfId="6788" xr:uid="{00000000-0005-0000-0000-00005F030000}"/>
    <cellStyle name="Calculation 2 2 3 2 2 7" xfId="1725" xr:uid="{00000000-0005-0000-0000-000060030000}"/>
    <cellStyle name="Calculation 2 2 3 2 2 7 2" xfId="7555" xr:uid="{00000000-0005-0000-0000-000061030000}"/>
    <cellStyle name="Calculation 2 2 3 2 2 8" xfId="3156" xr:uid="{00000000-0005-0000-0000-000062030000}"/>
    <cellStyle name="Calculation 2 2 3 2 2 8 2" xfId="8986" xr:uid="{00000000-0005-0000-0000-000063030000}"/>
    <cellStyle name="Calculation 2 2 3 2 2 9" xfId="4568" xr:uid="{00000000-0005-0000-0000-000064030000}"/>
    <cellStyle name="Calculation 2 2 3 2 2 9 2" xfId="10398" xr:uid="{00000000-0005-0000-0000-000065030000}"/>
    <cellStyle name="Calculation 2 2 3 2 3" xfId="224" xr:uid="{00000000-0005-0000-0000-000066030000}"/>
    <cellStyle name="Calculation 2 2 3 2 3 2" xfId="503" xr:uid="{00000000-0005-0000-0000-000067030000}"/>
    <cellStyle name="Calculation 2 2 3 2 3 2 2" xfId="1238" xr:uid="{00000000-0005-0000-0000-000068030000}"/>
    <cellStyle name="Calculation 2 2 3 2 3 2 2 2" xfId="2754" xr:uid="{00000000-0005-0000-0000-000069030000}"/>
    <cellStyle name="Calculation 2 2 3 2 3 2 2 2 2" xfId="8584" xr:uid="{00000000-0005-0000-0000-00006A030000}"/>
    <cellStyle name="Calculation 2 2 3 2 3 2 2 3" xfId="4177" xr:uid="{00000000-0005-0000-0000-00006B030000}"/>
    <cellStyle name="Calculation 2 2 3 2 3 2 2 3 2" xfId="10007" xr:uid="{00000000-0005-0000-0000-00006C030000}"/>
    <cellStyle name="Calculation 2 2 3 2 3 2 2 4" xfId="5573" xr:uid="{00000000-0005-0000-0000-00006D030000}"/>
    <cellStyle name="Calculation 2 2 3 2 3 2 2 4 2" xfId="11403" xr:uid="{00000000-0005-0000-0000-00006E030000}"/>
    <cellStyle name="Calculation 2 2 3 2 3 2 2 5" xfId="7068" xr:uid="{00000000-0005-0000-0000-00006F030000}"/>
    <cellStyle name="Calculation 2 2 3 2 3 2 3" xfId="2025" xr:uid="{00000000-0005-0000-0000-000070030000}"/>
    <cellStyle name="Calculation 2 2 3 2 3 2 3 2" xfId="7855" xr:uid="{00000000-0005-0000-0000-000071030000}"/>
    <cellStyle name="Calculation 2 2 3 2 3 2 4" xfId="3452" xr:uid="{00000000-0005-0000-0000-000072030000}"/>
    <cellStyle name="Calculation 2 2 3 2 3 2 4 2" xfId="9282" xr:uid="{00000000-0005-0000-0000-000073030000}"/>
    <cellStyle name="Calculation 2 2 3 2 3 2 5" xfId="4849" xr:uid="{00000000-0005-0000-0000-000074030000}"/>
    <cellStyle name="Calculation 2 2 3 2 3 2 5 2" xfId="10679" xr:uid="{00000000-0005-0000-0000-000075030000}"/>
    <cellStyle name="Calculation 2 2 3 2 3 2 6" xfId="6344" xr:uid="{00000000-0005-0000-0000-000076030000}"/>
    <cellStyle name="Calculation 2 2 3 2 3 3" xfId="747" xr:uid="{00000000-0005-0000-0000-000077030000}"/>
    <cellStyle name="Calculation 2 2 3 2 3 3 2" xfId="1478" xr:uid="{00000000-0005-0000-0000-000078030000}"/>
    <cellStyle name="Calculation 2 2 3 2 3 3 2 2" xfId="2994" xr:uid="{00000000-0005-0000-0000-000079030000}"/>
    <cellStyle name="Calculation 2 2 3 2 3 3 2 2 2" xfId="8824" xr:uid="{00000000-0005-0000-0000-00007A030000}"/>
    <cellStyle name="Calculation 2 2 3 2 3 3 2 3" xfId="4417" xr:uid="{00000000-0005-0000-0000-00007B030000}"/>
    <cellStyle name="Calculation 2 2 3 2 3 3 2 3 2" xfId="10247" xr:uid="{00000000-0005-0000-0000-00007C030000}"/>
    <cellStyle name="Calculation 2 2 3 2 3 3 2 4" xfId="5813" xr:uid="{00000000-0005-0000-0000-00007D030000}"/>
    <cellStyle name="Calculation 2 2 3 2 3 3 2 4 2" xfId="11643" xr:uid="{00000000-0005-0000-0000-00007E030000}"/>
    <cellStyle name="Calculation 2 2 3 2 3 3 2 5" xfId="7308" xr:uid="{00000000-0005-0000-0000-00007F030000}"/>
    <cellStyle name="Calculation 2 2 3 2 3 3 3" xfId="2267" xr:uid="{00000000-0005-0000-0000-000080030000}"/>
    <cellStyle name="Calculation 2 2 3 2 3 3 3 2" xfId="8097" xr:uid="{00000000-0005-0000-0000-000081030000}"/>
    <cellStyle name="Calculation 2 2 3 2 3 3 4" xfId="3693" xr:uid="{00000000-0005-0000-0000-000082030000}"/>
    <cellStyle name="Calculation 2 2 3 2 3 3 4 2" xfId="9523" xr:uid="{00000000-0005-0000-0000-000083030000}"/>
    <cellStyle name="Calculation 2 2 3 2 3 3 5" xfId="5089" xr:uid="{00000000-0005-0000-0000-000084030000}"/>
    <cellStyle name="Calculation 2 2 3 2 3 3 5 2" xfId="10919" xr:uid="{00000000-0005-0000-0000-000085030000}"/>
    <cellStyle name="Calculation 2 2 3 2 3 3 6" xfId="6584" xr:uid="{00000000-0005-0000-0000-000086030000}"/>
    <cellStyle name="Calculation 2 2 3 2 3 4" xfId="991" xr:uid="{00000000-0005-0000-0000-000087030000}"/>
    <cellStyle name="Calculation 2 2 3 2 3 4 2" xfId="2511" xr:uid="{00000000-0005-0000-0000-000088030000}"/>
    <cellStyle name="Calculation 2 2 3 2 3 4 2 2" xfId="8341" xr:uid="{00000000-0005-0000-0000-000089030000}"/>
    <cellStyle name="Calculation 2 2 3 2 3 4 3" xfId="3937" xr:uid="{00000000-0005-0000-0000-00008A030000}"/>
    <cellStyle name="Calculation 2 2 3 2 3 4 3 2" xfId="9767" xr:uid="{00000000-0005-0000-0000-00008B030000}"/>
    <cellStyle name="Calculation 2 2 3 2 3 4 4" xfId="5333" xr:uid="{00000000-0005-0000-0000-00008C030000}"/>
    <cellStyle name="Calculation 2 2 3 2 3 4 4 2" xfId="11163" xr:uid="{00000000-0005-0000-0000-00008D030000}"/>
    <cellStyle name="Calculation 2 2 3 2 3 4 5" xfId="6828" xr:uid="{00000000-0005-0000-0000-00008E030000}"/>
    <cellStyle name="Calculation 2 2 3 2 3 5" xfId="1765" xr:uid="{00000000-0005-0000-0000-00008F030000}"/>
    <cellStyle name="Calculation 2 2 3 2 3 5 2" xfId="7595" xr:uid="{00000000-0005-0000-0000-000090030000}"/>
    <cellStyle name="Calculation 2 2 3 2 3 6" xfId="3196" xr:uid="{00000000-0005-0000-0000-000091030000}"/>
    <cellStyle name="Calculation 2 2 3 2 3 6 2" xfId="9026" xr:uid="{00000000-0005-0000-0000-000092030000}"/>
    <cellStyle name="Calculation 2 2 3 2 3 7" xfId="4608" xr:uid="{00000000-0005-0000-0000-000093030000}"/>
    <cellStyle name="Calculation 2 2 3 2 3 7 2" xfId="10438" xr:uid="{00000000-0005-0000-0000-000094030000}"/>
    <cellStyle name="Calculation 2 2 3 2 3 8" xfId="6103" xr:uid="{00000000-0005-0000-0000-000095030000}"/>
    <cellStyle name="Calculation 2 2 3 2 4" xfId="304" xr:uid="{00000000-0005-0000-0000-000096030000}"/>
    <cellStyle name="Calculation 2 2 3 2 4 2" xfId="583" xr:uid="{00000000-0005-0000-0000-000097030000}"/>
    <cellStyle name="Calculation 2 2 3 2 4 2 2" xfId="1318" xr:uid="{00000000-0005-0000-0000-000098030000}"/>
    <cellStyle name="Calculation 2 2 3 2 4 2 2 2" xfId="2834" xr:uid="{00000000-0005-0000-0000-000099030000}"/>
    <cellStyle name="Calculation 2 2 3 2 4 2 2 2 2" xfId="8664" xr:uid="{00000000-0005-0000-0000-00009A030000}"/>
    <cellStyle name="Calculation 2 2 3 2 4 2 2 3" xfId="4257" xr:uid="{00000000-0005-0000-0000-00009B030000}"/>
    <cellStyle name="Calculation 2 2 3 2 4 2 2 3 2" xfId="10087" xr:uid="{00000000-0005-0000-0000-00009C030000}"/>
    <cellStyle name="Calculation 2 2 3 2 4 2 2 4" xfId="5653" xr:uid="{00000000-0005-0000-0000-00009D030000}"/>
    <cellStyle name="Calculation 2 2 3 2 4 2 2 4 2" xfId="11483" xr:uid="{00000000-0005-0000-0000-00009E030000}"/>
    <cellStyle name="Calculation 2 2 3 2 4 2 2 5" xfId="7148" xr:uid="{00000000-0005-0000-0000-00009F030000}"/>
    <cellStyle name="Calculation 2 2 3 2 4 2 3" xfId="2105" xr:uid="{00000000-0005-0000-0000-0000A0030000}"/>
    <cellStyle name="Calculation 2 2 3 2 4 2 3 2" xfId="7935" xr:uid="{00000000-0005-0000-0000-0000A1030000}"/>
    <cellStyle name="Calculation 2 2 3 2 4 2 4" xfId="3532" xr:uid="{00000000-0005-0000-0000-0000A2030000}"/>
    <cellStyle name="Calculation 2 2 3 2 4 2 4 2" xfId="9362" xr:uid="{00000000-0005-0000-0000-0000A3030000}"/>
    <cellStyle name="Calculation 2 2 3 2 4 2 5" xfId="4929" xr:uid="{00000000-0005-0000-0000-0000A4030000}"/>
    <cellStyle name="Calculation 2 2 3 2 4 2 5 2" xfId="10759" xr:uid="{00000000-0005-0000-0000-0000A5030000}"/>
    <cellStyle name="Calculation 2 2 3 2 4 2 6" xfId="6424" xr:uid="{00000000-0005-0000-0000-0000A6030000}"/>
    <cellStyle name="Calculation 2 2 3 2 4 3" xfId="827" xr:uid="{00000000-0005-0000-0000-0000A7030000}"/>
    <cellStyle name="Calculation 2 2 3 2 4 3 2" xfId="1558" xr:uid="{00000000-0005-0000-0000-0000A8030000}"/>
    <cellStyle name="Calculation 2 2 3 2 4 3 2 2" xfId="3074" xr:uid="{00000000-0005-0000-0000-0000A9030000}"/>
    <cellStyle name="Calculation 2 2 3 2 4 3 2 2 2" xfId="8904" xr:uid="{00000000-0005-0000-0000-0000AA030000}"/>
    <cellStyle name="Calculation 2 2 3 2 4 3 2 3" xfId="4497" xr:uid="{00000000-0005-0000-0000-0000AB030000}"/>
    <cellStyle name="Calculation 2 2 3 2 4 3 2 3 2" xfId="10327" xr:uid="{00000000-0005-0000-0000-0000AC030000}"/>
    <cellStyle name="Calculation 2 2 3 2 4 3 2 4" xfId="5893" xr:uid="{00000000-0005-0000-0000-0000AD030000}"/>
    <cellStyle name="Calculation 2 2 3 2 4 3 2 4 2" xfId="11723" xr:uid="{00000000-0005-0000-0000-0000AE030000}"/>
    <cellStyle name="Calculation 2 2 3 2 4 3 2 5" xfId="7388" xr:uid="{00000000-0005-0000-0000-0000AF030000}"/>
    <cellStyle name="Calculation 2 2 3 2 4 3 3" xfId="2347" xr:uid="{00000000-0005-0000-0000-0000B0030000}"/>
    <cellStyle name="Calculation 2 2 3 2 4 3 3 2" xfId="8177" xr:uid="{00000000-0005-0000-0000-0000B1030000}"/>
    <cellStyle name="Calculation 2 2 3 2 4 3 4" xfId="3773" xr:uid="{00000000-0005-0000-0000-0000B2030000}"/>
    <cellStyle name="Calculation 2 2 3 2 4 3 4 2" xfId="9603" xr:uid="{00000000-0005-0000-0000-0000B3030000}"/>
    <cellStyle name="Calculation 2 2 3 2 4 3 5" xfId="5169" xr:uid="{00000000-0005-0000-0000-0000B4030000}"/>
    <cellStyle name="Calculation 2 2 3 2 4 3 5 2" xfId="10999" xr:uid="{00000000-0005-0000-0000-0000B5030000}"/>
    <cellStyle name="Calculation 2 2 3 2 4 3 6" xfId="6664" xr:uid="{00000000-0005-0000-0000-0000B6030000}"/>
    <cellStyle name="Calculation 2 2 3 2 4 4" xfId="1071" xr:uid="{00000000-0005-0000-0000-0000B7030000}"/>
    <cellStyle name="Calculation 2 2 3 2 4 4 2" xfId="2591" xr:uid="{00000000-0005-0000-0000-0000B8030000}"/>
    <cellStyle name="Calculation 2 2 3 2 4 4 2 2" xfId="8421" xr:uid="{00000000-0005-0000-0000-0000B9030000}"/>
    <cellStyle name="Calculation 2 2 3 2 4 4 3" xfId="4017" xr:uid="{00000000-0005-0000-0000-0000BA030000}"/>
    <cellStyle name="Calculation 2 2 3 2 4 4 3 2" xfId="9847" xr:uid="{00000000-0005-0000-0000-0000BB030000}"/>
    <cellStyle name="Calculation 2 2 3 2 4 4 4" xfId="5413" xr:uid="{00000000-0005-0000-0000-0000BC030000}"/>
    <cellStyle name="Calculation 2 2 3 2 4 4 4 2" xfId="11243" xr:uid="{00000000-0005-0000-0000-0000BD030000}"/>
    <cellStyle name="Calculation 2 2 3 2 4 4 5" xfId="6908" xr:uid="{00000000-0005-0000-0000-0000BE030000}"/>
    <cellStyle name="Calculation 2 2 3 2 4 5" xfId="1845" xr:uid="{00000000-0005-0000-0000-0000BF030000}"/>
    <cellStyle name="Calculation 2 2 3 2 4 5 2" xfId="7675" xr:uid="{00000000-0005-0000-0000-0000C0030000}"/>
    <cellStyle name="Calculation 2 2 3 2 4 6" xfId="3276" xr:uid="{00000000-0005-0000-0000-0000C1030000}"/>
    <cellStyle name="Calculation 2 2 3 2 4 6 2" xfId="9106" xr:uid="{00000000-0005-0000-0000-0000C2030000}"/>
    <cellStyle name="Calculation 2 2 3 2 4 7" xfId="4688" xr:uid="{00000000-0005-0000-0000-0000C3030000}"/>
    <cellStyle name="Calculation 2 2 3 2 4 7 2" xfId="10518" xr:uid="{00000000-0005-0000-0000-0000C4030000}"/>
    <cellStyle name="Calculation 2 2 3 2 4 8" xfId="6183" xr:uid="{00000000-0005-0000-0000-0000C5030000}"/>
    <cellStyle name="Calculation 2 2 3 2 5" xfId="423" xr:uid="{00000000-0005-0000-0000-0000C6030000}"/>
    <cellStyle name="Calculation 2 2 3 2 5 2" xfId="1158" xr:uid="{00000000-0005-0000-0000-0000C7030000}"/>
    <cellStyle name="Calculation 2 2 3 2 5 2 2" xfId="2674" xr:uid="{00000000-0005-0000-0000-0000C8030000}"/>
    <cellStyle name="Calculation 2 2 3 2 5 2 2 2" xfId="8504" xr:uid="{00000000-0005-0000-0000-0000C9030000}"/>
    <cellStyle name="Calculation 2 2 3 2 5 2 3" xfId="4097" xr:uid="{00000000-0005-0000-0000-0000CA030000}"/>
    <cellStyle name="Calculation 2 2 3 2 5 2 3 2" xfId="9927" xr:uid="{00000000-0005-0000-0000-0000CB030000}"/>
    <cellStyle name="Calculation 2 2 3 2 5 2 4" xfId="5493" xr:uid="{00000000-0005-0000-0000-0000CC030000}"/>
    <cellStyle name="Calculation 2 2 3 2 5 2 4 2" xfId="11323" xr:uid="{00000000-0005-0000-0000-0000CD030000}"/>
    <cellStyle name="Calculation 2 2 3 2 5 2 5" xfId="6988" xr:uid="{00000000-0005-0000-0000-0000CE030000}"/>
    <cellStyle name="Calculation 2 2 3 2 5 3" xfId="1945" xr:uid="{00000000-0005-0000-0000-0000CF030000}"/>
    <cellStyle name="Calculation 2 2 3 2 5 3 2" xfId="7775" xr:uid="{00000000-0005-0000-0000-0000D0030000}"/>
    <cellStyle name="Calculation 2 2 3 2 5 4" xfId="3372" xr:uid="{00000000-0005-0000-0000-0000D1030000}"/>
    <cellStyle name="Calculation 2 2 3 2 5 4 2" xfId="9202" xr:uid="{00000000-0005-0000-0000-0000D2030000}"/>
    <cellStyle name="Calculation 2 2 3 2 5 5" xfId="4769" xr:uid="{00000000-0005-0000-0000-0000D3030000}"/>
    <cellStyle name="Calculation 2 2 3 2 5 5 2" xfId="10599" xr:uid="{00000000-0005-0000-0000-0000D4030000}"/>
    <cellStyle name="Calculation 2 2 3 2 5 6" xfId="6264" xr:uid="{00000000-0005-0000-0000-0000D5030000}"/>
    <cellStyle name="Calculation 2 2 3 2 6" xfId="667" xr:uid="{00000000-0005-0000-0000-0000D6030000}"/>
    <cellStyle name="Calculation 2 2 3 2 6 2" xfId="1398" xr:uid="{00000000-0005-0000-0000-0000D7030000}"/>
    <cellStyle name="Calculation 2 2 3 2 6 2 2" xfId="2914" xr:uid="{00000000-0005-0000-0000-0000D8030000}"/>
    <cellStyle name="Calculation 2 2 3 2 6 2 2 2" xfId="8744" xr:uid="{00000000-0005-0000-0000-0000D9030000}"/>
    <cellStyle name="Calculation 2 2 3 2 6 2 3" xfId="4337" xr:uid="{00000000-0005-0000-0000-0000DA030000}"/>
    <cellStyle name="Calculation 2 2 3 2 6 2 3 2" xfId="10167" xr:uid="{00000000-0005-0000-0000-0000DB030000}"/>
    <cellStyle name="Calculation 2 2 3 2 6 2 4" xfId="5733" xr:uid="{00000000-0005-0000-0000-0000DC030000}"/>
    <cellStyle name="Calculation 2 2 3 2 6 2 4 2" xfId="11563" xr:uid="{00000000-0005-0000-0000-0000DD030000}"/>
    <cellStyle name="Calculation 2 2 3 2 6 2 5" xfId="7228" xr:uid="{00000000-0005-0000-0000-0000DE030000}"/>
    <cellStyle name="Calculation 2 2 3 2 6 3" xfId="2187" xr:uid="{00000000-0005-0000-0000-0000DF030000}"/>
    <cellStyle name="Calculation 2 2 3 2 6 3 2" xfId="8017" xr:uid="{00000000-0005-0000-0000-0000E0030000}"/>
    <cellStyle name="Calculation 2 2 3 2 6 4" xfId="3613" xr:uid="{00000000-0005-0000-0000-0000E1030000}"/>
    <cellStyle name="Calculation 2 2 3 2 6 4 2" xfId="9443" xr:uid="{00000000-0005-0000-0000-0000E2030000}"/>
    <cellStyle name="Calculation 2 2 3 2 6 5" xfId="5009" xr:uid="{00000000-0005-0000-0000-0000E3030000}"/>
    <cellStyle name="Calculation 2 2 3 2 6 5 2" xfId="10839" xr:uid="{00000000-0005-0000-0000-0000E4030000}"/>
    <cellStyle name="Calculation 2 2 3 2 6 6" xfId="6504" xr:uid="{00000000-0005-0000-0000-0000E5030000}"/>
    <cellStyle name="Calculation 2 2 3 2 7" xfId="911" xr:uid="{00000000-0005-0000-0000-0000E6030000}"/>
    <cellStyle name="Calculation 2 2 3 2 7 2" xfId="2431" xr:uid="{00000000-0005-0000-0000-0000E7030000}"/>
    <cellStyle name="Calculation 2 2 3 2 7 2 2" xfId="8261" xr:uid="{00000000-0005-0000-0000-0000E8030000}"/>
    <cellStyle name="Calculation 2 2 3 2 7 3" xfId="3857" xr:uid="{00000000-0005-0000-0000-0000E9030000}"/>
    <cellStyle name="Calculation 2 2 3 2 7 3 2" xfId="9687" xr:uid="{00000000-0005-0000-0000-0000EA030000}"/>
    <cellStyle name="Calculation 2 2 3 2 7 4" xfId="5253" xr:uid="{00000000-0005-0000-0000-0000EB030000}"/>
    <cellStyle name="Calculation 2 2 3 2 7 4 2" xfId="11083" xr:uid="{00000000-0005-0000-0000-0000EC030000}"/>
    <cellStyle name="Calculation 2 2 3 2 7 5" xfId="6748" xr:uid="{00000000-0005-0000-0000-0000ED030000}"/>
    <cellStyle name="Calculation 2 2 3 2 8" xfId="1685" xr:uid="{00000000-0005-0000-0000-0000EE030000}"/>
    <cellStyle name="Calculation 2 2 3 2 8 2" xfId="7515" xr:uid="{00000000-0005-0000-0000-0000EF030000}"/>
    <cellStyle name="Calculation 2 2 3 2 9" xfId="1642" xr:uid="{00000000-0005-0000-0000-0000F0030000}"/>
    <cellStyle name="Calculation 2 2 3 2 9 2" xfId="7472" xr:uid="{00000000-0005-0000-0000-0000F1030000}"/>
    <cellStyle name="Calculation 2 2 3 3" xfId="163" xr:uid="{00000000-0005-0000-0000-0000F2030000}"/>
    <cellStyle name="Calculation 2 2 3 3 10" xfId="6043" xr:uid="{00000000-0005-0000-0000-0000F3030000}"/>
    <cellStyle name="Calculation 2 2 3 3 2" xfId="244" xr:uid="{00000000-0005-0000-0000-0000F4030000}"/>
    <cellStyle name="Calculation 2 2 3 3 2 2" xfId="523" xr:uid="{00000000-0005-0000-0000-0000F5030000}"/>
    <cellStyle name="Calculation 2 2 3 3 2 2 2" xfId="1258" xr:uid="{00000000-0005-0000-0000-0000F6030000}"/>
    <cellStyle name="Calculation 2 2 3 3 2 2 2 2" xfId="2774" xr:uid="{00000000-0005-0000-0000-0000F7030000}"/>
    <cellStyle name="Calculation 2 2 3 3 2 2 2 2 2" xfId="8604" xr:uid="{00000000-0005-0000-0000-0000F8030000}"/>
    <cellStyle name="Calculation 2 2 3 3 2 2 2 3" xfId="4197" xr:uid="{00000000-0005-0000-0000-0000F9030000}"/>
    <cellStyle name="Calculation 2 2 3 3 2 2 2 3 2" xfId="10027" xr:uid="{00000000-0005-0000-0000-0000FA030000}"/>
    <cellStyle name="Calculation 2 2 3 3 2 2 2 4" xfId="5593" xr:uid="{00000000-0005-0000-0000-0000FB030000}"/>
    <cellStyle name="Calculation 2 2 3 3 2 2 2 4 2" xfId="11423" xr:uid="{00000000-0005-0000-0000-0000FC030000}"/>
    <cellStyle name="Calculation 2 2 3 3 2 2 2 5" xfId="7088" xr:uid="{00000000-0005-0000-0000-0000FD030000}"/>
    <cellStyle name="Calculation 2 2 3 3 2 2 3" xfId="2045" xr:uid="{00000000-0005-0000-0000-0000FE030000}"/>
    <cellStyle name="Calculation 2 2 3 3 2 2 3 2" xfId="7875" xr:uid="{00000000-0005-0000-0000-0000FF030000}"/>
    <cellStyle name="Calculation 2 2 3 3 2 2 4" xfId="3472" xr:uid="{00000000-0005-0000-0000-000000040000}"/>
    <cellStyle name="Calculation 2 2 3 3 2 2 4 2" xfId="9302" xr:uid="{00000000-0005-0000-0000-000001040000}"/>
    <cellStyle name="Calculation 2 2 3 3 2 2 5" xfId="4869" xr:uid="{00000000-0005-0000-0000-000002040000}"/>
    <cellStyle name="Calculation 2 2 3 3 2 2 5 2" xfId="10699" xr:uid="{00000000-0005-0000-0000-000003040000}"/>
    <cellStyle name="Calculation 2 2 3 3 2 2 6" xfId="6364" xr:uid="{00000000-0005-0000-0000-000004040000}"/>
    <cellStyle name="Calculation 2 2 3 3 2 3" xfId="767" xr:uid="{00000000-0005-0000-0000-000005040000}"/>
    <cellStyle name="Calculation 2 2 3 3 2 3 2" xfId="1498" xr:uid="{00000000-0005-0000-0000-000006040000}"/>
    <cellStyle name="Calculation 2 2 3 3 2 3 2 2" xfId="3014" xr:uid="{00000000-0005-0000-0000-000007040000}"/>
    <cellStyle name="Calculation 2 2 3 3 2 3 2 2 2" xfId="8844" xr:uid="{00000000-0005-0000-0000-000008040000}"/>
    <cellStyle name="Calculation 2 2 3 3 2 3 2 3" xfId="4437" xr:uid="{00000000-0005-0000-0000-000009040000}"/>
    <cellStyle name="Calculation 2 2 3 3 2 3 2 3 2" xfId="10267" xr:uid="{00000000-0005-0000-0000-00000A040000}"/>
    <cellStyle name="Calculation 2 2 3 3 2 3 2 4" xfId="5833" xr:uid="{00000000-0005-0000-0000-00000B040000}"/>
    <cellStyle name="Calculation 2 2 3 3 2 3 2 4 2" xfId="11663" xr:uid="{00000000-0005-0000-0000-00000C040000}"/>
    <cellStyle name="Calculation 2 2 3 3 2 3 2 5" xfId="7328" xr:uid="{00000000-0005-0000-0000-00000D040000}"/>
    <cellStyle name="Calculation 2 2 3 3 2 3 3" xfId="2287" xr:uid="{00000000-0005-0000-0000-00000E040000}"/>
    <cellStyle name="Calculation 2 2 3 3 2 3 3 2" xfId="8117" xr:uid="{00000000-0005-0000-0000-00000F040000}"/>
    <cellStyle name="Calculation 2 2 3 3 2 3 4" xfId="3713" xr:uid="{00000000-0005-0000-0000-000010040000}"/>
    <cellStyle name="Calculation 2 2 3 3 2 3 4 2" xfId="9543" xr:uid="{00000000-0005-0000-0000-000011040000}"/>
    <cellStyle name="Calculation 2 2 3 3 2 3 5" xfId="5109" xr:uid="{00000000-0005-0000-0000-000012040000}"/>
    <cellStyle name="Calculation 2 2 3 3 2 3 5 2" xfId="10939" xr:uid="{00000000-0005-0000-0000-000013040000}"/>
    <cellStyle name="Calculation 2 2 3 3 2 3 6" xfId="6604" xr:uid="{00000000-0005-0000-0000-000014040000}"/>
    <cellStyle name="Calculation 2 2 3 3 2 4" xfId="1011" xr:uid="{00000000-0005-0000-0000-000015040000}"/>
    <cellStyle name="Calculation 2 2 3 3 2 4 2" xfId="2531" xr:uid="{00000000-0005-0000-0000-000016040000}"/>
    <cellStyle name="Calculation 2 2 3 3 2 4 2 2" xfId="8361" xr:uid="{00000000-0005-0000-0000-000017040000}"/>
    <cellStyle name="Calculation 2 2 3 3 2 4 3" xfId="3957" xr:uid="{00000000-0005-0000-0000-000018040000}"/>
    <cellStyle name="Calculation 2 2 3 3 2 4 3 2" xfId="9787" xr:uid="{00000000-0005-0000-0000-000019040000}"/>
    <cellStyle name="Calculation 2 2 3 3 2 4 4" xfId="5353" xr:uid="{00000000-0005-0000-0000-00001A040000}"/>
    <cellStyle name="Calculation 2 2 3 3 2 4 4 2" xfId="11183" xr:uid="{00000000-0005-0000-0000-00001B040000}"/>
    <cellStyle name="Calculation 2 2 3 3 2 4 5" xfId="6848" xr:uid="{00000000-0005-0000-0000-00001C040000}"/>
    <cellStyle name="Calculation 2 2 3 3 2 5" xfId="1785" xr:uid="{00000000-0005-0000-0000-00001D040000}"/>
    <cellStyle name="Calculation 2 2 3 3 2 5 2" xfId="7615" xr:uid="{00000000-0005-0000-0000-00001E040000}"/>
    <cellStyle name="Calculation 2 2 3 3 2 6" xfId="3216" xr:uid="{00000000-0005-0000-0000-00001F040000}"/>
    <cellStyle name="Calculation 2 2 3 3 2 6 2" xfId="9046" xr:uid="{00000000-0005-0000-0000-000020040000}"/>
    <cellStyle name="Calculation 2 2 3 3 2 7" xfId="4628" xr:uid="{00000000-0005-0000-0000-000021040000}"/>
    <cellStyle name="Calculation 2 2 3 3 2 7 2" xfId="10458" xr:uid="{00000000-0005-0000-0000-000022040000}"/>
    <cellStyle name="Calculation 2 2 3 3 2 8" xfId="6123" xr:uid="{00000000-0005-0000-0000-000023040000}"/>
    <cellStyle name="Calculation 2 2 3 3 3" xfId="324" xr:uid="{00000000-0005-0000-0000-000024040000}"/>
    <cellStyle name="Calculation 2 2 3 3 3 2" xfId="603" xr:uid="{00000000-0005-0000-0000-000025040000}"/>
    <cellStyle name="Calculation 2 2 3 3 3 2 2" xfId="1338" xr:uid="{00000000-0005-0000-0000-000026040000}"/>
    <cellStyle name="Calculation 2 2 3 3 3 2 2 2" xfId="2854" xr:uid="{00000000-0005-0000-0000-000027040000}"/>
    <cellStyle name="Calculation 2 2 3 3 3 2 2 2 2" xfId="8684" xr:uid="{00000000-0005-0000-0000-000028040000}"/>
    <cellStyle name="Calculation 2 2 3 3 3 2 2 3" xfId="4277" xr:uid="{00000000-0005-0000-0000-000029040000}"/>
    <cellStyle name="Calculation 2 2 3 3 3 2 2 3 2" xfId="10107" xr:uid="{00000000-0005-0000-0000-00002A040000}"/>
    <cellStyle name="Calculation 2 2 3 3 3 2 2 4" xfId="5673" xr:uid="{00000000-0005-0000-0000-00002B040000}"/>
    <cellStyle name="Calculation 2 2 3 3 3 2 2 4 2" xfId="11503" xr:uid="{00000000-0005-0000-0000-00002C040000}"/>
    <cellStyle name="Calculation 2 2 3 3 3 2 2 5" xfId="7168" xr:uid="{00000000-0005-0000-0000-00002D040000}"/>
    <cellStyle name="Calculation 2 2 3 3 3 2 3" xfId="2125" xr:uid="{00000000-0005-0000-0000-00002E040000}"/>
    <cellStyle name="Calculation 2 2 3 3 3 2 3 2" xfId="7955" xr:uid="{00000000-0005-0000-0000-00002F040000}"/>
    <cellStyle name="Calculation 2 2 3 3 3 2 4" xfId="3552" xr:uid="{00000000-0005-0000-0000-000030040000}"/>
    <cellStyle name="Calculation 2 2 3 3 3 2 4 2" xfId="9382" xr:uid="{00000000-0005-0000-0000-000031040000}"/>
    <cellStyle name="Calculation 2 2 3 3 3 2 5" xfId="4949" xr:uid="{00000000-0005-0000-0000-000032040000}"/>
    <cellStyle name="Calculation 2 2 3 3 3 2 5 2" xfId="10779" xr:uid="{00000000-0005-0000-0000-000033040000}"/>
    <cellStyle name="Calculation 2 2 3 3 3 2 6" xfId="6444" xr:uid="{00000000-0005-0000-0000-000034040000}"/>
    <cellStyle name="Calculation 2 2 3 3 3 3" xfId="847" xr:uid="{00000000-0005-0000-0000-000035040000}"/>
    <cellStyle name="Calculation 2 2 3 3 3 3 2" xfId="1578" xr:uid="{00000000-0005-0000-0000-000036040000}"/>
    <cellStyle name="Calculation 2 2 3 3 3 3 2 2" xfId="3094" xr:uid="{00000000-0005-0000-0000-000037040000}"/>
    <cellStyle name="Calculation 2 2 3 3 3 3 2 2 2" xfId="8924" xr:uid="{00000000-0005-0000-0000-000038040000}"/>
    <cellStyle name="Calculation 2 2 3 3 3 3 2 3" xfId="4517" xr:uid="{00000000-0005-0000-0000-000039040000}"/>
    <cellStyle name="Calculation 2 2 3 3 3 3 2 3 2" xfId="10347" xr:uid="{00000000-0005-0000-0000-00003A040000}"/>
    <cellStyle name="Calculation 2 2 3 3 3 3 2 4" xfId="5913" xr:uid="{00000000-0005-0000-0000-00003B040000}"/>
    <cellStyle name="Calculation 2 2 3 3 3 3 2 4 2" xfId="11743" xr:uid="{00000000-0005-0000-0000-00003C040000}"/>
    <cellStyle name="Calculation 2 2 3 3 3 3 2 5" xfId="7408" xr:uid="{00000000-0005-0000-0000-00003D040000}"/>
    <cellStyle name="Calculation 2 2 3 3 3 3 3" xfId="2367" xr:uid="{00000000-0005-0000-0000-00003E040000}"/>
    <cellStyle name="Calculation 2 2 3 3 3 3 3 2" xfId="8197" xr:uid="{00000000-0005-0000-0000-00003F040000}"/>
    <cellStyle name="Calculation 2 2 3 3 3 3 4" xfId="3793" xr:uid="{00000000-0005-0000-0000-000040040000}"/>
    <cellStyle name="Calculation 2 2 3 3 3 3 4 2" xfId="9623" xr:uid="{00000000-0005-0000-0000-000041040000}"/>
    <cellStyle name="Calculation 2 2 3 3 3 3 5" xfId="5189" xr:uid="{00000000-0005-0000-0000-000042040000}"/>
    <cellStyle name="Calculation 2 2 3 3 3 3 5 2" xfId="11019" xr:uid="{00000000-0005-0000-0000-000043040000}"/>
    <cellStyle name="Calculation 2 2 3 3 3 3 6" xfId="6684" xr:uid="{00000000-0005-0000-0000-000044040000}"/>
    <cellStyle name="Calculation 2 2 3 3 3 4" xfId="1091" xr:uid="{00000000-0005-0000-0000-000045040000}"/>
    <cellStyle name="Calculation 2 2 3 3 3 4 2" xfId="2611" xr:uid="{00000000-0005-0000-0000-000046040000}"/>
    <cellStyle name="Calculation 2 2 3 3 3 4 2 2" xfId="8441" xr:uid="{00000000-0005-0000-0000-000047040000}"/>
    <cellStyle name="Calculation 2 2 3 3 3 4 3" xfId="4037" xr:uid="{00000000-0005-0000-0000-000048040000}"/>
    <cellStyle name="Calculation 2 2 3 3 3 4 3 2" xfId="9867" xr:uid="{00000000-0005-0000-0000-000049040000}"/>
    <cellStyle name="Calculation 2 2 3 3 3 4 4" xfId="5433" xr:uid="{00000000-0005-0000-0000-00004A040000}"/>
    <cellStyle name="Calculation 2 2 3 3 3 4 4 2" xfId="11263" xr:uid="{00000000-0005-0000-0000-00004B040000}"/>
    <cellStyle name="Calculation 2 2 3 3 3 4 5" xfId="6928" xr:uid="{00000000-0005-0000-0000-00004C040000}"/>
    <cellStyle name="Calculation 2 2 3 3 3 5" xfId="1865" xr:uid="{00000000-0005-0000-0000-00004D040000}"/>
    <cellStyle name="Calculation 2 2 3 3 3 5 2" xfId="7695" xr:uid="{00000000-0005-0000-0000-00004E040000}"/>
    <cellStyle name="Calculation 2 2 3 3 3 6" xfId="3296" xr:uid="{00000000-0005-0000-0000-00004F040000}"/>
    <cellStyle name="Calculation 2 2 3 3 3 6 2" xfId="9126" xr:uid="{00000000-0005-0000-0000-000050040000}"/>
    <cellStyle name="Calculation 2 2 3 3 3 7" xfId="4708" xr:uid="{00000000-0005-0000-0000-000051040000}"/>
    <cellStyle name="Calculation 2 2 3 3 3 7 2" xfId="10538" xr:uid="{00000000-0005-0000-0000-000052040000}"/>
    <cellStyle name="Calculation 2 2 3 3 3 8" xfId="6203" xr:uid="{00000000-0005-0000-0000-000053040000}"/>
    <cellStyle name="Calculation 2 2 3 3 4" xfId="443" xr:uid="{00000000-0005-0000-0000-000054040000}"/>
    <cellStyle name="Calculation 2 2 3 3 4 2" xfId="1178" xr:uid="{00000000-0005-0000-0000-000055040000}"/>
    <cellStyle name="Calculation 2 2 3 3 4 2 2" xfId="2694" xr:uid="{00000000-0005-0000-0000-000056040000}"/>
    <cellStyle name="Calculation 2 2 3 3 4 2 2 2" xfId="8524" xr:uid="{00000000-0005-0000-0000-000057040000}"/>
    <cellStyle name="Calculation 2 2 3 3 4 2 3" xfId="4117" xr:uid="{00000000-0005-0000-0000-000058040000}"/>
    <cellStyle name="Calculation 2 2 3 3 4 2 3 2" xfId="9947" xr:uid="{00000000-0005-0000-0000-000059040000}"/>
    <cellStyle name="Calculation 2 2 3 3 4 2 4" xfId="5513" xr:uid="{00000000-0005-0000-0000-00005A040000}"/>
    <cellStyle name="Calculation 2 2 3 3 4 2 4 2" xfId="11343" xr:uid="{00000000-0005-0000-0000-00005B040000}"/>
    <cellStyle name="Calculation 2 2 3 3 4 2 5" xfId="7008" xr:uid="{00000000-0005-0000-0000-00005C040000}"/>
    <cellStyle name="Calculation 2 2 3 3 4 3" xfId="1965" xr:uid="{00000000-0005-0000-0000-00005D040000}"/>
    <cellStyle name="Calculation 2 2 3 3 4 3 2" xfId="7795" xr:uid="{00000000-0005-0000-0000-00005E040000}"/>
    <cellStyle name="Calculation 2 2 3 3 4 4" xfId="3392" xr:uid="{00000000-0005-0000-0000-00005F040000}"/>
    <cellStyle name="Calculation 2 2 3 3 4 4 2" xfId="9222" xr:uid="{00000000-0005-0000-0000-000060040000}"/>
    <cellStyle name="Calculation 2 2 3 3 4 5" xfId="4789" xr:uid="{00000000-0005-0000-0000-000061040000}"/>
    <cellStyle name="Calculation 2 2 3 3 4 5 2" xfId="10619" xr:uid="{00000000-0005-0000-0000-000062040000}"/>
    <cellStyle name="Calculation 2 2 3 3 4 6" xfId="6284" xr:uid="{00000000-0005-0000-0000-000063040000}"/>
    <cellStyle name="Calculation 2 2 3 3 5" xfId="687" xr:uid="{00000000-0005-0000-0000-000064040000}"/>
    <cellStyle name="Calculation 2 2 3 3 5 2" xfId="1418" xr:uid="{00000000-0005-0000-0000-000065040000}"/>
    <cellStyle name="Calculation 2 2 3 3 5 2 2" xfId="2934" xr:uid="{00000000-0005-0000-0000-000066040000}"/>
    <cellStyle name="Calculation 2 2 3 3 5 2 2 2" xfId="8764" xr:uid="{00000000-0005-0000-0000-000067040000}"/>
    <cellStyle name="Calculation 2 2 3 3 5 2 3" xfId="4357" xr:uid="{00000000-0005-0000-0000-000068040000}"/>
    <cellStyle name="Calculation 2 2 3 3 5 2 3 2" xfId="10187" xr:uid="{00000000-0005-0000-0000-000069040000}"/>
    <cellStyle name="Calculation 2 2 3 3 5 2 4" xfId="5753" xr:uid="{00000000-0005-0000-0000-00006A040000}"/>
    <cellStyle name="Calculation 2 2 3 3 5 2 4 2" xfId="11583" xr:uid="{00000000-0005-0000-0000-00006B040000}"/>
    <cellStyle name="Calculation 2 2 3 3 5 2 5" xfId="7248" xr:uid="{00000000-0005-0000-0000-00006C040000}"/>
    <cellStyle name="Calculation 2 2 3 3 5 3" xfId="2207" xr:uid="{00000000-0005-0000-0000-00006D040000}"/>
    <cellStyle name="Calculation 2 2 3 3 5 3 2" xfId="8037" xr:uid="{00000000-0005-0000-0000-00006E040000}"/>
    <cellStyle name="Calculation 2 2 3 3 5 4" xfId="3633" xr:uid="{00000000-0005-0000-0000-00006F040000}"/>
    <cellStyle name="Calculation 2 2 3 3 5 4 2" xfId="9463" xr:uid="{00000000-0005-0000-0000-000070040000}"/>
    <cellStyle name="Calculation 2 2 3 3 5 5" xfId="5029" xr:uid="{00000000-0005-0000-0000-000071040000}"/>
    <cellStyle name="Calculation 2 2 3 3 5 5 2" xfId="10859" xr:uid="{00000000-0005-0000-0000-000072040000}"/>
    <cellStyle name="Calculation 2 2 3 3 5 6" xfId="6524" xr:uid="{00000000-0005-0000-0000-000073040000}"/>
    <cellStyle name="Calculation 2 2 3 3 6" xfId="931" xr:uid="{00000000-0005-0000-0000-000074040000}"/>
    <cellStyle name="Calculation 2 2 3 3 6 2" xfId="2451" xr:uid="{00000000-0005-0000-0000-000075040000}"/>
    <cellStyle name="Calculation 2 2 3 3 6 2 2" xfId="8281" xr:uid="{00000000-0005-0000-0000-000076040000}"/>
    <cellStyle name="Calculation 2 2 3 3 6 3" xfId="3877" xr:uid="{00000000-0005-0000-0000-000077040000}"/>
    <cellStyle name="Calculation 2 2 3 3 6 3 2" xfId="9707" xr:uid="{00000000-0005-0000-0000-000078040000}"/>
    <cellStyle name="Calculation 2 2 3 3 6 4" xfId="5273" xr:uid="{00000000-0005-0000-0000-000079040000}"/>
    <cellStyle name="Calculation 2 2 3 3 6 4 2" xfId="11103" xr:uid="{00000000-0005-0000-0000-00007A040000}"/>
    <cellStyle name="Calculation 2 2 3 3 6 5" xfId="6768" xr:uid="{00000000-0005-0000-0000-00007B040000}"/>
    <cellStyle name="Calculation 2 2 3 3 7" xfId="1705" xr:uid="{00000000-0005-0000-0000-00007C040000}"/>
    <cellStyle name="Calculation 2 2 3 3 7 2" xfId="7535" xr:uid="{00000000-0005-0000-0000-00007D040000}"/>
    <cellStyle name="Calculation 2 2 3 3 8" xfId="3136" xr:uid="{00000000-0005-0000-0000-00007E040000}"/>
    <cellStyle name="Calculation 2 2 3 3 8 2" xfId="8966" xr:uid="{00000000-0005-0000-0000-00007F040000}"/>
    <cellStyle name="Calculation 2 2 3 3 9" xfId="4548" xr:uid="{00000000-0005-0000-0000-000080040000}"/>
    <cellStyle name="Calculation 2 2 3 3 9 2" xfId="10378" xr:uid="{00000000-0005-0000-0000-000081040000}"/>
    <cellStyle name="Calculation 2 2 3 4" xfId="203" xr:uid="{00000000-0005-0000-0000-000082040000}"/>
    <cellStyle name="Calculation 2 2 3 4 2" xfId="483" xr:uid="{00000000-0005-0000-0000-000083040000}"/>
    <cellStyle name="Calculation 2 2 3 4 2 2" xfId="1218" xr:uid="{00000000-0005-0000-0000-000084040000}"/>
    <cellStyle name="Calculation 2 2 3 4 2 2 2" xfId="2734" xr:uid="{00000000-0005-0000-0000-000085040000}"/>
    <cellStyle name="Calculation 2 2 3 4 2 2 2 2" xfId="8564" xr:uid="{00000000-0005-0000-0000-000086040000}"/>
    <cellStyle name="Calculation 2 2 3 4 2 2 3" xfId="4157" xr:uid="{00000000-0005-0000-0000-000087040000}"/>
    <cellStyle name="Calculation 2 2 3 4 2 2 3 2" xfId="9987" xr:uid="{00000000-0005-0000-0000-000088040000}"/>
    <cellStyle name="Calculation 2 2 3 4 2 2 4" xfId="5553" xr:uid="{00000000-0005-0000-0000-000089040000}"/>
    <cellStyle name="Calculation 2 2 3 4 2 2 4 2" xfId="11383" xr:uid="{00000000-0005-0000-0000-00008A040000}"/>
    <cellStyle name="Calculation 2 2 3 4 2 2 5" xfId="7048" xr:uid="{00000000-0005-0000-0000-00008B040000}"/>
    <cellStyle name="Calculation 2 2 3 4 2 3" xfId="2005" xr:uid="{00000000-0005-0000-0000-00008C040000}"/>
    <cellStyle name="Calculation 2 2 3 4 2 3 2" xfId="7835" xr:uid="{00000000-0005-0000-0000-00008D040000}"/>
    <cellStyle name="Calculation 2 2 3 4 2 4" xfId="3432" xr:uid="{00000000-0005-0000-0000-00008E040000}"/>
    <cellStyle name="Calculation 2 2 3 4 2 4 2" xfId="9262" xr:uid="{00000000-0005-0000-0000-00008F040000}"/>
    <cellStyle name="Calculation 2 2 3 4 2 5" xfId="4829" xr:uid="{00000000-0005-0000-0000-000090040000}"/>
    <cellStyle name="Calculation 2 2 3 4 2 5 2" xfId="10659" xr:uid="{00000000-0005-0000-0000-000091040000}"/>
    <cellStyle name="Calculation 2 2 3 4 2 6" xfId="6324" xr:uid="{00000000-0005-0000-0000-000092040000}"/>
    <cellStyle name="Calculation 2 2 3 4 3" xfId="727" xr:uid="{00000000-0005-0000-0000-000093040000}"/>
    <cellStyle name="Calculation 2 2 3 4 3 2" xfId="1458" xr:uid="{00000000-0005-0000-0000-000094040000}"/>
    <cellStyle name="Calculation 2 2 3 4 3 2 2" xfId="2974" xr:uid="{00000000-0005-0000-0000-000095040000}"/>
    <cellStyle name="Calculation 2 2 3 4 3 2 2 2" xfId="8804" xr:uid="{00000000-0005-0000-0000-000096040000}"/>
    <cellStyle name="Calculation 2 2 3 4 3 2 3" xfId="4397" xr:uid="{00000000-0005-0000-0000-000097040000}"/>
    <cellStyle name="Calculation 2 2 3 4 3 2 3 2" xfId="10227" xr:uid="{00000000-0005-0000-0000-000098040000}"/>
    <cellStyle name="Calculation 2 2 3 4 3 2 4" xfId="5793" xr:uid="{00000000-0005-0000-0000-000099040000}"/>
    <cellStyle name="Calculation 2 2 3 4 3 2 4 2" xfId="11623" xr:uid="{00000000-0005-0000-0000-00009A040000}"/>
    <cellStyle name="Calculation 2 2 3 4 3 2 5" xfId="7288" xr:uid="{00000000-0005-0000-0000-00009B040000}"/>
    <cellStyle name="Calculation 2 2 3 4 3 3" xfId="2247" xr:uid="{00000000-0005-0000-0000-00009C040000}"/>
    <cellStyle name="Calculation 2 2 3 4 3 3 2" xfId="8077" xr:uid="{00000000-0005-0000-0000-00009D040000}"/>
    <cellStyle name="Calculation 2 2 3 4 3 4" xfId="3673" xr:uid="{00000000-0005-0000-0000-00009E040000}"/>
    <cellStyle name="Calculation 2 2 3 4 3 4 2" xfId="9503" xr:uid="{00000000-0005-0000-0000-00009F040000}"/>
    <cellStyle name="Calculation 2 2 3 4 3 5" xfId="5069" xr:uid="{00000000-0005-0000-0000-0000A0040000}"/>
    <cellStyle name="Calculation 2 2 3 4 3 5 2" xfId="10899" xr:uid="{00000000-0005-0000-0000-0000A1040000}"/>
    <cellStyle name="Calculation 2 2 3 4 3 6" xfId="6564" xr:uid="{00000000-0005-0000-0000-0000A2040000}"/>
    <cellStyle name="Calculation 2 2 3 4 4" xfId="971" xr:uid="{00000000-0005-0000-0000-0000A3040000}"/>
    <cellStyle name="Calculation 2 2 3 4 4 2" xfId="2491" xr:uid="{00000000-0005-0000-0000-0000A4040000}"/>
    <cellStyle name="Calculation 2 2 3 4 4 2 2" xfId="8321" xr:uid="{00000000-0005-0000-0000-0000A5040000}"/>
    <cellStyle name="Calculation 2 2 3 4 4 3" xfId="3917" xr:uid="{00000000-0005-0000-0000-0000A6040000}"/>
    <cellStyle name="Calculation 2 2 3 4 4 3 2" xfId="9747" xr:uid="{00000000-0005-0000-0000-0000A7040000}"/>
    <cellStyle name="Calculation 2 2 3 4 4 4" xfId="5313" xr:uid="{00000000-0005-0000-0000-0000A8040000}"/>
    <cellStyle name="Calculation 2 2 3 4 4 4 2" xfId="11143" xr:uid="{00000000-0005-0000-0000-0000A9040000}"/>
    <cellStyle name="Calculation 2 2 3 4 4 5" xfId="6808" xr:uid="{00000000-0005-0000-0000-0000AA040000}"/>
    <cellStyle name="Calculation 2 2 3 4 5" xfId="1745" xr:uid="{00000000-0005-0000-0000-0000AB040000}"/>
    <cellStyle name="Calculation 2 2 3 4 5 2" xfId="7575" xr:uid="{00000000-0005-0000-0000-0000AC040000}"/>
    <cellStyle name="Calculation 2 2 3 4 6" xfId="3176" xr:uid="{00000000-0005-0000-0000-0000AD040000}"/>
    <cellStyle name="Calculation 2 2 3 4 6 2" xfId="9006" xr:uid="{00000000-0005-0000-0000-0000AE040000}"/>
    <cellStyle name="Calculation 2 2 3 4 7" xfId="4588" xr:uid="{00000000-0005-0000-0000-0000AF040000}"/>
    <cellStyle name="Calculation 2 2 3 4 7 2" xfId="10418" xr:uid="{00000000-0005-0000-0000-0000B0040000}"/>
    <cellStyle name="Calculation 2 2 3 4 8" xfId="6083" xr:uid="{00000000-0005-0000-0000-0000B1040000}"/>
    <cellStyle name="Calculation 2 2 3 5" xfId="284" xr:uid="{00000000-0005-0000-0000-0000B2040000}"/>
    <cellStyle name="Calculation 2 2 3 5 2" xfId="563" xr:uid="{00000000-0005-0000-0000-0000B3040000}"/>
    <cellStyle name="Calculation 2 2 3 5 2 2" xfId="1298" xr:uid="{00000000-0005-0000-0000-0000B4040000}"/>
    <cellStyle name="Calculation 2 2 3 5 2 2 2" xfId="2814" xr:uid="{00000000-0005-0000-0000-0000B5040000}"/>
    <cellStyle name="Calculation 2 2 3 5 2 2 2 2" xfId="8644" xr:uid="{00000000-0005-0000-0000-0000B6040000}"/>
    <cellStyle name="Calculation 2 2 3 5 2 2 3" xfId="4237" xr:uid="{00000000-0005-0000-0000-0000B7040000}"/>
    <cellStyle name="Calculation 2 2 3 5 2 2 3 2" xfId="10067" xr:uid="{00000000-0005-0000-0000-0000B8040000}"/>
    <cellStyle name="Calculation 2 2 3 5 2 2 4" xfId="5633" xr:uid="{00000000-0005-0000-0000-0000B9040000}"/>
    <cellStyle name="Calculation 2 2 3 5 2 2 4 2" xfId="11463" xr:uid="{00000000-0005-0000-0000-0000BA040000}"/>
    <cellStyle name="Calculation 2 2 3 5 2 2 5" xfId="7128" xr:uid="{00000000-0005-0000-0000-0000BB040000}"/>
    <cellStyle name="Calculation 2 2 3 5 2 3" xfId="2085" xr:uid="{00000000-0005-0000-0000-0000BC040000}"/>
    <cellStyle name="Calculation 2 2 3 5 2 3 2" xfId="7915" xr:uid="{00000000-0005-0000-0000-0000BD040000}"/>
    <cellStyle name="Calculation 2 2 3 5 2 4" xfId="3512" xr:uid="{00000000-0005-0000-0000-0000BE040000}"/>
    <cellStyle name="Calculation 2 2 3 5 2 4 2" xfId="9342" xr:uid="{00000000-0005-0000-0000-0000BF040000}"/>
    <cellStyle name="Calculation 2 2 3 5 2 5" xfId="4909" xr:uid="{00000000-0005-0000-0000-0000C0040000}"/>
    <cellStyle name="Calculation 2 2 3 5 2 5 2" xfId="10739" xr:uid="{00000000-0005-0000-0000-0000C1040000}"/>
    <cellStyle name="Calculation 2 2 3 5 2 6" xfId="6404" xr:uid="{00000000-0005-0000-0000-0000C2040000}"/>
    <cellStyle name="Calculation 2 2 3 5 3" xfId="807" xr:uid="{00000000-0005-0000-0000-0000C3040000}"/>
    <cellStyle name="Calculation 2 2 3 5 3 2" xfId="1538" xr:uid="{00000000-0005-0000-0000-0000C4040000}"/>
    <cellStyle name="Calculation 2 2 3 5 3 2 2" xfId="3054" xr:uid="{00000000-0005-0000-0000-0000C5040000}"/>
    <cellStyle name="Calculation 2 2 3 5 3 2 2 2" xfId="8884" xr:uid="{00000000-0005-0000-0000-0000C6040000}"/>
    <cellStyle name="Calculation 2 2 3 5 3 2 3" xfId="4477" xr:uid="{00000000-0005-0000-0000-0000C7040000}"/>
    <cellStyle name="Calculation 2 2 3 5 3 2 3 2" xfId="10307" xr:uid="{00000000-0005-0000-0000-0000C8040000}"/>
    <cellStyle name="Calculation 2 2 3 5 3 2 4" xfId="5873" xr:uid="{00000000-0005-0000-0000-0000C9040000}"/>
    <cellStyle name="Calculation 2 2 3 5 3 2 4 2" xfId="11703" xr:uid="{00000000-0005-0000-0000-0000CA040000}"/>
    <cellStyle name="Calculation 2 2 3 5 3 2 5" xfId="7368" xr:uid="{00000000-0005-0000-0000-0000CB040000}"/>
    <cellStyle name="Calculation 2 2 3 5 3 3" xfId="2327" xr:uid="{00000000-0005-0000-0000-0000CC040000}"/>
    <cellStyle name="Calculation 2 2 3 5 3 3 2" xfId="8157" xr:uid="{00000000-0005-0000-0000-0000CD040000}"/>
    <cellStyle name="Calculation 2 2 3 5 3 4" xfId="3753" xr:uid="{00000000-0005-0000-0000-0000CE040000}"/>
    <cellStyle name="Calculation 2 2 3 5 3 4 2" xfId="9583" xr:uid="{00000000-0005-0000-0000-0000CF040000}"/>
    <cellStyle name="Calculation 2 2 3 5 3 5" xfId="5149" xr:uid="{00000000-0005-0000-0000-0000D0040000}"/>
    <cellStyle name="Calculation 2 2 3 5 3 5 2" xfId="10979" xr:uid="{00000000-0005-0000-0000-0000D1040000}"/>
    <cellStyle name="Calculation 2 2 3 5 3 6" xfId="6644" xr:uid="{00000000-0005-0000-0000-0000D2040000}"/>
    <cellStyle name="Calculation 2 2 3 5 4" xfId="1051" xr:uid="{00000000-0005-0000-0000-0000D3040000}"/>
    <cellStyle name="Calculation 2 2 3 5 4 2" xfId="2571" xr:uid="{00000000-0005-0000-0000-0000D4040000}"/>
    <cellStyle name="Calculation 2 2 3 5 4 2 2" xfId="8401" xr:uid="{00000000-0005-0000-0000-0000D5040000}"/>
    <cellStyle name="Calculation 2 2 3 5 4 3" xfId="3997" xr:uid="{00000000-0005-0000-0000-0000D6040000}"/>
    <cellStyle name="Calculation 2 2 3 5 4 3 2" xfId="9827" xr:uid="{00000000-0005-0000-0000-0000D7040000}"/>
    <cellStyle name="Calculation 2 2 3 5 4 4" xfId="5393" xr:uid="{00000000-0005-0000-0000-0000D8040000}"/>
    <cellStyle name="Calculation 2 2 3 5 4 4 2" xfId="11223" xr:uid="{00000000-0005-0000-0000-0000D9040000}"/>
    <cellStyle name="Calculation 2 2 3 5 4 5" xfId="6888" xr:uid="{00000000-0005-0000-0000-0000DA040000}"/>
    <cellStyle name="Calculation 2 2 3 5 5" xfId="1825" xr:uid="{00000000-0005-0000-0000-0000DB040000}"/>
    <cellStyle name="Calculation 2 2 3 5 5 2" xfId="7655" xr:uid="{00000000-0005-0000-0000-0000DC040000}"/>
    <cellStyle name="Calculation 2 2 3 5 6" xfId="3256" xr:uid="{00000000-0005-0000-0000-0000DD040000}"/>
    <cellStyle name="Calculation 2 2 3 5 6 2" xfId="9086" xr:uid="{00000000-0005-0000-0000-0000DE040000}"/>
    <cellStyle name="Calculation 2 2 3 5 7" xfId="4668" xr:uid="{00000000-0005-0000-0000-0000DF040000}"/>
    <cellStyle name="Calculation 2 2 3 5 7 2" xfId="10498" xr:uid="{00000000-0005-0000-0000-0000E0040000}"/>
    <cellStyle name="Calculation 2 2 3 5 8" xfId="6163" xr:uid="{00000000-0005-0000-0000-0000E1040000}"/>
    <cellStyle name="Calculation 2 2 3 6" xfId="403" xr:uid="{00000000-0005-0000-0000-0000E2040000}"/>
    <cellStyle name="Calculation 2 2 3 6 2" xfId="1138" xr:uid="{00000000-0005-0000-0000-0000E3040000}"/>
    <cellStyle name="Calculation 2 2 3 6 2 2" xfId="2654" xr:uid="{00000000-0005-0000-0000-0000E4040000}"/>
    <cellStyle name="Calculation 2 2 3 6 2 2 2" xfId="8484" xr:uid="{00000000-0005-0000-0000-0000E5040000}"/>
    <cellStyle name="Calculation 2 2 3 6 2 3" xfId="4077" xr:uid="{00000000-0005-0000-0000-0000E6040000}"/>
    <cellStyle name="Calculation 2 2 3 6 2 3 2" xfId="9907" xr:uid="{00000000-0005-0000-0000-0000E7040000}"/>
    <cellStyle name="Calculation 2 2 3 6 2 4" xfId="5473" xr:uid="{00000000-0005-0000-0000-0000E8040000}"/>
    <cellStyle name="Calculation 2 2 3 6 2 4 2" xfId="11303" xr:uid="{00000000-0005-0000-0000-0000E9040000}"/>
    <cellStyle name="Calculation 2 2 3 6 2 5" xfId="6968" xr:uid="{00000000-0005-0000-0000-0000EA040000}"/>
    <cellStyle name="Calculation 2 2 3 6 3" xfId="1925" xr:uid="{00000000-0005-0000-0000-0000EB040000}"/>
    <cellStyle name="Calculation 2 2 3 6 3 2" xfId="7755" xr:uid="{00000000-0005-0000-0000-0000EC040000}"/>
    <cellStyle name="Calculation 2 2 3 6 4" xfId="3352" xr:uid="{00000000-0005-0000-0000-0000ED040000}"/>
    <cellStyle name="Calculation 2 2 3 6 4 2" xfId="9182" xr:uid="{00000000-0005-0000-0000-0000EE040000}"/>
    <cellStyle name="Calculation 2 2 3 6 5" xfId="4749" xr:uid="{00000000-0005-0000-0000-0000EF040000}"/>
    <cellStyle name="Calculation 2 2 3 6 5 2" xfId="10579" xr:uid="{00000000-0005-0000-0000-0000F0040000}"/>
    <cellStyle name="Calculation 2 2 3 6 6" xfId="6244" xr:uid="{00000000-0005-0000-0000-0000F1040000}"/>
    <cellStyle name="Calculation 2 2 3 7" xfId="647" xr:uid="{00000000-0005-0000-0000-0000F2040000}"/>
    <cellStyle name="Calculation 2 2 3 7 2" xfId="1378" xr:uid="{00000000-0005-0000-0000-0000F3040000}"/>
    <cellStyle name="Calculation 2 2 3 7 2 2" xfId="2894" xr:uid="{00000000-0005-0000-0000-0000F4040000}"/>
    <cellStyle name="Calculation 2 2 3 7 2 2 2" xfId="8724" xr:uid="{00000000-0005-0000-0000-0000F5040000}"/>
    <cellStyle name="Calculation 2 2 3 7 2 3" xfId="4317" xr:uid="{00000000-0005-0000-0000-0000F6040000}"/>
    <cellStyle name="Calculation 2 2 3 7 2 3 2" xfId="10147" xr:uid="{00000000-0005-0000-0000-0000F7040000}"/>
    <cellStyle name="Calculation 2 2 3 7 2 4" xfId="5713" xr:uid="{00000000-0005-0000-0000-0000F8040000}"/>
    <cellStyle name="Calculation 2 2 3 7 2 4 2" xfId="11543" xr:uid="{00000000-0005-0000-0000-0000F9040000}"/>
    <cellStyle name="Calculation 2 2 3 7 2 5" xfId="7208" xr:uid="{00000000-0005-0000-0000-0000FA040000}"/>
    <cellStyle name="Calculation 2 2 3 7 3" xfId="2167" xr:uid="{00000000-0005-0000-0000-0000FB040000}"/>
    <cellStyle name="Calculation 2 2 3 7 3 2" xfId="7997" xr:uid="{00000000-0005-0000-0000-0000FC040000}"/>
    <cellStyle name="Calculation 2 2 3 7 4" xfId="3593" xr:uid="{00000000-0005-0000-0000-0000FD040000}"/>
    <cellStyle name="Calculation 2 2 3 7 4 2" xfId="9423" xr:uid="{00000000-0005-0000-0000-0000FE040000}"/>
    <cellStyle name="Calculation 2 2 3 7 5" xfId="4989" xr:uid="{00000000-0005-0000-0000-0000FF040000}"/>
    <cellStyle name="Calculation 2 2 3 7 5 2" xfId="10819" xr:uid="{00000000-0005-0000-0000-000000050000}"/>
    <cellStyle name="Calculation 2 2 3 7 6" xfId="6484" xr:uid="{00000000-0005-0000-0000-000001050000}"/>
    <cellStyle name="Calculation 2 2 3 8" xfId="891" xr:uid="{00000000-0005-0000-0000-000002050000}"/>
    <cellStyle name="Calculation 2 2 3 8 2" xfId="2411" xr:uid="{00000000-0005-0000-0000-000003050000}"/>
    <cellStyle name="Calculation 2 2 3 8 2 2" xfId="8241" xr:uid="{00000000-0005-0000-0000-000004050000}"/>
    <cellStyle name="Calculation 2 2 3 8 3" xfId="3837" xr:uid="{00000000-0005-0000-0000-000005050000}"/>
    <cellStyle name="Calculation 2 2 3 8 3 2" xfId="9667" xr:uid="{00000000-0005-0000-0000-000006050000}"/>
    <cellStyle name="Calculation 2 2 3 8 4" xfId="5233" xr:uid="{00000000-0005-0000-0000-000007050000}"/>
    <cellStyle name="Calculation 2 2 3 8 4 2" xfId="11063" xr:uid="{00000000-0005-0000-0000-000008050000}"/>
    <cellStyle name="Calculation 2 2 3 8 5" xfId="6728" xr:uid="{00000000-0005-0000-0000-000009050000}"/>
    <cellStyle name="Calculation 2 2 3 9" xfId="1665" xr:uid="{00000000-0005-0000-0000-00000A050000}"/>
    <cellStyle name="Calculation 2 2 3 9 2" xfId="7495" xr:uid="{00000000-0005-0000-0000-00000B050000}"/>
    <cellStyle name="Calculation 2 2 4" xfId="127" xr:uid="{00000000-0005-0000-0000-00000C050000}"/>
    <cellStyle name="Calculation 2 2 4 10" xfId="1627" xr:uid="{00000000-0005-0000-0000-00000D050000}"/>
    <cellStyle name="Calculation 2 2 4 10 2" xfId="7457" xr:uid="{00000000-0005-0000-0000-00000E050000}"/>
    <cellStyle name="Calculation 2 2 4 11" xfId="3339" xr:uid="{00000000-0005-0000-0000-00000F050000}"/>
    <cellStyle name="Calculation 2 2 4 11 2" xfId="9169" xr:uid="{00000000-0005-0000-0000-000010050000}"/>
    <cellStyle name="Calculation 2 2 4 12" xfId="6008" xr:uid="{00000000-0005-0000-0000-000011050000}"/>
    <cellStyle name="Calculation 2 2 4 2" xfId="148" xr:uid="{00000000-0005-0000-0000-000012050000}"/>
    <cellStyle name="Calculation 2 2 4 2 10" xfId="1612" xr:uid="{00000000-0005-0000-0000-000013050000}"/>
    <cellStyle name="Calculation 2 2 4 2 10 2" xfId="7442" xr:uid="{00000000-0005-0000-0000-000014050000}"/>
    <cellStyle name="Calculation 2 2 4 2 11" xfId="6028" xr:uid="{00000000-0005-0000-0000-000015050000}"/>
    <cellStyle name="Calculation 2 2 4 2 2" xfId="188" xr:uid="{00000000-0005-0000-0000-000016050000}"/>
    <cellStyle name="Calculation 2 2 4 2 2 10" xfId="6068" xr:uid="{00000000-0005-0000-0000-000017050000}"/>
    <cellStyle name="Calculation 2 2 4 2 2 2" xfId="269" xr:uid="{00000000-0005-0000-0000-000018050000}"/>
    <cellStyle name="Calculation 2 2 4 2 2 2 2" xfId="548" xr:uid="{00000000-0005-0000-0000-000019050000}"/>
    <cellStyle name="Calculation 2 2 4 2 2 2 2 2" xfId="1283" xr:uid="{00000000-0005-0000-0000-00001A050000}"/>
    <cellStyle name="Calculation 2 2 4 2 2 2 2 2 2" xfId="2799" xr:uid="{00000000-0005-0000-0000-00001B050000}"/>
    <cellStyle name="Calculation 2 2 4 2 2 2 2 2 2 2" xfId="8629" xr:uid="{00000000-0005-0000-0000-00001C050000}"/>
    <cellStyle name="Calculation 2 2 4 2 2 2 2 2 3" xfId="4222" xr:uid="{00000000-0005-0000-0000-00001D050000}"/>
    <cellStyle name="Calculation 2 2 4 2 2 2 2 2 3 2" xfId="10052" xr:uid="{00000000-0005-0000-0000-00001E050000}"/>
    <cellStyle name="Calculation 2 2 4 2 2 2 2 2 4" xfId="5618" xr:uid="{00000000-0005-0000-0000-00001F050000}"/>
    <cellStyle name="Calculation 2 2 4 2 2 2 2 2 4 2" xfId="11448" xr:uid="{00000000-0005-0000-0000-000020050000}"/>
    <cellStyle name="Calculation 2 2 4 2 2 2 2 2 5" xfId="7113" xr:uid="{00000000-0005-0000-0000-000021050000}"/>
    <cellStyle name="Calculation 2 2 4 2 2 2 2 3" xfId="2070" xr:uid="{00000000-0005-0000-0000-000022050000}"/>
    <cellStyle name="Calculation 2 2 4 2 2 2 2 3 2" xfId="7900" xr:uid="{00000000-0005-0000-0000-000023050000}"/>
    <cellStyle name="Calculation 2 2 4 2 2 2 2 4" xfId="3497" xr:uid="{00000000-0005-0000-0000-000024050000}"/>
    <cellStyle name="Calculation 2 2 4 2 2 2 2 4 2" xfId="9327" xr:uid="{00000000-0005-0000-0000-000025050000}"/>
    <cellStyle name="Calculation 2 2 4 2 2 2 2 5" xfId="4894" xr:uid="{00000000-0005-0000-0000-000026050000}"/>
    <cellStyle name="Calculation 2 2 4 2 2 2 2 5 2" xfId="10724" xr:uid="{00000000-0005-0000-0000-000027050000}"/>
    <cellStyle name="Calculation 2 2 4 2 2 2 2 6" xfId="6389" xr:uid="{00000000-0005-0000-0000-000028050000}"/>
    <cellStyle name="Calculation 2 2 4 2 2 2 3" xfId="792" xr:uid="{00000000-0005-0000-0000-000029050000}"/>
    <cellStyle name="Calculation 2 2 4 2 2 2 3 2" xfId="1523" xr:uid="{00000000-0005-0000-0000-00002A050000}"/>
    <cellStyle name="Calculation 2 2 4 2 2 2 3 2 2" xfId="3039" xr:uid="{00000000-0005-0000-0000-00002B050000}"/>
    <cellStyle name="Calculation 2 2 4 2 2 2 3 2 2 2" xfId="8869" xr:uid="{00000000-0005-0000-0000-00002C050000}"/>
    <cellStyle name="Calculation 2 2 4 2 2 2 3 2 3" xfId="4462" xr:uid="{00000000-0005-0000-0000-00002D050000}"/>
    <cellStyle name="Calculation 2 2 4 2 2 2 3 2 3 2" xfId="10292" xr:uid="{00000000-0005-0000-0000-00002E050000}"/>
    <cellStyle name="Calculation 2 2 4 2 2 2 3 2 4" xfId="5858" xr:uid="{00000000-0005-0000-0000-00002F050000}"/>
    <cellStyle name="Calculation 2 2 4 2 2 2 3 2 4 2" xfId="11688" xr:uid="{00000000-0005-0000-0000-000030050000}"/>
    <cellStyle name="Calculation 2 2 4 2 2 2 3 2 5" xfId="7353" xr:uid="{00000000-0005-0000-0000-000031050000}"/>
    <cellStyle name="Calculation 2 2 4 2 2 2 3 3" xfId="2312" xr:uid="{00000000-0005-0000-0000-000032050000}"/>
    <cellStyle name="Calculation 2 2 4 2 2 2 3 3 2" xfId="8142" xr:uid="{00000000-0005-0000-0000-000033050000}"/>
    <cellStyle name="Calculation 2 2 4 2 2 2 3 4" xfId="3738" xr:uid="{00000000-0005-0000-0000-000034050000}"/>
    <cellStyle name="Calculation 2 2 4 2 2 2 3 4 2" xfId="9568" xr:uid="{00000000-0005-0000-0000-000035050000}"/>
    <cellStyle name="Calculation 2 2 4 2 2 2 3 5" xfId="5134" xr:uid="{00000000-0005-0000-0000-000036050000}"/>
    <cellStyle name="Calculation 2 2 4 2 2 2 3 5 2" xfId="10964" xr:uid="{00000000-0005-0000-0000-000037050000}"/>
    <cellStyle name="Calculation 2 2 4 2 2 2 3 6" xfId="6629" xr:uid="{00000000-0005-0000-0000-000038050000}"/>
    <cellStyle name="Calculation 2 2 4 2 2 2 4" xfId="1036" xr:uid="{00000000-0005-0000-0000-000039050000}"/>
    <cellStyle name="Calculation 2 2 4 2 2 2 4 2" xfId="2556" xr:uid="{00000000-0005-0000-0000-00003A050000}"/>
    <cellStyle name="Calculation 2 2 4 2 2 2 4 2 2" xfId="8386" xr:uid="{00000000-0005-0000-0000-00003B050000}"/>
    <cellStyle name="Calculation 2 2 4 2 2 2 4 3" xfId="3982" xr:uid="{00000000-0005-0000-0000-00003C050000}"/>
    <cellStyle name="Calculation 2 2 4 2 2 2 4 3 2" xfId="9812" xr:uid="{00000000-0005-0000-0000-00003D050000}"/>
    <cellStyle name="Calculation 2 2 4 2 2 2 4 4" xfId="5378" xr:uid="{00000000-0005-0000-0000-00003E050000}"/>
    <cellStyle name="Calculation 2 2 4 2 2 2 4 4 2" xfId="11208" xr:uid="{00000000-0005-0000-0000-00003F050000}"/>
    <cellStyle name="Calculation 2 2 4 2 2 2 4 5" xfId="6873" xr:uid="{00000000-0005-0000-0000-000040050000}"/>
    <cellStyle name="Calculation 2 2 4 2 2 2 5" xfId="1810" xr:uid="{00000000-0005-0000-0000-000041050000}"/>
    <cellStyle name="Calculation 2 2 4 2 2 2 5 2" xfId="7640" xr:uid="{00000000-0005-0000-0000-000042050000}"/>
    <cellStyle name="Calculation 2 2 4 2 2 2 6" xfId="3241" xr:uid="{00000000-0005-0000-0000-000043050000}"/>
    <cellStyle name="Calculation 2 2 4 2 2 2 6 2" xfId="9071" xr:uid="{00000000-0005-0000-0000-000044050000}"/>
    <cellStyle name="Calculation 2 2 4 2 2 2 7" xfId="4653" xr:uid="{00000000-0005-0000-0000-000045050000}"/>
    <cellStyle name="Calculation 2 2 4 2 2 2 7 2" xfId="10483" xr:uid="{00000000-0005-0000-0000-000046050000}"/>
    <cellStyle name="Calculation 2 2 4 2 2 2 8" xfId="6148" xr:uid="{00000000-0005-0000-0000-000047050000}"/>
    <cellStyle name="Calculation 2 2 4 2 2 3" xfId="349" xr:uid="{00000000-0005-0000-0000-000048050000}"/>
    <cellStyle name="Calculation 2 2 4 2 2 3 2" xfId="628" xr:uid="{00000000-0005-0000-0000-000049050000}"/>
    <cellStyle name="Calculation 2 2 4 2 2 3 2 2" xfId="1363" xr:uid="{00000000-0005-0000-0000-00004A050000}"/>
    <cellStyle name="Calculation 2 2 4 2 2 3 2 2 2" xfId="2879" xr:uid="{00000000-0005-0000-0000-00004B050000}"/>
    <cellStyle name="Calculation 2 2 4 2 2 3 2 2 2 2" xfId="8709" xr:uid="{00000000-0005-0000-0000-00004C050000}"/>
    <cellStyle name="Calculation 2 2 4 2 2 3 2 2 3" xfId="4302" xr:uid="{00000000-0005-0000-0000-00004D050000}"/>
    <cellStyle name="Calculation 2 2 4 2 2 3 2 2 3 2" xfId="10132" xr:uid="{00000000-0005-0000-0000-00004E050000}"/>
    <cellStyle name="Calculation 2 2 4 2 2 3 2 2 4" xfId="5698" xr:uid="{00000000-0005-0000-0000-00004F050000}"/>
    <cellStyle name="Calculation 2 2 4 2 2 3 2 2 4 2" xfId="11528" xr:uid="{00000000-0005-0000-0000-000050050000}"/>
    <cellStyle name="Calculation 2 2 4 2 2 3 2 2 5" xfId="7193" xr:uid="{00000000-0005-0000-0000-000051050000}"/>
    <cellStyle name="Calculation 2 2 4 2 2 3 2 3" xfId="2150" xr:uid="{00000000-0005-0000-0000-000052050000}"/>
    <cellStyle name="Calculation 2 2 4 2 2 3 2 3 2" xfId="7980" xr:uid="{00000000-0005-0000-0000-000053050000}"/>
    <cellStyle name="Calculation 2 2 4 2 2 3 2 4" xfId="3577" xr:uid="{00000000-0005-0000-0000-000054050000}"/>
    <cellStyle name="Calculation 2 2 4 2 2 3 2 4 2" xfId="9407" xr:uid="{00000000-0005-0000-0000-000055050000}"/>
    <cellStyle name="Calculation 2 2 4 2 2 3 2 5" xfId="4974" xr:uid="{00000000-0005-0000-0000-000056050000}"/>
    <cellStyle name="Calculation 2 2 4 2 2 3 2 5 2" xfId="10804" xr:uid="{00000000-0005-0000-0000-000057050000}"/>
    <cellStyle name="Calculation 2 2 4 2 2 3 2 6" xfId="6469" xr:uid="{00000000-0005-0000-0000-000058050000}"/>
    <cellStyle name="Calculation 2 2 4 2 2 3 3" xfId="872" xr:uid="{00000000-0005-0000-0000-000059050000}"/>
    <cellStyle name="Calculation 2 2 4 2 2 3 3 2" xfId="1603" xr:uid="{00000000-0005-0000-0000-00005A050000}"/>
    <cellStyle name="Calculation 2 2 4 2 2 3 3 2 2" xfId="3119" xr:uid="{00000000-0005-0000-0000-00005B050000}"/>
    <cellStyle name="Calculation 2 2 4 2 2 3 3 2 2 2" xfId="8949" xr:uid="{00000000-0005-0000-0000-00005C050000}"/>
    <cellStyle name="Calculation 2 2 4 2 2 3 3 2 3" xfId="4542" xr:uid="{00000000-0005-0000-0000-00005D050000}"/>
    <cellStyle name="Calculation 2 2 4 2 2 3 3 2 3 2" xfId="10372" xr:uid="{00000000-0005-0000-0000-00005E050000}"/>
    <cellStyle name="Calculation 2 2 4 2 2 3 3 2 4" xfId="5938" xr:uid="{00000000-0005-0000-0000-00005F050000}"/>
    <cellStyle name="Calculation 2 2 4 2 2 3 3 2 4 2" xfId="11768" xr:uid="{00000000-0005-0000-0000-000060050000}"/>
    <cellStyle name="Calculation 2 2 4 2 2 3 3 2 5" xfId="7433" xr:uid="{00000000-0005-0000-0000-000061050000}"/>
    <cellStyle name="Calculation 2 2 4 2 2 3 3 3" xfId="2392" xr:uid="{00000000-0005-0000-0000-000062050000}"/>
    <cellStyle name="Calculation 2 2 4 2 2 3 3 3 2" xfId="8222" xr:uid="{00000000-0005-0000-0000-000063050000}"/>
    <cellStyle name="Calculation 2 2 4 2 2 3 3 4" xfId="3818" xr:uid="{00000000-0005-0000-0000-000064050000}"/>
    <cellStyle name="Calculation 2 2 4 2 2 3 3 4 2" xfId="9648" xr:uid="{00000000-0005-0000-0000-000065050000}"/>
    <cellStyle name="Calculation 2 2 4 2 2 3 3 5" xfId="5214" xr:uid="{00000000-0005-0000-0000-000066050000}"/>
    <cellStyle name="Calculation 2 2 4 2 2 3 3 5 2" xfId="11044" xr:uid="{00000000-0005-0000-0000-000067050000}"/>
    <cellStyle name="Calculation 2 2 4 2 2 3 3 6" xfId="6709" xr:uid="{00000000-0005-0000-0000-000068050000}"/>
    <cellStyle name="Calculation 2 2 4 2 2 3 4" xfId="1116" xr:uid="{00000000-0005-0000-0000-000069050000}"/>
    <cellStyle name="Calculation 2 2 4 2 2 3 4 2" xfId="2636" xr:uid="{00000000-0005-0000-0000-00006A050000}"/>
    <cellStyle name="Calculation 2 2 4 2 2 3 4 2 2" xfId="8466" xr:uid="{00000000-0005-0000-0000-00006B050000}"/>
    <cellStyle name="Calculation 2 2 4 2 2 3 4 3" xfId="4062" xr:uid="{00000000-0005-0000-0000-00006C050000}"/>
    <cellStyle name="Calculation 2 2 4 2 2 3 4 3 2" xfId="9892" xr:uid="{00000000-0005-0000-0000-00006D050000}"/>
    <cellStyle name="Calculation 2 2 4 2 2 3 4 4" xfId="5458" xr:uid="{00000000-0005-0000-0000-00006E050000}"/>
    <cellStyle name="Calculation 2 2 4 2 2 3 4 4 2" xfId="11288" xr:uid="{00000000-0005-0000-0000-00006F050000}"/>
    <cellStyle name="Calculation 2 2 4 2 2 3 4 5" xfId="6953" xr:uid="{00000000-0005-0000-0000-000070050000}"/>
    <cellStyle name="Calculation 2 2 4 2 2 3 5" xfId="1890" xr:uid="{00000000-0005-0000-0000-000071050000}"/>
    <cellStyle name="Calculation 2 2 4 2 2 3 5 2" xfId="7720" xr:uid="{00000000-0005-0000-0000-000072050000}"/>
    <cellStyle name="Calculation 2 2 4 2 2 3 6" xfId="3321" xr:uid="{00000000-0005-0000-0000-000073050000}"/>
    <cellStyle name="Calculation 2 2 4 2 2 3 6 2" xfId="9151" xr:uid="{00000000-0005-0000-0000-000074050000}"/>
    <cellStyle name="Calculation 2 2 4 2 2 3 7" xfId="4733" xr:uid="{00000000-0005-0000-0000-000075050000}"/>
    <cellStyle name="Calculation 2 2 4 2 2 3 7 2" xfId="10563" xr:uid="{00000000-0005-0000-0000-000076050000}"/>
    <cellStyle name="Calculation 2 2 4 2 2 3 8" xfId="6228" xr:uid="{00000000-0005-0000-0000-000077050000}"/>
    <cellStyle name="Calculation 2 2 4 2 2 4" xfId="468" xr:uid="{00000000-0005-0000-0000-000078050000}"/>
    <cellStyle name="Calculation 2 2 4 2 2 4 2" xfId="1203" xr:uid="{00000000-0005-0000-0000-000079050000}"/>
    <cellStyle name="Calculation 2 2 4 2 2 4 2 2" xfId="2719" xr:uid="{00000000-0005-0000-0000-00007A050000}"/>
    <cellStyle name="Calculation 2 2 4 2 2 4 2 2 2" xfId="8549" xr:uid="{00000000-0005-0000-0000-00007B050000}"/>
    <cellStyle name="Calculation 2 2 4 2 2 4 2 3" xfId="4142" xr:uid="{00000000-0005-0000-0000-00007C050000}"/>
    <cellStyle name="Calculation 2 2 4 2 2 4 2 3 2" xfId="9972" xr:uid="{00000000-0005-0000-0000-00007D050000}"/>
    <cellStyle name="Calculation 2 2 4 2 2 4 2 4" xfId="5538" xr:uid="{00000000-0005-0000-0000-00007E050000}"/>
    <cellStyle name="Calculation 2 2 4 2 2 4 2 4 2" xfId="11368" xr:uid="{00000000-0005-0000-0000-00007F050000}"/>
    <cellStyle name="Calculation 2 2 4 2 2 4 2 5" xfId="7033" xr:uid="{00000000-0005-0000-0000-000080050000}"/>
    <cellStyle name="Calculation 2 2 4 2 2 4 3" xfId="1990" xr:uid="{00000000-0005-0000-0000-000081050000}"/>
    <cellStyle name="Calculation 2 2 4 2 2 4 3 2" xfId="7820" xr:uid="{00000000-0005-0000-0000-000082050000}"/>
    <cellStyle name="Calculation 2 2 4 2 2 4 4" xfId="3417" xr:uid="{00000000-0005-0000-0000-000083050000}"/>
    <cellStyle name="Calculation 2 2 4 2 2 4 4 2" xfId="9247" xr:uid="{00000000-0005-0000-0000-000084050000}"/>
    <cellStyle name="Calculation 2 2 4 2 2 4 5" xfId="4814" xr:uid="{00000000-0005-0000-0000-000085050000}"/>
    <cellStyle name="Calculation 2 2 4 2 2 4 5 2" xfId="10644" xr:uid="{00000000-0005-0000-0000-000086050000}"/>
    <cellStyle name="Calculation 2 2 4 2 2 4 6" xfId="6309" xr:uid="{00000000-0005-0000-0000-000087050000}"/>
    <cellStyle name="Calculation 2 2 4 2 2 5" xfId="712" xr:uid="{00000000-0005-0000-0000-000088050000}"/>
    <cellStyle name="Calculation 2 2 4 2 2 5 2" xfId="1443" xr:uid="{00000000-0005-0000-0000-000089050000}"/>
    <cellStyle name="Calculation 2 2 4 2 2 5 2 2" xfId="2959" xr:uid="{00000000-0005-0000-0000-00008A050000}"/>
    <cellStyle name="Calculation 2 2 4 2 2 5 2 2 2" xfId="8789" xr:uid="{00000000-0005-0000-0000-00008B050000}"/>
    <cellStyle name="Calculation 2 2 4 2 2 5 2 3" xfId="4382" xr:uid="{00000000-0005-0000-0000-00008C050000}"/>
    <cellStyle name="Calculation 2 2 4 2 2 5 2 3 2" xfId="10212" xr:uid="{00000000-0005-0000-0000-00008D050000}"/>
    <cellStyle name="Calculation 2 2 4 2 2 5 2 4" xfId="5778" xr:uid="{00000000-0005-0000-0000-00008E050000}"/>
    <cellStyle name="Calculation 2 2 4 2 2 5 2 4 2" xfId="11608" xr:uid="{00000000-0005-0000-0000-00008F050000}"/>
    <cellStyle name="Calculation 2 2 4 2 2 5 2 5" xfId="7273" xr:uid="{00000000-0005-0000-0000-000090050000}"/>
    <cellStyle name="Calculation 2 2 4 2 2 5 3" xfId="2232" xr:uid="{00000000-0005-0000-0000-000091050000}"/>
    <cellStyle name="Calculation 2 2 4 2 2 5 3 2" xfId="8062" xr:uid="{00000000-0005-0000-0000-000092050000}"/>
    <cellStyle name="Calculation 2 2 4 2 2 5 4" xfId="3658" xr:uid="{00000000-0005-0000-0000-000093050000}"/>
    <cellStyle name="Calculation 2 2 4 2 2 5 4 2" xfId="9488" xr:uid="{00000000-0005-0000-0000-000094050000}"/>
    <cellStyle name="Calculation 2 2 4 2 2 5 5" xfId="5054" xr:uid="{00000000-0005-0000-0000-000095050000}"/>
    <cellStyle name="Calculation 2 2 4 2 2 5 5 2" xfId="10884" xr:uid="{00000000-0005-0000-0000-000096050000}"/>
    <cellStyle name="Calculation 2 2 4 2 2 5 6" xfId="6549" xr:uid="{00000000-0005-0000-0000-000097050000}"/>
    <cellStyle name="Calculation 2 2 4 2 2 6" xfId="956" xr:uid="{00000000-0005-0000-0000-000098050000}"/>
    <cellStyle name="Calculation 2 2 4 2 2 6 2" xfId="2476" xr:uid="{00000000-0005-0000-0000-000099050000}"/>
    <cellStyle name="Calculation 2 2 4 2 2 6 2 2" xfId="8306" xr:uid="{00000000-0005-0000-0000-00009A050000}"/>
    <cellStyle name="Calculation 2 2 4 2 2 6 3" xfId="3902" xr:uid="{00000000-0005-0000-0000-00009B050000}"/>
    <cellStyle name="Calculation 2 2 4 2 2 6 3 2" xfId="9732" xr:uid="{00000000-0005-0000-0000-00009C050000}"/>
    <cellStyle name="Calculation 2 2 4 2 2 6 4" xfId="5298" xr:uid="{00000000-0005-0000-0000-00009D050000}"/>
    <cellStyle name="Calculation 2 2 4 2 2 6 4 2" xfId="11128" xr:uid="{00000000-0005-0000-0000-00009E050000}"/>
    <cellStyle name="Calculation 2 2 4 2 2 6 5" xfId="6793" xr:uid="{00000000-0005-0000-0000-00009F050000}"/>
    <cellStyle name="Calculation 2 2 4 2 2 7" xfId="1730" xr:uid="{00000000-0005-0000-0000-0000A0050000}"/>
    <cellStyle name="Calculation 2 2 4 2 2 7 2" xfId="7560" xr:uid="{00000000-0005-0000-0000-0000A1050000}"/>
    <cellStyle name="Calculation 2 2 4 2 2 8" xfId="3161" xr:uid="{00000000-0005-0000-0000-0000A2050000}"/>
    <cellStyle name="Calculation 2 2 4 2 2 8 2" xfId="8991" xr:uid="{00000000-0005-0000-0000-0000A3050000}"/>
    <cellStyle name="Calculation 2 2 4 2 2 9" xfId="4573" xr:uid="{00000000-0005-0000-0000-0000A4050000}"/>
    <cellStyle name="Calculation 2 2 4 2 2 9 2" xfId="10403" xr:uid="{00000000-0005-0000-0000-0000A5050000}"/>
    <cellStyle name="Calculation 2 2 4 2 3" xfId="229" xr:uid="{00000000-0005-0000-0000-0000A6050000}"/>
    <cellStyle name="Calculation 2 2 4 2 3 2" xfId="508" xr:uid="{00000000-0005-0000-0000-0000A7050000}"/>
    <cellStyle name="Calculation 2 2 4 2 3 2 2" xfId="1243" xr:uid="{00000000-0005-0000-0000-0000A8050000}"/>
    <cellStyle name="Calculation 2 2 4 2 3 2 2 2" xfId="2759" xr:uid="{00000000-0005-0000-0000-0000A9050000}"/>
    <cellStyle name="Calculation 2 2 4 2 3 2 2 2 2" xfId="8589" xr:uid="{00000000-0005-0000-0000-0000AA050000}"/>
    <cellStyle name="Calculation 2 2 4 2 3 2 2 3" xfId="4182" xr:uid="{00000000-0005-0000-0000-0000AB050000}"/>
    <cellStyle name="Calculation 2 2 4 2 3 2 2 3 2" xfId="10012" xr:uid="{00000000-0005-0000-0000-0000AC050000}"/>
    <cellStyle name="Calculation 2 2 4 2 3 2 2 4" xfId="5578" xr:uid="{00000000-0005-0000-0000-0000AD050000}"/>
    <cellStyle name="Calculation 2 2 4 2 3 2 2 4 2" xfId="11408" xr:uid="{00000000-0005-0000-0000-0000AE050000}"/>
    <cellStyle name="Calculation 2 2 4 2 3 2 2 5" xfId="7073" xr:uid="{00000000-0005-0000-0000-0000AF050000}"/>
    <cellStyle name="Calculation 2 2 4 2 3 2 3" xfId="2030" xr:uid="{00000000-0005-0000-0000-0000B0050000}"/>
    <cellStyle name="Calculation 2 2 4 2 3 2 3 2" xfId="7860" xr:uid="{00000000-0005-0000-0000-0000B1050000}"/>
    <cellStyle name="Calculation 2 2 4 2 3 2 4" xfId="3457" xr:uid="{00000000-0005-0000-0000-0000B2050000}"/>
    <cellStyle name="Calculation 2 2 4 2 3 2 4 2" xfId="9287" xr:uid="{00000000-0005-0000-0000-0000B3050000}"/>
    <cellStyle name="Calculation 2 2 4 2 3 2 5" xfId="4854" xr:uid="{00000000-0005-0000-0000-0000B4050000}"/>
    <cellStyle name="Calculation 2 2 4 2 3 2 5 2" xfId="10684" xr:uid="{00000000-0005-0000-0000-0000B5050000}"/>
    <cellStyle name="Calculation 2 2 4 2 3 2 6" xfId="6349" xr:uid="{00000000-0005-0000-0000-0000B6050000}"/>
    <cellStyle name="Calculation 2 2 4 2 3 3" xfId="752" xr:uid="{00000000-0005-0000-0000-0000B7050000}"/>
    <cellStyle name="Calculation 2 2 4 2 3 3 2" xfId="1483" xr:uid="{00000000-0005-0000-0000-0000B8050000}"/>
    <cellStyle name="Calculation 2 2 4 2 3 3 2 2" xfId="2999" xr:uid="{00000000-0005-0000-0000-0000B9050000}"/>
    <cellStyle name="Calculation 2 2 4 2 3 3 2 2 2" xfId="8829" xr:uid="{00000000-0005-0000-0000-0000BA050000}"/>
    <cellStyle name="Calculation 2 2 4 2 3 3 2 3" xfId="4422" xr:uid="{00000000-0005-0000-0000-0000BB050000}"/>
    <cellStyle name="Calculation 2 2 4 2 3 3 2 3 2" xfId="10252" xr:uid="{00000000-0005-0000-0000-0000BC050000}"/>
    <cellStyle name="Calculation 2 2 4 2 3 3 2 4" xfId="5818" xr:uid="{00000000-0005-0000-0000-0000BD050000}"/>
    <cellStyle name="Calculation 2 2 4 2 3 3 2 4 2" xfId="11648" xr:uid="{00000000-0005-0000-0000-0000BE050000}"/>
    <cellStyle name="Calculation 2 2 4 2 3 3 2 5" xfId="7313" xr:uid="{00000000-0005-0000-0000-0000BF050000}"/>
    <cellStyle name="Calculation 2 2 4 2 3 3 3" xfId="2272" xr:uid="{00000000-0005-0000-0000-0000C0050000}"/>
    <cellStyle name="Calculation 2 2 4 2 3 3 3 2" xfId="8102" xr:uid="{00000000-0005-0000-0000-0000C1050000}"/>
    <cellStyle name="Calculation 2 2 4 2 3 3 4" xfId="3698" xr:uid="{00000000-0005-0000-0000-0000C2050000}"/>
    <cellStyle name="Calculation 2 2 4 2 3 3 4 2" xfId="9528" xr:uid="{00000000-0005-0000-0000-0000C3050000}"/>
    <cellStyle name="Calculation 2 2 4 2 3 3 5" xfId="5094" xr:uid="{00000000-0005-0000-0000-0000C4050000}"/>
    <cellStyle name="Calculation 2 2 4 2 3 3 5 2" xfId="10924" xr:uid="{00000000-0005-0000-0000-0000C5050000}"/>
    <cellStyle name="Calculation 2 2 4 2 3 3 6" xfId="6589" xr:uid="{00000000-0005-0000-0000-0000C6050000}"/>
    <cellStyle name="Calculation 2 2 4 2 3 4" xfId="996" xr:uid="{00000000-0005-0000-0000-0000C7050000}"/>
    <cellStyle name="Calculation 2 2 4 2 3 4 2" xfId="2516" xr:uid="{00000000-0005-0000-0000-0000C8050000}"/>
    <cellStyle name="Calculation 2 2 4 2 3 4 2 2" xfId="8346" xr:uid="{00000000-0005-0000-0000-0000C9050000}"/>
    <cellStyle name="Calculation 2 2 4 2 3 4 3" xfId="3942" xr:uid="{00000000-0005-0000-0000-0000CA050000}"/>
    <cellStyle name="Calculation 2 2 4 2 3 4 3 2" xfId="9772" xr:uid="{00000000-0005-0000-0000-0000CB050000}"/>
    <cellStyle name="Calculation 2 2 4 2 3 4 4" xfId="5338" xr:uid="{00000000-0005-0000-0000-0000CC050000}"/>
    <cellStyle name="Calculation 2 2 4 2 3 4 4 2" xfId="11168" xr:uid="{00000000-0005-0000-0000-0000CD050000}"/>
    <cellStyle name="Calculation 2 2 4 2 3 4 5" xfId="6833" xr:uid="{00000000-0005-0000-0000-0000CE050000}"/>
    <cellStyle name="Calculation 2 2 4 2 3 5" xfId="1770" xr:uid="{00000000-0005-0000-0000-0000CF050000}"/>
    <cellStyle name="Calculation 2 2 4 2 3 5 2" xfId="7600" xr:uid="{00000000-0005-0000-0000-0000D0050000}"/>
    <cellStyle name="Calculation 2 2 4 2 3 6" xfId="3201" xr:uid="{00000000-0005-0000-0000-0000D1050000}"/>
    <cellStyle name="Calculation 2 2 4 2 3 6 2" xfId="9031" xr:uid="{00000000-0005-0000-0000-0000D2050000}"/>
    <cellStyle name="Calculation 2 2 4 2 3 7" xfId="4613" xr:uid="{00000000-0005-0000-0000-0000D3050000}"/>
    <cellStyle name="Calculation 2 2 4 2 3 7 2" xfId="10443" xr:uid="{00000000-0005-0000-0000-0000D4050000}"/>
    <cellStyle name="Calculation 2 2 4 2 3 8" xfId="6108" xr:uid="{00000000-0005-0000-0000-0000D5050000}"/>
    <cellStyle name="Calculation 2 2 4 2 4" xfId="309" xr:uid="{00000000-0005-0000-0000-0000D6050000}"/>
    <cellStyle name="Calculation 2 2 4 2 4 2" xfId="588" xr:uid="{00000000-0005-0000-0000-0000D7050000}"/>
    <cellStyle name="Calculation 2 2 4 2 4 2 2" xfId="1323" xr:uid="{00000000-0005-0000-0000-0000D8050000}"/>
    <cellStyle name="Calculation 2 2 4 2 4 2 2 2" xfId="2839" xr:uid="{00000000-0005-0000-0000-0000D9050000}"/>
    <cellStyle name="Calculation 2 2 4 2 4 2 2 2 2" xfId="8669" xr:uid="{00000000-0005-0000-0000-0000DA050000}"/>
    <cellStyle name="Calculation 2 2 4 2 4 2 2 3" xfId="4262" xr:uid="{00000000-0005-0000-0000-0000DB050000}"/>
    <cellStyle name="Calculation 2 2 4 2 4 2 2 3 2" xfId="10092" xr:uid="{00000000-0005-0000-0000-0000DC050000}"/>
    <cellStyle name="Calculation 2 2 4 2 4 2 2 4" xfId="5658" xr:uid="{00000000-0005-0000-0000-0000DD050000}"/>
    <cellStyle name="Calculation 2 2 4 2 4 2 2 4 2" xfId="11488" xr:uid="{00000000-0005-0000-0000-0000DE050000}"/>
    <cellStyle name="Calculation 2 2 4 2 4 2 2 5" xfId="7153" xr:uid="{00000000-0005-0000-0000-0000DF050000}"/>
    <cellStyle name="Calculation 2 2 4 2 4 2 3" xfId="2110" xr:uid="{00000000-0005-0000-0000-0000E0050000}"/>
    <cellStyle name="Calculation 2 2 4 2 4 2 3 2" xfId="7940" xr:uid="{00000000-0005-0000-0000-0000E1050000}"/>
    <cellStyle name="Calculation 2 2 4 2 4 2 4" xfId="3537" xr:uid="{00000000-0005-0000-0000-0000E2050000}"/>
    <cellStyle name="Calculation 2 2 4 2 4 2 4 2" xfId="9367" xr:uid="{00000000-0005-0000-0000-0000E3050000}"/>
    <cellStyle name="Calculation 2 2 4 2 4 2 5" xfId="4934" xr:uid="{00000000-0005-0000-0000-0000E4050000}"/>
    <cellStyle name="Calculation 2 2 4 2 4 2 5 2" xfId="10764" xr:uid="{00000000-0005-0000-0000-0000E5050000}"/>
    <cellStyle name="Calculation 2 2 4 2 4 2 6" xfId="6429" xr:uid="{00000000-0005-0000-0000-0000E6050000}"/>
    <cellStyle name="Calculation 2 2 4 2 4 3" xfId="832" xr:uid="{00000000-0005-0000-0000-0000E7050000}"/>
    <cellStyle name="Calculation 2 2 4 2 4 3 2" xfId="1563" xr:uid="{00000000-0005-0000-0000-0000E8050000}"/>
    <cellStyle name="Calculation 2 2 4 2 4 3 2 2" xfId="3079" xr:uid="{00000000-0005-0000-0000-0000E9050000}"/>
    <cellStyle name="Calculation 2 2 4 2 4 3 2 2 2" xfId="8909" xr:uid="{00000000-0005-0000-0000-0000EA050000}"/>
    <cellStyle name="Calculation 2 2 4 2 4 3 2 3" xfId="4502" xr:uid="{00000000-0005-0000-0000-0000EB050000}"/>
    <cellStyle name="Calculation 2 2 4 2 4 3 2 3 2" xfId="10332" xr:uid="{00000000-0005-0000-0000-0000EC050000}"/>
    <cellStyle name="Calculation 2 2 4 2 4 3 2 4" xfId="5898" xr:uid="{00000000-0005-0000-0000-0000ED050000}"/>
    <cellStyle name="Calculation 2 2 4 2 4 3 2 4 2" xfId="11728" xr:uid="{00000000-0005-0000-0000-0000EE050000}"/>
    <cellStyle name="Calculation 2 2 4 2 4 3 2 5" xfId="7393" xr:uid="{00000000-0005-0000-0000-0000EF050000}"/>
    <cellStyle name="Calculation 2 2 4 2 4 3 3" xfId="2352" xr:uid="{00000000-0005-0000-0000-0000F0050000}"/>
    <cellStyle name="Calculation 2 2 4 2 4 3 3 2" xfId="8182" xr:uid="{00000000-0005-0000-0000-0000F1050000}"/>
    <cellStyle name="Calculation 2 2 4 2 4 3 4" xfId="3778" xr:uid="{00000000-0005-0000-0000-0000F2050000}"/>
    <cellStyle name="Calculation 2 2 4 2 4 3 4 2" xfId="9608" xr:uid="{00000000-0005-0000-0000-0000F3050000}"/>
    <cellStyle name="Calculation 2 2 4 2 4 3 5" xfId="5174" xr:uid="{00000000-0005-0000-0000-0000F4050000}"/>
    <cellStyle name="Calculation 2 2 4 2 4 3 5 2" xfId="11004" xr:uid="{00000000-0005-0000-0000-0000F5050000}"/>
    <cellStyle name="Calculation 2 2 4 2 4 3 6" xfId="6669" xr:uid="{00000000-0005-0000-0000-0000F6050000}"/>
    <cellStyle name="Calculation 2 2 4 2 4 4" xfId="1076" xr:uid="{00000000-0005-0000-0000-0000F7050000}"/>
    <cellStyle name="Calculation 2 2 4 2 4 4 2" xfId="2596" xr:uid="{00000000-0005-0000-0000-0000F8050000}"/>
    <cellStyle name="Calculation 2 2 4 2 4 4 2 2" xfId="8426" xr:uid="{00000000-0005-0000-0000-0000F9050000}"/>
    <cellStyle name="Calculation 2 2 4 2 4 4 3" xfId="4022" xr:uid="{00000000-0005-0000-0000-0000FA050000}"/>
    <cellStyle name="Calculation 2 2 4 2 4 4 3 2" xfId="9852" xr:uid="{00000000-0005-0000-0000-0000FB050000}"/>
    <cellStyle name="Calculation 2 2 4 2 4 4 4" xfId="5418" xr:uid="{00000000-0005-0000-0000-0000FC050000}"/>
    <cellStyle name="Calculation 2 2 4 2 4 4 4 2" xfId="11248" xr:uid="{00000000-0005-0000-0000-0000FD050000}"/>
    <cellStyle name="Calculation 2 2 4 2 4 4 5" xfId="6913" xr:uid="{00000000-0005-0000-0000-0000FE050000}"/>
    <cellStyle name="Calculation 2 2 4 2 4 5" xfId="1850" xr:uid="{00000000-0005-0000-0000-0000FF050000}"/>
    <cellStyle name="Calculation 2 2 4 2 4 5 2" xfId="7680" xr:uid="{00000000-0005-0000-0000-000000060000}"/>
    <cellStyle name="Calculation 2 2 4 2 4 6" xfId="3281" xr:uid="{00000000-0005-0000-0000-000001060000}"/>
    <cellStyle name="Calculation 2 2 4 2 4 6 2" xfId="9111" xr:uid="{00000000-0005-0000-0000-000002060000}"/>
    <cellStyle name="Calculation 2 2 4 2 4 7" xfId="4693" xr:uid="{00000000-0005-0000-0000-000003060000}"/>
    <cellStyle name="Calculation 2 2 4 2 4 7 2" xfId="10523" xr:uid="{00000000-0005-0000-0000-000004060000}"/>
    <cellStyle name="Calculation 2 2 4 2 4 8" xfId="6188" xr:uid="{00000000-0005-0000-0000-000005060000}"/>
    <cellStyle name="Calculation 2 2 4 2 5" xfId="428" xr:uid="{00000000-0005-0000-0000-000006060000}"/>
    <cellStyle name="Calculation 2 2 4 2 5 2" xfId="1163" xr:uid="{00000000-0005-0000-0000-000007060000}"/>
    <cellStyle name="Calculation 2 2 4 2 5 2 2" xfId="2679" xr:uid="{00000000-0005-0000-0000-000008060000}"/>
    <cellStyle name="Calculation 2 2 4 2 5 2 2 2" xfId="8509" xr:uid="{00000000-0005-0000-0000-000009060000}"/>
    <cellStyle name="Calculation 2 2 4 2 5 2 3" xfId="4102" xr:uid="{00000000-0005-0000-0000-00000A060000}"/>
    <cellStyle name="Calculation 2 2 4 2 5 2 3 2" xfId="9932" xr:uid="{00000000-0005-0000-0000-00000B060000}"/>
    <cellStyle name="Calculation 2 2 4 2 5 2 4" xfId="5498" xr:uid="{00000000-0005-0000-0000-00000C060000}"/>
    <cellStyle name="Calculation 2 2 4 2 5 2 4 2" xfId="11328" xr:uid="{00000000-0005-0000-0000-00000D060000}"/>
    <cellStyle name="Calculation 2 2 4 2 5 2 5" xfId="6993" xr:uid="{00000000-0005-0000-0000-00000E060000}"/>
    <cellStyle name="Calculation 2 2 4 2 5 3" xfId="1950" xr:uid="{00000000-0005-0000-0000-00000F060000}"/>
    <cellStyle name="Calculation 2 2 4 2 5 3 2" xfId="7780" xr:uid="{00000000-0005-0000-0000-000010060000}"/>
    <cellStyle name="Calculation 2 2 4 2 5 4" xfId="3377" xr:uid="{00000000-0005-0000-0000-000011060000}"/>
    <cellStyle name="Calculation 2 2 4 2 5 4 2" xfId="9207" xr:uid="{00000000-0005-0000-0000-000012060000}"/>
    <cellStyle name="Calculation 2 2 4 2 5 5" xfId="4774" xr:uid="{00000000-0005-0000-0000-000013060000}"/>
    <cellStyle name="Calculation 2 2 4 2 5 5 2" xfId="10604" xr:uid="{00000000-0005-0000-0000-000014060000}"/>
    <cellStyle name="Calculation 2 2 4 2 5 6" xfId="6269" xr:uid="{00000000-0005-0000-0000-000015060000}"/>
    <cellStyle name="Calculation 2 2 4 2 6" xfId="672" xr:uid="{00000000-0005-0000-0000-000016060000}"/>
    <cellStyle name="Calculation 2 2 4 2 6 2" xfId="1403" xr:uid="{00000000-0005-0000-0000-000017060000}"/>
    <cellStyle name="Calculation 2 2 4 2 6 2 2" xfId="2919" xr:uid="{00000000-0005-0000-0000-000018060000}"/>
    <cellStyle name="Calculation 2 2 4 2 6 2 2 2" xfId="8749" xr:uid="{00000000-0005-0000-0000-000019060000}"/>
    <cellStyle name="Calculation 2 2 4 2 6 2 3" xfId="4342" xr:uid="{00000000-0005-0000-0000-00001A060000}"/>
    <cellStyle name="Calculation 2 2 4 2 6 2 3 2" xfId="10172" xr:uid="{00000000-0005-0000-0000-00001B060000}"/>
    <cellStyle name="Calculation 2 2 4 2 6 2 4" xfId="5738" xr:uid="{00000000-0005-0000-0000-00001C060000}"/>
    <cellStyle name="Calculation 2 2 4 2 6 2 4 2" xfId="11568" xr:uid="{00000000-0005-0000-0000-00001D060000}"/>
    <cellStyle name="Calculation 2 2 4 2 6 2 5" xfId="7233" xr:uid="{00000000-0005-0000-0000-00001E060000}"/>
    <cellStyle name="Calculation 2 2 4 2 6 3" xfId="2192" xr:uid="{00000000-0005-0000-0000-00001F060000}"/>
    <cellStyle name="Calculation 2 2 4 2 6 3 2" xfId="8022" xr:uid="{00000000-0005-0000-0000-000020060000}"/>
    <cellStyle name="Calculation 2 2 4 2 6 4" xfId="3618" xr:uid="{00000000-0005-0000-0000-000021060000}"/>
    <cellStyle name="Calculation 2 2 4 2 6 4 2" xfId="9448" xr:uid="{00000000-0005-0000-0000-000022060000}"/>
    <cellStyle name="Calculation 2 2 4 2 6 5" xfId="5014" xr:uid="{00000000-0005-0000-0000-000023060000}"/>
    <cellStyle name="Calculation 2 2 4 2 6 5 2" xfId="10844" xr:uid="{00000000-0005-0000-0000-000024060000}"/>
    <cellStyle name="Calculation 2 2 4 2 6 6" xfId="6509" xr:uid="{00000000-0005-0000-0000-000025060000}"/>
    <cellStyle name="Calculation 2 2 4 2 7" xfId="916" xr:uid="{00000000-0005-0000-0000-000026060000}"/>
    <cellStyle name="Calculation 2 2 4 2 7 2" xfId="2436" xr:uid="{00000000-0005-0000-0000-000027060000}"/>
    <cellStyle name="Calculation 2 2 4 2 7 2 2" xfId="8266" xr:uid="{00000000-0005-0000-0000-000028060000}"/>
    <cellStyle name="Calculation 2 2 4 2 7 3" xfId="3862" xr:uid="{00000000-0005-0000-0000-000029060000}"/>
    <cellStyle name="Calculation 2 2 4 2 7 3 2" xfId="9692" xr:uid="{00000000-0005-0000-0000-00002A060000}"/>
    <cellStyle name="Calculation 2 2 4 2 7 4" xfId="5258" xr:uid="{00000000-0005-0000-0000-00002B060000}"/>
    <cellStyle name="Calculation 2 2 4 2 7 4 2" xfId="11088" xr:uid="{00000000-0005-0000-0000-00002C060000}"/>
    <cellStyle name="Calculation 2 2 4 2 7 5" xfId="6753" xr:uid="{00000000-0005-0000-0000-00002D060000}"/>
    <cellStyle name="Calculation 2 2 4 2 8" xfId="1690" xr:uid="{00000000-0005-0000-0000-00002E060000}"/>
    <cellStyle name="Calculation 2 2 4 2 8 2" xfId="7520" xr:uid="{00000000-0005-0000-0000-00002F060000}"/>
    <cellStyle name="Calculation 2 2 4 2 9" xfId="1898" xr:uid="{00000000-0005-0000-0000-000030060000}"/>
    <cellStyle name="Calculation 2 2 4 2 9 2" xfId="7728" xr:uid="{00000000-0005-0000-0000-000031060000}"/>
    <cellStyle name="Calculation 2 2 4 3" xfId="168" xr:uid="{00000000-0005-0000-0000-000032060000}"/>
    <cellStyle name="Calculation 2 2 4 3 10" xfId="6048" xr:uid="{00000000-0005-0000-0000-000033060000}"/>
    <cellStyle name="Calculation 2 2 4 3 2" xfId="249" xr:uid="{00000000-0005-0000-0000-000034060000}"/>
    <cellStyle name="Calculation 2 2 4 3 2 2" xfId="528" xr:uid="{00000000-0005-0000-0000-000035060000}"/>
    <cellStyle name="Calculation 2 2 4 3 2 2 2" xfId="1263" xr:uid="{00000000-0005-0000-0000-000036060000}"/>
    <cellStyle name="Calculation 2 2 4 3 2 2 2 2" xfId="2779" xr:uid="{00000000-0005-0000-0000-000037060000}"/>
    <cellStyle name="Calculation 2 2 4 3 2 2 2 2 2" xfId="8609" xr:uid="{00000000-0005-0000-0000-000038060000}"/>
    <cellStyle name="Calculation 2 2 4 3 2 2 2 3" xfId="4202" xr:uid="{00000000-0005-0000-0000-000039060000}"/>
    <cellStyle name="Calculation 2 2 4 3 2 2 2 3 2" xfId="10032" xr:uid="{00000000-0005-0000-0000-00003A060000}"/>
    <cellStyle name="Calculation 2 2 4 3 2 2 2 4" xfId="5598" xr:uid="{00000000-0005-0000-0000-00003B060000}"/>
    <cellStyle name="Calculation 2 2 4 3 2 2 2 4 2" xfId="11428" xr:uid="{00000000-0005-0000-0000-00003C060000}"/>
    <cellStyle name="Calculation 2 2 4 3 2 2 2 5" xfId="7093" xr:uid="{00000000-0005-0000-0000-00003D060000}"/>
    <cellStyle name="Calculation 2 2 4 3 2 2 3" xfId="2050" xr:uid="{00000000-0005-0000-0000-00003E060000}"/>
    <cellStyle name="Calculation 2 2 4 3 2 2 3 2" xfId="7880" xr:uid="{00000000-0005-0000-0000-00003F060000}"/>
    <cellStyle name="Calculation 2 2 4 3 2 2 4" xfId="3477" xr:uid="{00000000-0005-0000-0000-000040060000}"/>
    <cellStyle name="Calculation 2 2 4 3 2 2 4 2" xfId="9307" xr:uid="{00000000-0005-0000-0000-000041060000}"/>
    <cellStyle name="Calculation 2 2 4 3 2 2 5" xfId="4874" xr:uid="{00000000-0005-0000-0000-000042060000}"/>
    <cellStyle name="Calculation 2 2 4 3 2 2 5 2" xfId="10704" xr:uid="{00000000-0005-0000-0000-000043060000}"/>
    <cellStyle name="Calculation 2 2 4 3 2 2 6" xfId="6369" xr:uid="{00000000-0005-0000-0000-000044060000}"/>
    <cellStyle name="Calculation 2 2 4 3 2 3" xfId="772" xr:uid="{00000000-0005-0000-0000-000045060000}"/>
    <cellStyle name="Calculation 2 2 4 3 2 3 2" xfId="1503" xr:uid="{00000000-0005-0000-0000-000046060000}"/>
    <cellStyle name="Calculation 2 2 4 3 2 3 2 2" xfId="3019" xr:uid="{00000000-0005-0000-0000-000047060000}"/>
    <cellStyle name="Calculation 2 2 4 3 2 3 2 2 2" xfId="8849" xr:uid="{00000000-0005-0000-0000-000048060000}"/>
    <cellStyle name="Calculation 2 2 4 3 2 3 2 3" xfId="4442" xr:uid="{00000000-0005-0000-0000-000049060000}"/>
    <cellStyle name="Calculation 2 2 4 3 2 3 2 3 2" xfId="10272" xr:uid="{00000000-0005-0000-0000-00004A060000}"/>
    <cellStyle name="Calculation 2 2 4 3 2 3 2 4" xfId="5838" xr:uid="{00000000-0005-0000-0000-00004B060000}"/>
    <cellStyle name="Calculation 2 2 4 3 2 3 2 4 2" xfId="11668" xr:uid="{00000000-0005-0000-0000-00004C060000}"/>
    <cellStyle name="Calculation 2 2 4 3 2 3 2 5" xfId="7333" xr:uid="{00000000-0005-0000-0000-00004D060000}"/>
    <cellStyle name="Calculation 2 2 4 3 2 3 3" xfId="2292" xr:uid="{00000000-0005-0000-0000-00004E060000}"/>
    <cellStyle name="Calculation 2 2 4 3 2 3 3 2" xfId="8122" xr:uid="{00000000-0005-0000-0000-00004F060000}"/>
    <cellStyle name="Calculation 2 2 4 3 2 3 4" xfId="3718" xr:uid="{00000000-0005-0000-0000-000050060000}"/>
    <cellStyle name="Calculation 2 2 4 3 2 3 4 2" xfId="9548" xr:uid="{00000000-0005-0000-0000-000051060000}"/>
    <cellStyle name="Calculation 2 2 4 3 2 3 5" xfId="5114" xr:uid="{00000000-0005-0000-0000-000052060000}"/>
    <cellStyle name="Calculation 2 2 4 3 2 3 5 2" xfId="10944" xr:uid="{00000000-0005-0000-0000-000053060000}"/>
    <cellStyle name="Calculation 2 2 4 3 2 3 6" xfId="6609" xr:uid="{00000000-0005-0000-0000-000054060000}"/>
    <cellStyle name="Calculation 2 2 4 3 2 4" xfId="1016" xr:uid="{00000000-0005-0000-0000-000055060000}"/>
    <cellStyle name="Calculation 2 2 4 3 2 4 2" xfId="2536" xr:uid="{00000000-0005-0000-0000-000056060000}"/>
    <cellStyle name="Calculation 2 2 4 3 2 4 2 2" xfId="8366" xr:uid="{00000000-0005-0000-0000-000057060000}"/>
    <cellStyle name="Calculation 2 2 4 3 2 4 3" xfId="3962" xr:uid="{00000000-0005-0000-0000-000058060000}"/>
    <cellStyle name="Calculation 2 2 4 3 2 4 3 2" xfId="9792" xr:uid="{00000000-0005-0000-0000-000059060000}"/>
    <cellStyle name="Calculation 2 2 4 3 2 4 4" xfId="5358" xr:uid="{00000000-0005-0000-0000-00005A060000}"/>
    <cellStyle name="Calculation 2 2 4 3 2 4 4 2" xfId="11188" xr:uid="{00000000-0005-0000-0000-00005B060000}"/>
    <cellStyle name="Calculation 2 2 4 3 2 4 5" xfId="6853" xr:uid="{00000000-0005-0000-0000-00005C060000}"/>
    <cellStyle name="Calculation 2 2 4 3 2 5" xfId="1790" xr:uid="{00000000-0005-0000-0000-00005D060000}"/>
    <cellStyle name="Calculation 2 2 4 3 2 5 2" xfId="7620" xr:uid="{00000000-0005-0000-0000-00005E060000}"/>
    <cellStyle name="Calculation 2 2 4 3 2 6" xfId="3221" xr:uid="{00000000-0005-0000-0000-00005F060000}"/>
    <cellStyle name="Calculation 2 2 4 3 2 6 2" xfId="9051" xr:uid="{00000000-0005-0000-0000-000060060000}"/>
    <cellStyle name="Calculation 2 2 4 3 2 7" xfId="4633" xr:uid="{00000000-0005-0000-0000-000061060000}"/>
    <cellStyle name="Calculation 2 2 4 3 2 7 2" xfId="10463" xr:uid="{00000000-0005-0000-0000-000062060000}"/>
    <cellStyle name="Calculation 2 2 4 3 2 8" xfId="6128" xr:uid="{00000000-0005-0000-0000-000063060000}"/>
    <cellStyle name="Calculation 2 2 4 3 3" xfId="329" xr:uid="{00000000-0005-0000-0000-000064060000}"/>
    <cellStyle name="Calculation 2 2 4 3 3 2" xfId="608" xr:uid="{00000000-0005-0000-0000-000065060000}"/>
    <cellStyle name="Calculation 2 2 4 3 3 2 2" xfId="1343" xr:uid="{00000000-0005-0000-0000-000066060000}"/>
    <cellStyle name="Calculation 2 2 4 3 3 2 2 2" xfId="2859" xr:uid="{00000000-0005-0000-0000-000067060000}"/>
    <cellStyle name="Calculation 2 2 4 3 3 2 2 2 2" xfId="8689" xr:uid="{00000000-0005-0000-0000-000068060000}"/>
    <cellStyle name="Calculation 2 2 4 3 3 2 2 3" xfId="4282" xr:uid="{00000000-0005-0000-0000-000069060000}"/>
    <cellStyle name="Calculation 2 2 4 3 3 2 2 3 2" xfId="10112" xr:uid="{00000000-0005-0000-0000-00006A060000}"/>
    <cellStyle name="Calculation 2 2 4 3 3 2 2 4" xfId="5678" xr:uid="{00000000-0005-0000-0000-00006B060000}"/>
    <cellStyle name="Calculation 2 2 4 3 3 2 2 4 2" xfId="11508" xr:uid="{00000000-0005-0000-0000-00006C060000}"/>
    <cellStyle name="Calculation 2 2 4 3 3 2 2 5" xfId="7173" xr:uid="{00000000-0005-0000-0000-00006D060000}"/>
    <cellStyle name="Calculation 2 2 4 3 3 2 3" xfId="2130" xr:uid="{00000000-0005-0000-0000-00006E060000}"/>
    <cellStyle name="Calculation 2 2 4 3 3 2 3 2" xfId="7960" xr:uid="{00000000-0005-0000-0000-00006F060000}"/>
    <cellStyle name="Calculation 2 2 4 3 3 2 4" xfId="3557" xr:uid="{00000000-0005-0000-0000-000070060000}"/>
    <cellStyle name="Calculation 2 2 4 3 3 2 4 2" xfId="9387" xr:uid="{00000000-0005-0000-0000-000071060000}"/>
    <cellStyle name="Calculation 2 2 4 3 3 2 5" xfId="4954" xr:uid="{00000000-0005-0000-0000-000072060000}"/>
    <cellStyle name="Calculation 2 2 4 3 3 2 5 2" xfId="10784" xr:uid="{00000000-0005-0000-0000-000073060000}"/>
    <cellStyle name="Calculation 2 2 4 3 3 2 6" xfId="6449" xr:uid="{00000000-0005-0000-0000-000074060000}"/>
    <cellStyle name="Calculation 2 2 4 3 3 3" xfId="852" xr:uid="{00000000-0005-0000-0000-000075060000}"/>
    <cellStyle name="Calculation 2 2 4 3 3 3 2" xfId="1583" xr:uid="{00000000-0005-0000-0000-000076060000}"/>
    <cellStyle name="Calculation 2 2 4 3 3 3 2 2" xfId="3099" xr:uid="{00000000-0005-0000-0000-000077060000}"/>
    <cellStyle name="Calculation 2 2 4 3 3 3 2 2 2" xfId="8929" xr:uid="{00000000-0005-0000-0000-000078060000}"/>
    <cellStyle name="Calculation 2 2 4 3 3 3 2 3" xfId="4522" xr:uid="{00000000-0005-0000-0000-000079060000}"/>
    <cellStyle name="Calculation 2 2 4 3 3 3 2 3 2" xfId="10352" xr:uid="{00000000-0005-0000-0000-00007A060000}"/>
    <cellStyle name="Calculation 2 2 4 3 3 3 2 4" xfId="5918" xr:uid="{00000000-0005-0000-0000-00007B060000}"/>
    <cellStyle name="Calculation 2 2 4 3 3 3 2 4 2" xfId="11748" xr:uid="{00000000-0005-0000-0000-00007C060000}"/>
    <cellStyle name="Calculation 2 2 4 3 3 3 2 5" xfId="7413" xr:uid="{00000000-0005-0000-0000-00007D060000}"/>
    <cellStyle name="Calculation 2 2 4 3 3 3 3" xfId="2372" xr:uid="{00000000-0005-0000-0000-00007E060000}"/>
    <cellStyle name="Calculation 2 2 4 3 3 3 3 2" xfId="8202" xr:uid="{00000000-0005-0000-0000-00007F060000}"/>
    <cellStyle name="Calculation 2 2 4 3 3 3 4" xfId="3798" xr:uid="{00000000-0005-0000-0000-000080060000}"/>
    <cellStyle name="Calculation 2 2 4 3 3 3 4 2" xfId="9628" xr:uid="{00000000-0005-0000-0000-000081060000}"/>
    <cellStyle name="Calculation 2 2 4 3 3 3 5" xfId="5194" xr:uid="{00000000-0005-0000-0000-000082060000}"/>
    <cellStyle name="Calculation 2 2 4 3 3 3 5 2" xfId="11024" xr:uid="{00000000-0005-0000-0000-000083060000}"/>
    <cellStyle name="Calculation 2 2 4 3 3 3 6" xfId="6689" xr:uid="{00000000-0005-0000-0000-000084060000}"/>
    <cellStyle name="Calculation 2 2 4 3 3 4" xfId="1096" xr:uid="{00000000-0005-0000-0000-000085060000}"/>
    <cellStyle name="Calculation 2 2 4 3 3 4 2" xfId="2616" xr:uid="{00000000-0005-0000-0000-000086060000}"/>
    <cellStyle name="Calculation 2 2 4 3 3 4 2 2" xfId="8446" xr:uid="{00000000-0005-0000-0000-000087060000}"/>
    <cellStyle name="Calculation 2 2 4 3 3 4 3" xfId="4042" xr:uid="{00000000-0005-0000-0000-000088060000}"/>
    <cellStyle name="Calculation 2 2 4 3 3 4 3 2" xfId="9872" xr:uid="{00000000-0005-0000-0000-000089060000}"/>
    <cellStyle name="Calculation 2 2 4 3 3 4 4" xfId="5438" xr:uid="{00000000-0005-0000-0000-00008A060000}"/>
    <cellStyle name="Calculation 2 2 4 3 3 4 4 2" xfId="11268" xr:uid="{00000000-0005-0000-0000-00008B060000}"/>
    <cellStyle name="Calculation 2 2 4 3 3 4 5" xfId="6933" xr:uid="{00000000-0005-0000-0000-00008C060000}"/>
    <cellStyle name="Calculation 2 2 4 3 3 5" xfId="1870" xr:uid="{00000000-0005-0000-0000-00008D060000}"/>
    <cellStyle name="Calculation 2 2 4 3 3 5 2" xfId="7700" xr:uid="{00000000-0005-0000-0000-00008E060000}"/>
    <cellStyle name="Calculation 2 2 4 3 3 6" xfId="3301" xr:uid="{00000000-0005-0000-0000-00008F060000}"/>
    <cellStyle name="Calculation 2 2 4 3 3 6 2" xfId="9131" xr:uid="{00000000-0005-0000-0000-000090060000}"/>
    <cellStyle name="Calculation 2 2 4 3 3 7" xfId="4713" xr:uid="{00000000-0005-0000-0000-000091060000}"/>
    <cellStyle name="Calculation 2 2 4 3 3 7 2" xfId="10543" xr:uid="{00000000-0005-0000-0000-000092060000}"/>
    <cellStyle name="Calculation 2 2 4 3 3 8" xfId="6208" xr:uid="{00000000-0005-0000-0000-000093060000}"/>
    <cellStyle name="Calculation 2 2 4 3 4" xfId="448" xr:uid="{00000000-0005-0000-0000-000094060000}"/>
    <cellStyle name="Calculation 2 2 4 3 4 2" xfId="1183" xr:uid="{00000000-0005-0000-0000-000095060000}"/>
    <cellStyle name="Calculation 2 2 4 3 4 2 2" xfId="2699" xr:uid="{00000000-0005-0000-0000-000096060000}"/>
    <cellStyle name="Calculation 2 2 4 3 4 2 2 2" xfId="8529" xr:uid="{00000000-0005-0000-0000-000097060000}"/>
    <cellStyle name="Calculation 2 2 4 3 4 2 3" xfId="4122" xr:uid="{00000000-0005-0000-0000-000098060000}"/>
    <cellStyle name="Calculation 2 2 4 3 4 2 3 2" xfId="9952" xr:uid="{00000000-0005-0000-0000-000099060000}"/>
    <cellStyle name="Calculation 2 2 4 3 4 2 4" xfId="5518" xr:uid="{00000000-0005-0000-0000-00009A060000}"/>
    <cellStyle name="Calculation 2 2 4 3 4 2 4 2" xfId="11348" xr:uid="{00000000-0005-0000-0000-00009B060000}"/>
    <cellStyle name="Calculation 2 2 4 3 4 2 5" xfId="7013" xr:uid="{00000000-0005-0000-0000-00009C060000}"/>
    <cellStyle name="Calculation 2 2 4 3 4 3" xfId="1970" xr:uid="{00000000-0005-0000-0000-00009D060000}"/>
    <cellStyle name="Calculation 2 2 4 3 4 3 2" xfId="7800" xr:uid="{00000000-0005-0000-0000-00009E060000}"/>
    <cellStyle name="Calculation 2 2 4 3 4 4" xfId="3397" xr:uid="{00000000-0005-0000-0000-00009F060000}"/>
    <cellStyle name="Calculation 2 2 4 3 4 4 2" xfId="9227" xr:uid="{00000000-0005-0000-0000-0000A0060000}"/>
    <cellStyle name="Calculation 2 2 4 3 4 5" xfId="4794" xr:uid="{00000000-0005-0000-0000-0000A1060000}"/>
    <cellStyle name="Calculation 2 2 4 3 4 5 2" xfId="10624" xr:uid="{00000000-0005-0000-0000-0000A2060000}"/>
    <cellStyle name="Calculation 2 2 4 3 4 6" xfId="6289" xr:uid="{00000000-0005-0000-0000-0000A3060000}"/>
    <cellStyle name="Calculation 2 2 4 3 5" xfId="692" xr:uid="{00000000-0005-0000-0000-0000A4060000}"/>
    <cellStyle name="Calculation 2 2 4 3 5 2" xfId="1423" xr:uid="{00000000-0005-0000-0000-0000A5060000}"/>
    <cellStyle name="Calculation 2 2 4 3 5 2 2" xfId="2939" xr:uid="{00000000-0005-0000-0000-0000A6060000}"/>
    <cellStyle name="Calculation 2 2 4 3 5 2 2 2" xfId="8769" xr:uid="{00000000-0005-0000-0000-0000A7060000}"/>
    <cellStyle name="Calculation 2 2 4 3 5 2 3" xfId="4362" xr:uid="{00000000-0005-0000-0000-0000A8060000}"/>
    <cellStyle name="Calculation 2 2 4 3 5 2 3 2" xfId="10192" xr:uid="{00000000-0005-0000-0000-0000A9060000}"/>
    <cellStyle name="Calculation 2 2 4 3 5 2 4" xfId="5758" xr:uid="{00000000-0005-0000-0000-0000AA060000}"/>
    <cellStyle name="Calculation 2 2 4 3 5 2 4 2" xfId="11588" xr:uid="{00000000-0005-0000-0000-0000AB060000}"/>
    <cellStyle name="Calculation 2 2 4 3 5 2 5" xfId="7253" xr:uid="{00000000-0005-0000-0000-0000AC060000}"/>
    <cellStyle name="Calculation 2 2 4 3 5 3" xfId="2212" xr:uid="{00000000-0005-0000-0000-0000AD060000}"/>
    <cellStyle name="Calculation 2 2 4 3 5 3 2" xfId="8042" xr:uid="{00000000-0005-0000-0000-0000AE060000}"/>
    <cellStyle name="Calculation 2 2 4 3 5 4" xfId="3638" xr:uid="{00000000-0005-0000-0000-0000AF060000}"/>
    <cellStyle name="Calculation 2 2 4 3 5 4 2" xfId="9468" xr:uid="{00000000-0005-0000-0000-0000B0060000}"/>
    <cellStyle name="Calculation 2 2 4 3 5 5" xfId="5034" xr:uid="{00000000-0005-0000-0000-0000B1060000}"/>
    <cellStyle name="Calculation 2 2 4 3 5 5 2" xfId="10864" xr:uid="{00000000-0005-0000-0000-0000B2060000}"/>
    <cellStyle name="Calculation 2 2 4 3 5 6" xfId="6529" xr:uid="{00000000-0005-0000-0000-0000B3060000}"/>
    <cellStyle name="Calculation 2 2 4 3 6" xfId="936" xr:uid="{00000000-0005-0000-0000-0000B4060000}"/>
    <cellStyle name="Calculation 2 2 4 3 6 2" xfId="2456" xr:uid="{00000000-0005-0000-0000-0000B5060000}"/>
    <cellStyle name="Calculation 2 2 4 3 6 2 2" xfId="8286" xr:uid="{00000000-0005-0000-0000-0000B6060000}"/>
    <cellStyle name="Calculation 2 2 4 3 6 3" xfId="3882" xr:uid="{00000000-0005-0000-0000-0000B7060000}"/>
    <cellStyle name="Calculation 2 2 4 3 6 3 2" xfId="9712" xr:uid="{00000000-0005-0000-0000-0000B8060000}"/>
    <cellStyle name="Calculation 2 2 4 3 6 4" xfId="5278" xr:uid="{00000000-0005-0000-0000-0000B9060000}"/>
    <cellStyle name="Calculation 2 2 4 3 6 4 2" xfId="11108" xr:uid="{00000000-0005-0000-0000-0000BA060000}"/>
    <cellStyle name="Calculation 2 2 4 3 6 5" xfId="6773" xr:uid="{00000000-0005-0000-0000-0000BB060000}"/>
    <cellStyle name="Calculation 2 2 4 3 7" xfId="1710" xr:uid="{00000000-0005-0000-0000-0000BC060000}"/>
    <cellStyle name="Calculation 2 2 4 3 7 2" xfId="7540" xr:uid="{00000000-0005-0000-0000-0000BD060000}"/>
    <cellStyle name="Calculation 2 2 4 3 8" xfId="3141" xr:uid="{00000000-0005-0000-0000-0000BE060000}"/>
    <cellStyle name="Calculation 2 2 4 3 8 2" xfId="8971" xr:uid="{00000000-0005-0000-0000-0000BF060000}"/>
    <cellStyle name="Calculation 2 2 4 3 9" xfId="4553" xr:uid="{00000000-0005-0000-0000-0000C0060000}"/>
    <cellStyle name="Calculation 2 2 4 3 9 2" xfId="10383" xr:uid="{00000000-0005-0000-0000-0000C1060000}"/>
    <cellStyle name="Calculation 2 2 4 4" xfId="208" xr:uid="{00000000-0005-0000-0000-0000C2060000}"/>
    <cellStyle name="Calculation 2 2 4 4 2" xfId="488" xr:uid="{00000000-0005-0000-0000-0000C3060000}"/>
    <cellStyle name="Calculation 2 2 4 4 2 2" xfId="1223" xr:uid="{00000000-0005-0000-0000-0000C4060000}"/>
    <cellStyle name="Calculation 2 2 4 4 2 2 2" xfId="2739" xr:uid="{00000000-0005-0000-0000-0000C5060000}"/>
    <cellStyle name="Calculation 2 2 4 4 2 2 2 2" xfId="8569" xr:uid="{00000000-0005-0000-0000-0000C6060000}"/>
    <cellStyle name="Calculation 2 2 4 4 2 2 3" xfId="4162" xr:uid="{00000000-0005-0000-0000-0000C7060000}"/>
    <cellStyle name="Calculation 2 2 4 4 2 2 3 2" xfId="9992" xr:uid="{00000000-0005-0000-0000-0000C8060000}"/>
    <cellStyle name="Calculation 2 2 4 4 2 2 4" xfId="5558" xr:uid="{00000000-0005-0000-0000-0000C9060000}"/>
    <cellStyle name="Calculation 2 2 4 4 2 2 4 2" xfId="11388" xr:uid="{00000000-0005-0000-0000-0000CA060000}"/>
    <cellStyle name="Calculation 2 2 4 4 2 2 5" xfId="7053" xr:uid="{00000000-0005-0000-0000-0000CB060000}"/>
    <cellStyle name="Calculation 2 2 4 4 2 3" xfId="2010" xr:uid="{00000000-0005-0000-0000-0000CC060000}"/>
    <cellStyle name="Calculation 2 2 4 4 2 3 2" xfId="7840" xr:uid="{00000000-0005-0000-0000-0000CD060000}"/>
    <cellStyle name="Calculation 2 2 4 4 2 4" xfId="3437" xr:uid="{00000000-0005-0000-0000-0000CE060000}"/>
    <cellStyle name="Calculation 2 2 4 4 2 4 2" xfId="9267" xr:uid="{00000000-0005-0000-0000-0000CF060000}"/>
    <cellStyle name="Calculation 2 2 4 4 2 5" xfId="4834" xr:uid="{00000000-0005-0000-0000-0000D0060000}"/>
    <cellStyle name="Calculation 2 2 4 4 2 5 2" xfId="10664" xr:uid="{00000000-0005-0000-0000-0000D1060000}"/>
    <cellStyle name="Calculation 2 2 4 4 2 6" xfId="6329" xr:uid="{00000000-0005-0000-0000-0000D2060000}"/>
    <cellStyle name="Calculation 2 2 4 4 3" xfId="732" xr:uid="{00000000-0005-0000-0000-0000D3060000}"/>
    <cellStyle name="Calculation 2 2 4 4 3 2" xfId="1463" xr:uid="{00000000-0005-0000-0000-0000D4060000}"/>
    <cellStyle name="Calculation 2 2 4 4 3 2 2" xfId="2979" xr:uid="{00000000-0005-0000-0000-0000D5060000}"/>
    <cellStyle name="Calculation 2 2 4 4 3 2 2 2" xfId="8809" xr:uid="{00000000-0005-0000-0000-0000D6060000}"/>
    <cellStyle name="Calculation 2 2 4 4 3 2 3" xfId="4402" xr:uid="{00000000-0005-0000-0000-0000D7060000}"/>
    <cellStyle name="Calculation 2 2 4 4 3 2 3 2" xfId="10232" xr:uid="{00000000-0005-0000-0000-0000D8060000}"/>
    <cellStyle name="Calculation 2 2 4 4 3 2 4" xfId="5798" xr:uid="{00000000-0005-0000-0000-0000D9060000}"/>
    <cellStyle name="Calculation 2 2 4 4 3 2 4 2" xfId="11628" xr:uid="{00000000-0005-0000-0000-0000DA060000}"/>
    <cellStyle name="Calculation 2 2 4 4 3 2 5" xfId="7293" xr:uid="{00000000-0005-0000-0000-0000DB060000}"/>
    <cellStyle name="Calculation 2 2 4 4 3 3" xfId="2252" xr:uid="{00000000-0005-0000-0000-0000DC060000}"/>
    <cellStyle name="Calculation 2 2 4 4 3 3 2" xfId="8082" xr:uid="{00000000-0005-0000-0000-0000DD060000}"/>
    <cellStyle name="Calculation 2 2 4 4 3 4" xfId="3678" xr:uid="{00000000-0005-0000-0000-0000DE060000}"/>
    <cellStyle name="Calculation 2 2 4 4 3 4 2" xfId="9508" xr:uid="{00000000-0005-0000-0000-0000DF060000}"/>
    <cellStyle name="Calculation 2 2 4 4 3 5" xfId="5074" xr:uid="{00000000-0005-0000-0000-0000E0060000}"/>
    <cellStyle name="Calculation 2 2 4 4 3 5 2" xfId="10904" xr:uid="{00000000-0005-0000-0000-0000E1060000}"/>
    <cellStyle name="Calculation 2 2 4 4 3 6" xfId="6569" xr:uid="{00000000-0005-0000-0000-0000E2060000}"/>
    <cellStyle name="Calculation 2 2 4 4 4" xfId="976" xr:uid="{00000000-0005-0000-0000-0000E3060000}"/>
    <cellStyle name="Calculation 2 2 4 4 4 2" xfId="2496" xr:uid="{00000000-0005-0000-0000-0000E4060000}"/>
    <cellStyle name="Calculation 2 2 4 4 4 2 2" xfId="8326" xr:uid="{00000000-0005-0000-0000-0000E5060000}"/>
    <cellStyle name="Calculation 2 2 4 4 4 3" xfId="3922" xr:uid="{00000000-0005-0000-0000-0000E6060000}"/>
    <cellStyle name="Calculation 2 2 4 4 4 3 2" xfId="9752" xr:uid="{00000000-0005-0000-0000-0000E7060000}"/>
    <cellStyle name="Calculation 2 2 4 4 4 4" xfId="5318" xr:uid="{00000000-0005-0000-0000-0000E8060000}"/>
    <cellStyle name="Calculation 2 2 4 4 4 4 2" xfId="11148" xr:uid="{00000000-0005-0000-0000-0000E9060000}"/>
    <cellStyle name="Calculation 2 2 4 4 4 5" xfId="6813" xr:uid="{00000000-0005-0000-0000-0000EA060000}"/>
    <cellStyle name="Calculation 2 2 4 4 5" xfId="1750" xr:uid="{00000000-0005-0000-0000-0000EB060000}"/>
    <cellStyle name="Calculation 2 2 4 4 5 2" xfId="7580" xr:uid="{00000000-0005-0000-0000-0000EC060000}"/>
    <cellStyle name="Calculation 2 2 4 4 6" xfId="3181" xr:uid="{00000000-0005-0000-0000-0000ED060000}"/>
    <cellStyle name="Calculation 2 2 4 4 6 2" xfId="9011" xr:uid="{00000000-0005-0000-0000-0000EE060000}"/>
    <cellStyle name="Calculation 2 2 4 4 7" xfId="4593" xr:uid="{00000000-0005-0000-0000-0000EF060000}"/>
    <cellStyle name="Calculation 2 2 4 4 7 2" xfId="10423" xr:uid="{00000000-0005-0000-0000-0000F0060000}"/>
    <cellStyle name="Calculation 2 2 4 4 8" xfId="6088" xr:uid="{00000000-0005-0000-0000-0000F1060000}"/>
    <cellStyle name="Calculation 2 2 4 5" xfId="289" xr:uid="{00000000-0005-0000-0000-0000F2060000}"/>
    <cellStyle name="Calculation 2 2 4 5 2" xfId="568" xr:uid="{00000000-0005-0000-0000-0000F3060000}"/>
    <cellStyle name="Calculation 2 2 4 5 2 2" xfId="1303" xr:uid="{00000000-0005-0000-0000-0000F4060000}"/>
    <cellStyle name="Calculation 2 2 4 5 2 2 2" xfId="2819" xr:uid="{00000000-0005-0000-0000-0000F5060000}"/>
    <cellStyle name="Calculation 2 2 4 5 2 2 2 2" xfId="8649" xr:uid="{00000000-0005-0000-0000-0000F6060000}"/>
    <cellStyle name="Calculation 2 2 4 5 2 2 3" xfId="4242" xr:uid="{00000000-0005-0000-0000-0000F7060000}"/>
    <cellStyle name="Calculation 2 2 4 5 2 2 3 2" xfId="10072" xr:uid="{00000000-0005-0000-0000-0000F8060000}"/>
    <cellStyle name="Calculation 2 2 4 5 2 2 4" xfId="5638" xr:uid="{00000000-0005-0000-0000-0000F9060000}"/>
    <cellStyle name="Calculation 2 2 4 5 2 2 4 2" xfId="11468" xr:uid="{00000000-0005-0000-0000-0000FA060000}"/>
    <cellStyle name="Calculation 2 2 4 5 2 2 5" xfId="7133" xr:uid="{00000000-0005-0000-0000-0000FB060000}"/>
    <cellStyle name="Calculation 2 2 4 5 2 3" xfId="2090" xr:uid="{00000000-0005-0000-0000-0000FC060000}"/>
    <cellStyle name="Calculation 2 2 4 5 2 3 2" xfId="7920" xr:uid="{00000000-0005-0000-0000-0000FD060000}"/>
    <cellStyle name="Calculation 2 2 4 5 2 4" xfId="3517" xr:uid="{00000000-0005-0000-0000-0000FE060000}"/>
    <cellStyle name="Calculation 2 2 4 5 2 4 2" xfId="9347" xr:uid="{00000000-0005-0000-0000-0000FF060000}"/>
    <cellStyle name="Calculation 2 2 4 5 2 5" xfId="4914" xr:uid="{00000000-0005-0000-0000-000000070000}"/>
    <cellStyle name="Calculation 2 2 4 5 2 5 2" xfId="10744" xr:uid="{00000000-0005-0000-0000-000001070000}"/>
    <cellStyle name="Calculation 2 2 4 5 2 6" xfId="6409" xr:uid="{00000000-0005-0000-0000-000002070000}"/>
    <cellStyle name="Calculation 2 2 4 5 3" xfId="812" xr:uid="{00000000-0005-0000-0000-000003070000}"/>
    <cellStyle name="Calculation 2 2 4 5 3 2" xfId="1543" xr:uid="{00000000-0005-0000-0000-000004070000}"/>
    <cellStyle name="Calculation 2 2 4 5 3 2 2" xfId="3059" xr:uid="{00000000-0005-0000-0000-000005070000}"/>
    <cellStyle name="Calculation 2 2 4 5 3 2 2 2" xfId="8889" xr:uid="{00000000-0005-0000-0000-000006070000}"/>
    <cellStyle name="Calculation 2 2 4 5 3 2 3" xfId="4482" xr:uid="{00000000-0005-0000-0000-000007070000}"/>
    <cellStyle name="Calculation 2 2 4 5 3 2 3 2" xfId="10312" xr:uid="{00000000-0005-0000-0000-000008070000}"/>
    <cellStyle name="Calculation 2 2 4 5 3 2 4" xfId="5878" xr:uid="{00000000-0005-0000-0000-000009070000}"/>
    <cellStyle name="Calculation 2 2 4 5 3 2 4 2" xfId="11708" xr:uid="{00000000-0005-0000-0000-00000A070000}"/>
    <cellStyle name="Calculation 2 2 4 5 3 2 5" xfId="7373" xr:uid="{00000000-0005-0000-0000-00000B070000}"/>
    <cellStyle name="Calculation 2 2 4 5 3 3" xfId="2332" xr:uid="{00000000-0005-0000-0000-00000C070000}"/>
    <cellStyle name="Calculation 2 2 4 5 3 3 2" xfId="8162" xr:uid="{00000000-0005-0000-0000-00000D070000}"/>
    <cellStyle name="Calculation 2 2 4 5 3 4" xfId="3758" xr:uid="{00000000-0005-0000-0000-00000E070000}"/>
    <cellStyle name="Calculation 2 2 4 5 3 4 2" xfId="9588" xr:uid="{00000000-0005-0000-0000-00000F070000}"/>
    <cellStyle name="Calculation 2 2 4 5 3 5" xfId="5154" xr:uid="{00000000-0005-0000-0000-000010070000}"/>
    <cellStyle name="Calculation 2 2 4 5 3 5 2" xfId="10984" xr:uid="{00000000-0005-0000-0000-000011070000}"/>
    <cellStyle name="Calculation 2 2 4 5 3 6" xfId="6649" xr:uid="{00000000-0005-0000-0000-000012070000}"/>
    <cellStyle name="Calculation 2 2 4 5 4" xfId="1056" xr:uid="{00000000-0005-0000-0000-000013070000}"/>
    <cellStyle name="Calculation 2 2 4 5 4 2" xfId="2576" xr:uid="{00000000-0005-0000-0000-000014070000}"/>
    <cellStyle name="Calculation 2 2 4 5 4 2 2" xfId="8406" xr:uid="{00000000-0005-0000-0000-000015070000}"/>
    <cellStyle name="Calculation 2 2 4 5 4 3" xfId="4002" xr:uid="{00000000-0005-0000-0000-000016070000}"/>
    <cellStyle name="Calculation 2 2 4 5 4 3 2" xfId="9832" xr:uid="{00000000-0005-0000-0000-000017070000}"/>
    <cellStyle name="Calculation 2 2 4 5 4 4" xfId="5398" xr:uid="{00000000-0005-0000-0000-000018070000}"/>
    <cellStyle name="Calculation 2 2 4 5 4 4 2" xfId="11228" xr:uid="{00000000-0005-0000-0000-000019070000}"/>
    <cellStyle name="Calculation 2 2 4 5 4 5" xfId="6893" xr:uid="{00000000-0005-0000-0000-00001A070000}"/>
    <cellStyle name="Calculation 2 2 4 5 5" xfId="1830" xr:uid="{00000000-0005-0000-0000-00001B070000}"/>
    <cellStyle name="Calculation 2 2 4 5 5 2" xfId="7660" xr:uid="{00000000-0005-0000-0000-00001C070000}"/>
    <cellStyle name="Calculation 2 2 4 5 6" xfId="3261" xr:uid="{00000000-0005-0000-0000-00001D070000}"/>
    <cellStyle name="Calculation 2 2 4 5 6 2" xfId="9091" xr:uid="{00000000-0005-0000-0000-00001E070000}"/>
    <cellStyle name="Calculation 2 2 4 5 7" xfId="4673" xr:uid="{00000000-0005-0000-0000-00001F070000}"/>
    <cellStyle name="Calculation 2 2 4 5 7 2" xfId="10503" xr:uid="{00000000-0005-0000-0000-000020070000}"/>
    <cellStyle name="Calculation 2 2 4 5 8" xfId="6168" xr:uid="{00000000-0005-0000-0000-000021070000}"/>
    <cellStyle name="Calculation 2 2 4 6" xfId="408" xr:uid="{00000000-0005-0000-0000-000022070000}"/>
    <cellStyle name="Calculation 2 2 4 6 2" xfId="1143" xr:uid="{00000000-0005-0000-0000-000023070000}"/>
    <cellStyle name="Calculation 2 2 4 6 2 2" xfId="2659" xr:uid="{00000000-0005-0000-0000-000024070000}"/>
    <cellStyle name="Calculation 2 2 4 6 2 2 2" xfId="8489" xr:uid="{00000000-0005-0000-0000-000025070000}"/>
    <cellStyle name="Calculation 2 2 4 6 2 3" xfId="4082" xr:uid="{00000000-0005-0000-0000-000026070000}"/>
    <cellStyle name="Calculation 2 2 4 6 2 3 2" xfId="9912" xr:uid="{00000000-0005-0000-0000-000027070000}"/>
    <cellStyle name="Calculation 2 2 4 6 2 4" xfId="5478" xr:uid="{00000000-0005-0000-0000-000028070000}"/>
    <cellStyle name="Calculation 2 2 4 6 2 4 2" xfId="11308" xr:uid="{00000000-0005-0000-0000-000029070000}"/>
    <cellStyle name="Calculation 2 2 4 6 2 5" xfId="6973" xr:uid="{00000000-0005-0000-0000-00002A070000}"/>
    <cellStyle name="Calculation 2 2 4 6 3" xfId="1930" xr:uid="{00000000-0005-0000-0000-00002B070000}"/>
    <cellStyle name="Calculation 2 2 4 6 3 2" xfId="7760" xr:uid="{00000000-0005-0000-0000-00002C070000}"/>
    <cellStyle name="Calculation 2 2 4 6 4" xfId="3357" xr:uid="{00000000-0005-0000-0000-00002D070000}"/>
    <cellStyle name="Calculation 2 2 4 6 4 2" xfId="9187" xr:uid="{00000000-0005-0000-0000-00002E070000}"/>
    <cellStyle name="Calculation 2 2 4 6 5" xfId="4754" xr:uid="{00000000-0005-0000-0000-00002F070000}"/>
    <cellStyle name="Calculation 2 2 4 6 5 2" xfId="10584" xr:uid="{00000000-0005-0000-0000-000030070000}"/>
    <cellStyle name="Calculation 2 2 4 6 6" xfId="6249" xr:uid="{00000000-0005-0000-0000-000031070000}"/>
    <cellStyle name="Calculation 2 2 4 7" xfId="652" xr:uid="{00000000-0005-0000-0000-000032070000}"/>
    <cellStyle name="Calculation 2 2 4 7 2" xfId="1383" xr:uid="{00000000-0005-0000-0000-000033070000}"/>
    <cellStyle name="Calculation 2 2 4 7 2 2" xfId="2899" xr:uid="{00000000-0005-0000-0000-000034070000}"/>
    <cellStyle name="Calculation 2 2 4 7 2 2 2" xfId="8729" xr:uid="{00000000-0005-0000-0000-000035070000}"/>
    <cellStyle name="Calculation 2 2 4 7 2 3" xfId="4322" xr:uid="{00000000-0005-0000-0000-000036070000}"/>
    <cellStyle name="Calculation 2 2 4 7 2 3 2" xfId="10152" xr:uid="{00000000-0005-0000-0000-000037070000}"/>
    <cellStyle name="Calculation 2 2 4 7 2 4" xfId="5718" xr:uid="{00000000-0005-0000-0000-000038070000}"/>
    <cellStyle name="Calculation 2 2 4 7 2 4 2" xfId="11548" xr:uid="{00000000-0005-0000-0000-000039070000}"/>
    <cellStyle name="Calculation 2 2 4 7 2 5" xfId="7213" xr:uid="{00000000-0005-0000-0000-00003A070000}"/>
    <cellStyle name="Calculation 2 2 4 7 3" xfId="2172" xr:uid="{00000000-0005-0000-0000-00003B070000}"/>
    <cellStyle name="Calculation 2 2 4 7 3 2" xfId="8002" xr:uid="{00000000-0005-0000-0000-00003C070000}"/>
    <cellStyle name="Calculation 2 2 4 7 4" xfId="3598" xr:uid="{00000000-0005-0000-0000-00003D070000}"/>
    <cellStyle name="Calculation 2 2 4 7 4 2" xfId="9428" xr:uid="{00000000-0005-0000-0000-00003E070000}"/>
    <cellStyle name="Calculation 2 2 4 7 5" xfId="4994" xr:uid="{00000000-0005-0000-0000-00003F070000}"/>
    <cellStyle name="Calculation 2 2 4 7 5 2" xfId="10824" xr:uid="{00000000-0005-0000-0000-000040070000}"/>
    <cellStyle name="Calculation 2 2 4 7 6" xfId="6489" xr:uid="{00000000-0005-0000-0000-000041070000}"/>
    <cellStyle name="Calculation 2 2 4 8" xfId="896" xr:uid="{00000000-0005-0000-0000-000042070000}"/>
    <cellStyle name="Calculation 2 2 4 8 2" xfId="2416" xr:uid="{00000000-0005-0000-0000-000043070000}"/>
    <cellStyle name="Calculation 2 2 4 8 2 2" xfId="8246" xr:uid="{00000000-0005-0000-0000-000044070000}"/>
    <cellStyle name="Calculation 2 2 4 8 3" xfId="3842" xr:uid="{00000000-0005-0000-0000-000045070000}"/>
    <cellStyle name="Calculation 2 2 4 8 3 2" xfId="9672" xr:uid="{00000000-0005-0000-0000-000046070000}"/>
    <cellStyle name="Calculation 2 2 4 8 4" xfId="5238" xr:uid="{00000000-0005-0000-0000-000047070000}"/>
    <cellStyle name="Calculation 2 2 4 8 4 2" xfId="11068" xr:uid="{00000000-0005-0000-0000-000048070000}"/>
    <cellStyle name="Calculation 2 2 4 8 5" xfId="6733" xr:uid="{00000000-0005-0000-0000-000049070000}"/>
    <cellStyle name="Calculation 2 2 4 9" xfId="1670" xr:uid="{00000000-0005-0000-0000-00004A070000}"/>
    <cellStyle name="Calculation 2 2 4 9 2" xfId="7500" xr:uid="{00000000-0005-0000-0000-00004B070000}"/>
    <cellStyle name="Calculation 2 2 5" xfId="132" xr:uid="{00000000-0005-0000-0000-00004C070000}"/>
    <cellStyle name="Calculation 2 2 5 10" xfId="3338" xr:uid="{00000000-0005-0000-0000-00004D070000}"/>
    <cellStyle name="Calculation 2 2 5 10 2" xfId="9168" xr:uid="{00000000-0005-0000-0000-00004E070000}"/>
    <cellStyle name="Calculation 2 2 5 11" xfId="6013" xr:uid="{00000000-0005-0000-0000-00004F070000}"/>
    <cellStyle name="Calculation 2 2 5 2" xfId="173" xr:uid="{00000000-0005-0000-0000-000050070000}"/>
    <cellStyle name="Calculation 2 2 5 2 10" xfId="6053" xr:uid="{00000000-0005-0000-0000-000051070000}"/>
    <cellStyle name="Calculation 2 2 5 2 2" xfId="254" xr:uid="{00000000-0005-0000-0000-000052070000}"/>
    <cellStyle name="Calculation 2 2 5 2 2 2" xfId="533" xr:uid="{00000000-0005-0000-0000-000053070000}"/>
    <cellStyle name="Calculation 2 2 5 2 2 2 2" xfId="1268" xr:uid="{00000000-0005-0000-0000-000054070000}"/>
    <cellStyle name="Calculation 2 2 5 2 2 2 2 2" xfId="2784" xr:uid="{00000000-0005-0000-0000-000055070000}"/>
    <cellStyle name="Calculation 2 2 5 2 2 2 2 2 2" xfId="8614" xr:uid="{00000000-0005-0000-0000-000056070000}"/>
    <cellStyle name="Calculation 2 2 5 2 2 2 2 3" xfId="4207" xr:uid="{00000000-0005-0000-0000-000057070000}"/>
    <cellStyle name="Calculation 2 2 5 2 2 2 2 3 2" xfId="10037" xr:uid="{00000000-0005-0000-0000-000058070000}"/>
    <cellStyle name="Calculation 2 2 5 2 2 2 2 4" xfId="5603" xr:uid="{00000000-0005-0000-0000-000059070000}"/>
    <cellStyle name="Calculation 2 2 5 2 2 2 2 4 2" xfId="11433" xr:uid="{00000000-0005-0000-0000-00005A070000}"/>
    <cellStyle name="Calculation 2 2 5 2 2 2 2 5" xfId="7098" xr:uid="{00000000-0005-0000-0000-00005B070000}"/>
    <cellStyle name="Calculation 2 2 5 2 2 2 3" xfId="2055" xr:uid="{00000000-0005-0000-0000-00005C070000}"/>
    <cellStyle name="Calculation 2 2 5 2 2 2 3 2" xfId="7885" xr:uid="{00000000-0005-0000-0000-00005D070000}"/>
    <cellStyle name="Calculation 2 2 5 2 2 2 4" xfId="3482" xr:uid="{00000000-0005-0000-0000-00005E070000}"/>
    <cellStyle name="Calculation 2 2 5 2 2 2 4 2" xfId="9312" xr:uid="{00000000-0005-0000-0000-00005F070000}"/>
    <cellStyle name="Calculation 2 2 5 2 2 2 5" xfId="4879" xr:uid="{00000000-0005-0000-0000-000060070000}"/>
    <cellStyle name="Calculation 2 2 5 2 2 2 5 2" xfId="10709" xr:uid="{00000000-0005-0000-0000-000061070000}"/>
    <cellStyle name="Calculation 2 2 5 2 2 2 6" xfId="6374" xr:uid="{00000000-0005-0000-0000-000062070000}"/>
    <cellStyle name="Calculation 2 2 5 2 2 3" xfId="777" xr:uid="{00000000-0005-0000-0000-000063070000}"/>
    <cellStyle name="Calculation 2 2 5 2 2 3 2" xfId="1508" xr:uid="{00000000-0005-0000-0000-000064070000}"/>
    <cellStyle name="Calculation 2 2 5 2 2 3 2 2" xfId="3024" xr:uid="{00000000-0005-0000-0000-000065070000}"/>
    <cellStyle name="Calculation 2 2 5 2 2 3 2 2 2" xfId="8854" xr:uid="{00000000-0005-0000-0000-000066070000}"/>
    <cellStyle name="Calculation 2 2 5 2 2 3 2 3" xfId="4447" xr:uid="{00000000-0005-0000-0000-000067070000}"/>
    <cellStyle name="Calculation 2 2 5 2 2 3 2 3 2" xfId="10277" xr:uid="{00000000-0005-0000-0000-000068070000}"/>
    <cellStyle name="Calculation 2 2 5 2 2 3 2 4" xfId="5843" xr:uid="{00000000-0005-0000-0000-000069070000}"/>
    <cellStyle name="Calculation 2 2 5 2 2 3 2 4 2" xfId="11673" xr:uid="{00000000-0005-0000-0000-00006A070000}"/>
    <cellStyle name="Calculation 2 2 5 2 2 3 2 5" xfId="7338" xr:uid="{00000000-0005-0000-0000-00006B070000}"/>
    <cellStyle name="Calculation 2 2 5 2 2 3 3" xfId="2297" xr:uid="{00000000-0005-0000-0000-00006C070000}"/>
    <cellStyle name="Calculation 2 2 5 2 2 3 3 2" xfId="8127" xr:uid="{00000000-0005-0000-0000-00006D070000}"/>
    <cellStyle name="Calculation 2 2 5 2 2 3 4" xfId="3723" xr:uid="{00000000-0005-0000-0000-00006E070000}"/>
    <cellStyle name="Calculation 2 2 5 2 2 3 4 2" xfId="9553" xr:uid="{00000000-0005-0000-0000-00006F070000}"/>
    <cellStyle name="Calculation 2 2 5 2 2 3 5" xfId="5119" xr:uid="{00000000-0005-0000-0000-000070070000}"/>
    <cellStyle name="Calculation 2 2 5 2 2 3 5 2" xfId="10949" xr:uid="{00000000-0005-0000-0000-000071070000}"/>
    <cellStyle name="Calculation 2 2 5 2 2 3 6" xfId="6614" xr:uid="{00000000-0005-0000-0000-000072070000}"/>
    <cellStyle name="Calculation 2 2 5 2 2 4" xfId="1021" xr:uid="{00000000-0005-0000-0000-000073070000}"/>
    <cellStyle name="Calculation 2 2 5 2 2 4 2" xfId="2541" xr:uid="{00000000-0005-0000-0000-000074070000}"/>
    <cellStyle name="Calculation 2 2 5 2 2 4 2 2" xfId="8371" xr:uid="{00000000-0005-0000-0000-000075070000}"/>
    <cellStyle name="Calculation 2 2 5 2 2 4 3" xfId="3967" xr:uid="{00000000-0005-0000-0000-000076070000}"/>
    <cellStyle name="Calculation 2 2 5 2 2 4 3 2" xfId="9797" xr:uid="{00000000-0005-0000-0000-000077070000}"/>
    <cellStyle name="Calculation 2 2 5 2 2 4 4" xfId="5363" xr:uid="{00000000-0005-0000-0000-000078070000}"/>
    <cellStyle name="Calculation 2 2 5 2 2 4 4 2" xfId="11193" xr:uid="{00000000-0005-0000-0000-000079070000}"/>
    <cellStyle name="Calculation 2 2 5 2 2 4 5" xfId="6858" xr:uid="{00000000-0005-0000-0000-00007A070000}"/>
    <cellStyle name="Calculation 2 2 5 2 2 5" xfId="1795" xr:uid="{00000000-0005-0000-0000-00007B070000}"/>
    <cellStyle name="Calculation 2 2 5 2 2 5 2" xfId="7625" xr:uid="{00000000-0005-0000-0000-00007C070000}"/>
    <cellStyle name="Calculation 2 2 5 2 2 6" xfId="3226" xr:uid="{00000000-0005-0000-0000-00007D070000}"/>
    <cellStyle name="Calculation 2 2 5 2 2 6 2" xfId="9056" xr:uid="{00000000-0005-0000-0000-00007E070000}"/>
    <cellStyle name="Calculation 2 2 5 2 2 7" xfId="4638" xr:uid="{00000000-0005-0000-0000-00007F070000}"/>
    <cellStyle name="Calculation 2 2 5 2 2 7 2" xfId="10468" xr:uid="{00000000-0005-0000-0000-000080070000}"/>
    <cellStyle name="Calculation 2 2 5 2 2 8" xfId="6133" xr:uid="{00000000-0005-0000-0000-000081070000}"/>
    <cellStyle name="Calculation 2 2 5 2 3" xfId="334" xr:uid="{00000000-0005-0000-0000-000082070000}"/>
    <cellStyle name="Calculation 2 2 5 2 3 2" xfId="613" xr:uid="{00000000-0005-0000-0000-000083070000}"/>
    <cellStyle name="Calculation 2 2 5 2 3 2 2" xfId="1348" xr:uid="{00000000-0005-0000-0000-000084070000}"/>
    <cellStyle name="Calculation 2 2 5 2 3 2 2 2" xfId="2864" xr:uid="{00000000-0005-0000-0000-000085070000}"/>
    <cellStyle name="Calculation 2 2 5 2 3 2 2 2 2" xfId="8694" xr:uid="{00000000-0005-0000-0000-000086070000}"/>
    <cellStyle name="Calculation 2 2 5 2 3 2 2 3" xfId="4287" xr:uid="{00000000-0005-0000-0000-000087070000}"/>
    <cellStyle name="Calculation 2 2 5 2 3 2 2 3 2" xfId="10117" xr:uid="{00000000-0005-0000-0000-000088070000}"/>
    <cellStyle name="Calculation 2 2 5 2 3 2 2 4" xfId="5683" xr:uid="{00000000-0005-0000-0000-000089070000}"/>
    <cellStyle name="Calculation 2 2 5 2 3 2 2 4 2" xfId="11513" xr:uid="{00000000-0005-0000-0000-00008A070000}"/>
    <cellStyle name="Calculation 2 2 5 2 3 2 2 5" xfId="7178" xr:uid="{00000000-0005-0000-0000-00008B070000}"/>
    <cellStyle name="Calculation 2 2 5 2 3 2 3" xfId="2135" xr:uid="{00000000-0005-0000-0000-00008C070000}"/>
    <cellStyle name="Calculation 2 2 5 2 3 2 3 2" xfId="7965" xr:uid="{00000000-0005-0000-0000-00008D070000}"/>
    <cellStyle name="Calculation 2 2 5 2 3 2 4" xfId="3562" xr:uid="{00000000-0005-0000-0000-00008E070000}"/>
    <cellStyle name="Calculation 2 2 5 2 3 2 4 2" xfId="9392" xr:uid="{00000000-0005-0000-0000-00008F070000}"/>
    <cellStyle name="Calculation 2 2 5 2 3 2 5" xfId="4959" xr:uid="{00000000-0005-0000-0000-000090070000}"/>
    <cellStyle name="Calculation 2 2 5 2 3 2 5 2" xfId="10789" xr:uid="{00000000-0005-0000-0000-000091070000}"/>
    <cellStyle name="Calculation 2 2 5 2 3 2 6" xfId="6454" xr:uid="{00000000-0005-0000-0000-000092070000}"/>
    <cellStyle name="Calculation 2 2 5 2 3 3" xfId="857" xr:uid="{00000000-0005-0000-0000-000093070000}"/>
    <cellStyle name="Calculation 2 2 5 2 3 3 2" xfId="1588" xr:uid="{00000000-0005-0000-0000-000094070000}"/>
    <cellStyle name="Calculation 2 2 5 2 3 3 2 2" xfId="3104" xr:uid="{00000000-0005-0000-0000-000095070000}"/>
    <cellStyle name="Calculation 2 2 5 2 3 3 2 2 2" xfId="8934" xr:uid="{00000000-0005-0000-0000-000096070000}"/>
    <cellStyle name="Calculation 2 2 5 2 3 3 2 3" xfId="4527" xr:uid="{00000000-0005-0000-0000-000097070000}"/>
    <cellStyle name="Calculation 2 2 5 2 3 3 2 3 2" xfId="10357" xr:uid="{00000000-0005-0000-0000-000098070000}"/>
    <cellStyle name="Calculation 2 2 5 2 3 3 2 4" xfId="5923" xr:uid="{00000000-0005-0000-0000-000099070000}"/>
    <cellStyle name="Calculation 2 2 5 2 3 3 2 4 2" xfId="11753" xr:uid="{00000000-0005-0000-0000-00009A070000}"/>
    <cellStyle name="Calculation 2 2 5 2 3 3 2 5" xfId="7418" xr:uid="{00000000-0005-0000-0000-00009B070000}"/>
    <cellStyle name="Calculation 2 2 5 2 3 3 3" xfId="2377" xr:uid="{00000000-0005-0000-0000-00009C070000}"/>
    <cellStyle name="Calculation 2 2 5 2 3 3 3 2" xfId="8207" xr:uid="{00000000-0005-0000-0000-00009D070000}"/>
    <cellStyle name="Calculation 2 2 5 2 3 3 4" xfId="3803" xr:uid="{00000000-0005-0000-0000-00009E070000}"/>
    <cellStyle name="Calculation 2 2 5 2 3 3 4 2" xfId="9633" xr:uid="{00000000-0005-0000-0000-00009F070000}"/>
    <cellStyle name="Calculation 2 2 5 2 3 3 5" xfId="5199" xr:uid="{00000000-0005-0000-0000-0000A0070000}"/>
    <cellStyle name="Calculation 2 2 5 2 3 3 5 2" xfId="11029" xr:uid="{00000000-0005-0000-0000-0000A1070000}"/>
    <cellStyle name="Calculation 2 2 5 2 3 3 6" xfId="6694" xr:uid="{00000000-0005-0000-0000-0000A2070000}"/>
    <cellStyle name="Calculation 2 2 5 2 3 4" xfId="1101" xr:uid="{00000000-0005-0000-0000-0000A3070000}"/>
    <cellStyle name="Calculation 2 2 5 2 3 4 2" xfId="2621" xr:uid="{00000000-0005-0000-0000-0000A4070000}"/>
    <cellStyle name="Calculation 2 2 5 2 3 4 2 2" xfId="8451" xr:uid="{00000000-0005-0000-0000-0000A5070000}"/>
    <cellStyle name="Calculation 2 2 5 2 3 4 3" xfId="4047" xr:uid="{00000000-0005-0000-0000-0000A6070000}"/>
    <cellStyle name="Calculation 2 2 5 2 3 4 3 2" xfId="9877" xr:uid="{00000000-0005-0000-0000-0000A7070000}"/>
    <cellStyle name="Calculation 2 2 5 2 3 4 4" xfId="5443" xr:uid="{00000000-0005-0000-0000-0000A8070000}"/>
    <cellStyle name="Calculation 2 2 5 2 3 4 4 2" xfId="11273" xr:uid="{00000000-0005-0000-0000-0000A9070000}"/>
    <cellStyle name="Calculation 2 2 5 2 3 4 5" xfId="6938" xr:uid="{00000000-0005-0000-0000-0000AA070000}"/>
    <cellStyle name="Calculation 2 2 5 2 3 5" xfId="1875" xr:uid="{00000000-0005-0000-0000-0000AB070000}"/>
    <cellStyle name="Calculation 2 2 5 2 3 5 2" xfId="7705" xr:uid="{00000000-0005-0000-0000-0000AC070000}"/>
    <cellStyle name="Calculation 2 2 5 2 3 6" xfId="3306" xr:uid="{00000000-0005-0000-0000-0000AD070000}"/>
    <cellStyle name="Calculation 2 2 5 2 3 6 2" xfId="9136" xr:uid="{00000000-0005-0000-0000-0000AE070000}"/>
    <cellStyle name="Calculation 2 2 5 2 3 7" xfId="4718" xr:uid="{00000000-0005-0000-0000-0000AF070000}"/>
    <cellStyle name="Calculation 2 2 5 2 3 7 2" xfId="10548" xr:uid="{00000000-0005-0000-0000-0000B0070000}"/>
    <cellStyle name="Calculation 2 2 5 2 3 8" xfId="6213" xr:uid="{00000000-0005-0000-0000-0000B1070000}"/>
    <cellStyle name="Calculation 2 2 5 2 4" xfId="453" xr:uid="{00000000-0005-0000-0000-0000B2070000}"/>
    <cellStyle name="Calculation 2 2 5 2 4 2" xfId="1188" xr:uid="{00000000-0005-0000-0000-0000B3070000}"/>
    <cellStyle name="Calculation 2 2 5 2 4 2 2" xfId="2704" xr:uid="{00000000-0005-0000-0000-0000B4070000}"/>
    <cellStyle name="Calculation 2 2 5 2 4 2 2 2" xfId="8534" xr:uid="{00000000-0005-0000-0000-0000B5070000}"/>
    <cellStyle name="Calculation 2 2 5 2 4 2 3" xfId="4127" xr:uid="{00000000-0005-0000-0000-0000B6070000}"/>
    <cellStyle name="Calculation 2 2 5 2 4 2 3 2" xfId="9957" xr:uid="{00000000-0005-0000-0000-0000B7070000}"/>
    <cellStyle name="Calculation 2 2 5 2 4 2 4" xfId="5523" xr:uid="{00000000-0005-0000-0000-0000B8070000}"/>
    <cellStyle name="Calculation 2 2 5 2 4 2 4 2" xfId="11353" xr:uid="{00000000-0005-0000-0000-0000B9070000}"/>
    <cellStyle name="Calculation 2 2 5 2 4 2 5" xfId="7018" xr:uid="{00000000-0005-0000-0000-0000BA070000}"/>
    <cellStyle name="Calculation 2 2 5 2 4 3" xfId="1975" xr:uid="{00000000-0005-0000-0000-0000BB070000}"/>
    <cellStyle name="Calculation 2 2 5 2 4 3 2" xfId="7805" xr:uid="{00000000-0005-0000-0000-0000BC070000}"/>
    <cellStyle name="Calculation 2 2 5 2 4 4" xfId="3402" xr:uid="{00000000-0005-0000-0000-0000BD070000}"/>
    <cellStyle name="Calculation 2 2 5 2 4 4 2" xfId="9232" xr:uid="{00000000-0005-0000-0000-0000BE070000}"/>
    <cellStyle name="Calculation 2 2 5 2 4 5" xfId="4799" xr:uid="{00000000-0005-0000-0000-0000BF070000}"/>
    <cellStyle name="Calculation 2 2 5 2 4 5 2" xfId="10629" xr:uid="{00000000-0005-0000-0000-0000C0070000}"/>
    <cellStyle name="Calculation 2 2 5 2 4 6" xfId="6294" xr:uid="{00000000-0005-0000-0000-0000C1070000}"/>
    <cellStyle name="Calculation 2 2 5 2 5" xfId="697" xr:uid="{00000000-0005-0000-0000-0000C2070000}"/>
    <cellStyle name="Calculation 2 2 5 2 5 2" xfId="1428" xr:uid="{00000000-0005-0000-0000-0000C3070000}"/>
    <cellStyle name="Calculation 2 2 5 2 5 2 2" xfId="2944" xr:uid="{00000000-0005-0000-0000-0000C4070000}"/>
    <cellStyle name="Calculation 2 2 5 2 5 2 2 2" xfId="8774" xr:uid="{00000000-0005-0000-0000-0000C5070000}"/>
    <cellStyle name="Calculation 2 2 5 2 5 2 3" xfId="4367" xr:uid="{00000000-0005-0000-0000-0000C6070000}"/>
    <cellStyle name="Calculation 2 2 5 2 5 2 3 2" xfId="10197" xr:uid="{00000000-0005-0000-0000-0000C7070000}"/>
    <cellStyle name="Calculation 2 2 5 2 5 2 4" xfId="5763" xr:uid="{00000000-0005-0000-0000-0000C8070000}"/>
    <cellStyle name="Calculation 2 2 5 2 5 2 4 2" xfId="11593" xr:uid="{00000000-0005-0000-0000-0000C9070000}"/>
    <cellStyle name="Calculation 2 2 5 2 5 2 5" xfId="7258" xr:uid="{00000000-0005-0000-0000-0000CA070000}"/>
    <cellStyle name="Calculation 2 2 5 2 5 3" xfId="2217" xr:uid="{00000000-0005-0000-0000-0000CB070000}"/>
    <cellStyle name="Calculation 2 2 5 2 5 3 2" xfId="8047" xr:uid="{00000000-0005-0000-0000-0000CC070000}"/>
    <cellStyle name="Calculation 2 2 5 2 5 4" xfId="3643" xr:uid="{00000000-0005-0000-0000-0000CD070000}"/>
    <cellStyle name="Calculation 2 2 5 2 5 4 2" xfId="9473" xr:uid="{00000000-0005-0000-0000-0000CE070000}"/>
    <cellStyle name="Calculation 2 2 5 2 5 5" xfId="5039" xr:uid="{00000000-0005-0000-0000-0000CF070000}"/>
    <cellStyle name="Calculation 2 2 5 2 5 5 2" xfId="10869" xr:uid="{00000000-0005-0000-0000-0000D0070000}"/>
    <cellStyle name="Calculation 2 2 5 2 5 6" xfId="6534" xr:uid="{00000000-0005-0000-0000-0000D1070000}"/>
    <cellStyle name="Calculation 2 2 5 2 6" xfId="941" xr:uid="{00000000-0005-0000-0000-0000D2070000}"/>
    <cellStyle name="Calculation 2 2 5 2 6 2" xfId="2461" xr:uid="{00000000-0005-0000-0000-0000D3070000}"/>
    <cellStyle name="Calculation 2 2 5 2 6 2 2" xfId="8291" xr:uid="{00000000-0005-0000-0000-0000D4070000}"/>
    <cellStyle name="Calculation 2 2 5 2 6 3" xfId="3887" xr:uid="{00000000-0005-0000-0000-0000D5070000}"/>
    <cellStyle name="Calculation 2 2 5 2 6 3 2" xfId="9717" xr:uid="{00000000-0005-0000-0000-0000D6070000}"/>
    <cellStyle name="Calculation 2 2 5 2 6 4" xfId="5283" xr:uid="{00000000-0005-0000-0000-0000D7070000}"/>
    <cellStyle name="Calculation 2 2 5 2 6 4 2" xfId="11113" xr:uid="{00000000-0005-0000-0000-0000D8070000}"/>
    <cellStyle name="Calculation 2 2 5 2 6 5" xfId="6778" xr:uid="{00000000-0005-0000-0000-0000D9070000}"/>
    <cellStyle name="Calculation 2 2 5 2 7" xfId="1715" xr:uid="{00000000-0005-0000-0000-0000DA070000}"/>
    <cellStyle name="Calculation 2 2 5 2 7 2" xfId="7545" xr:uid="{00000000-0005-0000-0000-0000DB070000}"/>
    <cellStyle name="Calculation 2 2 5 2 8" xfId="3146" xr:uid="{00000000-0005-0000-0000-0000DC070000}"/>
    <cellStyle name="Calculation 2 2 5 2 8 2" xfId="8976" xr:uid="{00000000-0005-0000-0000-0000DD070000}"/>
    <cellStyle name="Calculation 2 2 5 2 9" xfId="4558" xr:uid="{00000000-0005-0000-0000-0000DE070000}"/>
    <cellStyle name="Calculation 2 2 5 2 9 2" xfId="10388" xr:uid="{00000000-0005-0000-0000-0000DF070000}"/>
    <cellStyle name="Calculation 2 2 5 3" xfId="214" xr:uid="{00000000-0005-0000-0000-0000E0070000}"/>
    <cellStyle name="Calculation 2 2 5 3 2" xfId="493" xr:uid="{00000000-0005-0000-0000-0000E1070000}"/>
    <cellStyle name="Calculation 2 2 5 3 2 2" xfId="1228" xr:uid="{00000000-0005-0000-0000-0000E2070000}"/>
    <cellStyle name="Calculation 2 2 5 3 2 2 2" xfId="2744" xr:uid="{00000000-0005-0000-0000-0000E3070000}"/>
    <cellStyle name="Calculation 2 2 5 3 2 2 2 2" xfId="8574" xr:uid="{00000000-0005-0000-0000-0000E4070000}"/>
    <cellStyle name="Calculation 2 2 5 3 2 2 3" xfId="4167" xr:uid="{00000000-0005-0000-0000-0000E5070000}"/>
    <cellStyle name="Calculation 2 2 5 3 2 2 3 2" xfId="9997" xr:uid="{00000000-0005-0000-0000-0000E6070000}"/>
    <cellStyle name="Calculation 2 2 5 3 2 2 4" xfId="5563" xr:uid="{00000000-0005-0000-0000-0000E7070000}"/>
    <cellStyle name="Calculation 2 2 5 3 2 2 4 2" xfId="11393" xr:uid="{00000000-0005-0000-0000-0000E8070000}"/>
    <cellStyle name="Calculation 2 2 5 3 2 2 5" xfId="7058" xr:uid="{00000000-0005-0000-0000-0000E9070000}"/>
    <cellStyle name="Calculation 2 2 5 3 2 3" xfId="2015" xr:uid="{00000000-0005-0000-0000-0000EA070000}"/>
    <cellStyle name="Calculation 2 2 5 3 2 3 2" xfId="7845" xr:uid="{00000000-0005-0000-0000-0000EB070000}"/>
    <cellStyle name="Calculation 2 2 5 3 2 4" xfId="3442" xr:uid="{00000000-0005-0000-0000-0000EC070000}"/>
    <cellStyle name="Calculation 2 2 5 3 2 4 2" xfId="9272" xr:uid="{00000000-0005-0000-0000-0000ED070000}"/>
    <cellStyle name="Calculation 2 2 5 3 2 5" xfId="4839" xr:uid="{00000000-0005-0000-0000-0000EE070000}"/>
    <cellStyle name="Calculation 2 2 5 3 2 5 2" xfId="10669" xr:uid="{00000000-0005-0000-0000-0000EF070000}"/>
    <cellStyle name="Calculation 2 2 5 3 2 6" xfId="6334" xr:uid="{00000000-0005-0000-0000-0000F0070000}"/>
    <cellStyle name="Calculation 2 2 5 3 3" xfId="737" xr:uid="{00000000-0005-0000-0000-0000F1070000}"/>
    <cellStyle name="Calculation 2 2 5 3 3 2" xfId="1468" xr:uid="{00000000-0005-0000-0000-0000F2070000}"/>
    <cellStyle name="Calculation 2 2 5 3 3 2 2" xfId="2984" xr:uid="{00000000-0005-0000-0000-0000F3070000}"/>
    <cellStyle name="Calculation 2 2 5 3 3 2 2 2" xfId="8814" xr:uid="{00000000-0005-0000-0000-0000F4070000}"/>
    <cellStyle name="Calculation 2 2 5 3 3 2 3" xfId="4407" xr:uid="{00000000-0005-0000-0000-0000F5070000}"/>
    <cellStyle name="Calculation 2 2 5 3 3 2 3 2" xfId="10237" xr:uid="{00000000-0005-0000-0000-0000F6070000}"/>
    <cellStyle name="Calculation 2 2 5 3 3 2 4" xfId="5803" xr:uid="{00000000-0005-0000-0000-0000F7070000}"/>
    <cellStyle name="Calculation 2 2 5 3 3 2 4 2" xfId="11633" xr:uid="{00000000-0005-0000-0000-0000F8070000}"/>
    <cellStyle name="Calculation 2 2 5 3 3 2 5" xfId="7298" xr:uid="{00000000-0005-0000-0000-0000F9070000}"/>
    <cellStyle name="Calculation 2 2 5 3 3 3" xfId="2257" xr:uid="{00000000-0005-0000-0000-0000FA070000}"/>
    <cellStyle name="Calculation 2 2 5 3 3 3 2" xfId="8087" xr:uid="{00000000-0005-0000-0000-0000FB070000}"/>
    <cellStyle name="Calculation 2 2 5 3 3 4" xfId="3683" xr:uid="{00000000-0005-0000-0000-0000FC070000}"/>
    <cellStyle name="Calculation 2 2 5 3 3 4 2" xfId="9513" xr:uid="{00000000-0005-0000-0000-0000FD070000}"/>
    <cellStyle name="Calculation 2 2 5 3 3 5" xfId="5079" xr:uid="{00000000-0005-0000-0000-0000FE070000}"/>
    <cellStyle name="Calculation 2 2 5 3 3 5 2" xfId="10909" xr:uid="{00000000-0005-0000-0000-0000FF070000}"/>
    <cellStyle name="Calculation 2 2 5 3 3 6" xfId="6574" xr:uid="{00000000-0005-0000-0000-000000080000}"/>
    <cellStyle name="Calculation 2 2 5 3 4" xfId="981" xr:uid="{00000000-0005-0000-0000-000001080000}"/>
    <cellStyle name="Calculation 2 2 5 3 4 2" xfId="2501" xr:uid="{00000000-0005-0000-0000-000002080000}"/>
    <cellStyle name="Calculation 2 2 5 3 4 2 2" xfId="8331" xr:uid="{00000000-0005-0000-0000-000003080000}"/>
    <cellStyle name="Calculation 2 2 5 3 4 3" xfId="3927" xr:uid="{00000000-0005-0000-0000-000004080000}"/>
    <cellStyle name="Calculation 2 2 5 3 4 3 2" xfId="9757" xr:uid="{00000000-0005-0000-0000-000005080000}"/>
    <cellStyle name="Calculation 2 2 5 3 4 4" xfId="5323" xr:uid="{00000000-0005-0000-0000-000006080000}"/>
    <cellStyle name="Calculation 2 2 5 3 4 4 2" xfId="11153" xr:uid="{00000000-0005-0000-0000-000007080000}"/>
    <cellStyle name="Calculation 2 2 5 3 4 5" xfId="6818" xr:uid="{00000000-0005-0000-0000-000008080000}"/>
    <cellStyle name="Calculation 2 2 5 3 5" xfId="1755" xr:uid="{00000000-0005-0000-0000-000009080000}"/>
    <cellStyle name="Calculation 2 2 5 3 5 2" xfId="7585" xr:uid="{00000000-0005-0000-0000-00000A080000}"/>
    <cellStyle name="Calculation 2 2 5 3 6" xfId="3186" xr:uid="{00000000-0005-0000-0000-00000B080000}"/>
    <cellStyle name="Calculation 2 2 5 3 6 2" xfId="9016" xr:uid="{00000000-0005-0000-0000-00000C080000}"/>
    <cellStyle name="Calculation 2 2 5 3 7" xfId="4598" xr:uid="{00000000-0005-0000-0000-00000D080000}"/>
    <cellStyle name="Calculation 2 2 5 3 7 2" xfId="10428" xr:uid="{00000000-0005-0000-0000-00000E080000}"/>
    <cellStyle name="Calculation 2 2 5 3 8" xfId="6093" xr:uid="{00000000-0005-0000-0000-00000F080000}"/>
    <cellStyle name="Calculation 2 2 5 4" xfId="294" xr:uid="{00000000-0005-0000-0000-000010080000}"/>
    <cellStyle name="Calculation 2 2 5 4 2" xfId="573" xr:uid="{00000000-0005-0000-0000-000011080000}"/>
    <cellStyle name="Calculation 2 2 5 4 2 2" xfId="1308" xr:uid="{00000000-0005-0000-0000-000012080000}"/>
    <cellStyle name="Calculation 2 2 5 4 2 2 2" xfId="2824" xr:uid="{00000000-0005-0000-0000-000013080000}"/>
    <cellStyle name="Calculation 2 2 5 4 2 2 2 2" xfId="8654" xr:uid="{00000000-0005-0000-0000-000014080000}"/>
    <cellStyle name="Calculation 2 2 5 4 2 2 3" xfId="4247" xr:uid="{00000000-0005-0000-0000-000015080000}"/>
    <cellStyle name="Calculation 2 2 5 4 2 2 3 2" xfId="10077" xr:uid="{00000000-0005-0000-0000-000016080000}"/>
    <cellStyle name="Calculation 2 2 5 4 2 2 4" xfId="5643" xr:uid="{00000000-0005-0000-0000-000017080000}"/>
    <cellStyle name="Calculation 2 2 5 4 2 2 4 2" xfId="11473" xr:uid="{00000000-0005-0000-0000-000018080000}"/>
    <cellStyle name="Calculation 2 2 5 4 2 2 5" xfId="7138" xr:uid="{00000000-0005-0000-0000-000019080000}"/>
    <cellStyle name="Calculation 2 2 5 4 2 3" xfId="2095" xr:uid="{00000000-0005-0000-0000-00001A080000}"/>
    <cellStyle name="Calculation 2 2 5 4 2 3 2" xfId="7925" xr:uid="{00000000-0005-0000-0000-00001B080000}"/>
    <cellStyle name="Calculation 2 2 5 4 2 4" xfId="3522" xr:uid="{00000000-0005-0000-0000-00001C080000}"/>
    <cellStyle name="Calculation 2 2 5 4 2 4 2" xfId="9352" xr:uid="{00000000-0005-0000-0000-00001D080000}"/>
    <cellStyle name="Calculation 2 2 5 4 2 5" xfId="4919" xr:uid="{00000000-0005-0000-0000-00001E080000}"/>
    <cellStyle name="Calculation 2 2 5 4 2 5 2" xfId="10749" xr:uid="{00000000-0005-0000-0000-00001F080000}"/>
    <cellStyle name="Calculation 2 2 5 4 2 6" xfId="6414" xr:uid="{00000000-0005-0000-0000-000020080000}"/>
    <cellStyle name="Calculation 2 2 5 4 3" xfId="817" xr:uid="{00000000-0005-0000-0000-000021080000}"/>
    <cellStyle name="Calculation 2 2 5 4 3 2" xfId="1548" xr:uid="{00000000-0005-0000-0000-000022080000}"/>
    <cellStyle name="Calculation 2 2 5 4 3 2 2" xfId="3064" xr:uid="{00000000-0005-0000-0000-000023080000}"/>
    <cellStyle name="Calculation 2 2 5 4 3 2 2 2" xfId="8894" xr:uid="{00000000-0005-0000-0000-000024080000}"/>
    <cellStyle name="Calculation 2 2 5 4 3 2 3" xfId="4487" xr:uid="{00000000-0005-0000-0000-000025080000}"/>
    <cellStyle name="Calculation 2 2 5 4 3 2 3 2" xfId="10317" xr:uid="{00000000-0005-0000-0000-000026080000}"/>
    <cellStyle name="Calculation 2 2 5 4 3 2 4" xfId="5883" xr:uid="{00000000-0005-0000-0000-000027080000}"/>
    <cellStyle name="Calculation 2 2 5 4 3 2 4 2" xfId="11713" xr:uid="{00000000-0005-0000-0000-000028080000}"/>
    <cellStyle name="Calculation 2 2 5 4 3 2 5" xfId="7378" xr:uid="{00000000-0005-0000-0000-000029080000}"/>
    <cellStyle name="Calculation 2 2 5 4 3 3" xfId="2337" xr:uid="{00000000-0005-0000-0000-00002A080000}"/>
    <cellStyle name="Calculation 2 2 5 4 3 3 2" xfId="8167" xr:uid="{00000000-0005-0000-0000-00002B080000}"/>
    <cellStyle name="Calculation 2 2 5 4 3 4" xfId="3763" xr:uid="{00000000-0005-0000-0000-00002C080000}"/>
    <cellStyle name="Calculation 2 2 5 4 3 4 2" xfId="9593" xr:uid="{00000000-0005-0000-0000-00002D080000}"/>
    <cellStyle name="Calculation 2 2 5 4 3 5" xfId="5159" xr:uid="{00000000-0005-0000-0000-00002E080000}"/>
    <cellStyle name="Calculation 2 2 5 4 3 5 2" xfId="10989" xr:uid="{00000000-0005-0000-0000-00002F080000}"/>
    <cellStyle name="Calculation 2 2 5 4 3 6" xfId="6654" xr:uid="{00000000-0005-0000-0000-000030080000}"/>
    <cellStyle name="Calculation 2 2 5 4 4" xfId="1061" xr:uid="{00000000-0005-0000-0000-000031080000}"/>
    <cellStyle name="Calculation 2 2 5 4 4 2" xfId="2581" xr:uid="{00000000-0005-0000-0000-000032080000}"/>
    <cellStyle name="Calculation 2 2 5 4 4 2 2" xfId="8411" xr:uid="{00000000-0005-0000-0000-000033080000}"/>
    <cellStyle name="Calculation 2 2 5 4 4 3" xfId="4007" xr:uid="{00000000-0005-0000-0000-000034080000}"/>
    <cellStyle name="Calculation 2 2 5 4 4 3 2" xfId="9837" xr:uid="{00000000-0005-0000-0000-000035080000}"/>
    <cellStyle name="Calculation 2 2 5 4 4 4" xfId="5403" xr:uid="{00000000-0005-0000-0000-000036080000}"/>
    <cellStyle name="Calculation 2 2 5 4 4 4 2" xfId="11233" xr:uid="{00000000-0005-0000-0000-000037080000}"/>
    <cellStyle name="Calculation 2 2 5 4 4 5" xfId="6898" xr:uid="{00000000-0005-0000-0000-000038080000}"/>
    <cellStyle name="Calculation 2 2 5 4 5" xfId="1835" xr:uid="{00000000-0005-0000-0000-000039080000}"/>
    <cellStyle name="Calculation 2 2 5 4 5 2" xfId="7665" xr:uid="{00000000-0005-0000-0000-00003A080000}"/>
    <cellStyle name="Calculation 2 2 5 4 6" xfId="3266" xr:uid="{00000000-0005-0000-0000-00003B080000}"/>
    <cellStyle name="Calculation 2 2 5 4 6 2" xfId="9096" xr:uid="{00000000-0005-0000-0000-00003C080000}"/>
    <cellStyle name="Calculation 2 2 5 4 7" xfId="4678" xr:uid="{00000000-0005-0000-0000-00003D080000}"/>
    <cellStyle name="Calculation 2 2 5 4 7 2" xfId="10508" xr:uid="{00000000-0005-0000-0000-00003E080000}"/>
    <cellStyle name="Calculation 2 2 5 4 8" xfId="6173" xr:uid="{00000000-0005-0000-0000-00003F080000}"/>
    <cellStyle name="Calculation 2 2 5 5" xfId="413" xr:uid="{00000000-0005-0000-0000-000040080000}"/>
    <cellStyle name="Calculation 2 2 5 5 2" xfId="1148" xr:uid="{00000000-0005-0000-0000-000041080000}"/>
    <cellStyle name="Calculation 2 2 5 5 2 2" xfId="2664" xr:uid="{00000000-0005-0000-0000-000042080000}"/>
    <cellStyle name="Calculation 2 2 5 5 2 2 2" xfId="8494" xr:uid="{00000000-0005-0000-0000-000043080000}"/>
    <cellStyle name="Calculation 2 2 5 5 2 3" xfId="4087" xr:uid="{00000000-0005-0000-0000-000044080000}"/>
    <cellStyle name="Calculation 2 2 5 5 2 3 2" xfId="9917" xr:uid="{00000000-0005-0000-0000-000045080000}"/>
    <cellStyle name="Calculation 2 2 5 5 2 4" xfId="5483" xr:uid="{00000000-0005-0000-0000-000046080000}"/>
    <cellStyle name="Calculation 2 2 5 5 2 4 2" xfId="11313" xr:uid="{00000000-0005-0000-0000-000047080000}"/>
    <cellStyle name="Calculation 2 2 5 5 2 5" xfId="6978" xr:uid="{00000000-0005-0000-0000-000048080000}"/>
    <cellStyle name="Calculation 2 2 5 5 3" xfId="1935" xr:uid="{00000000-0005-0000-0000-000049080000}"/>
    <cellStyle name="Calculation 2 2 5 5 3 2" xfId="7765" xr:uid="{00000000-0005-0000-0000-00004A080000}"/>
    <cellStyle name="Calculation 2 2 5 5 4" xfId="3362" xr:uid="{00000000-0005-0000-0000-00004B080000}"/>
    <cellStyle name="Calculation 2 2 5 5 4 2" xfId="9192" xr:uid="{00000000-0005-0000-0000-00004C080000}"/>
    <cellStyle name="Calculation 2 2 5 5 5" xfId="4759" xr:uid="{00000000-0005-0000-0000-00004D080000}"/>
    <cellStyle name="Calculation 2 2 5 5 5 2" xfId="10589" xr:uid="{00000000-0005-0000-0000-00004E080000}"/>
    <cellStyle name="Calculation 2 2 5 5 6" xfId="6254" xr:uid="{00000000-0005-0000-0000-00004F080000}"/>
    <cellStyle name="Calculation 2 2 5 6" xfId="657" xr:uid="{00000000-0005-0000-0000-000050080000}"/>
    <cellStyle name="Calculation 2 2 5 6 2" xfId="1388" xr:uid="{00000000-0005-0000-0000-000051080000}"/>
    <cellStyle name="Calculation 2 2 5 6 2 2" xfId="2904" xr:uid="{00000000-0005-0000-0000-000052080000}"/>
    <cellStyle name="Calculation 2 2 5 6 2 2 2" xfId="8734" xr:uid="{00000000-0005-0000-0000-000053080000}"/>
    <cellStyle name="Calculation 2 2 5 6 2 3" xfId="4327" xr:uid="{00000000-0005-0000-0000-000054080000}"/>
    <cellStyle name="Calculation 2 2 5 6 2 3 2" xfId="10157" xr:uid="{00000000-0005-0000-0000-000055080000}"/>
    <cellStyle name="Calculation 2 2 5 6 2 4" xfId="5723" xr:uid="{00000000-0005-0000-0000-000056080000}"/>
    <cellStyle name="Calculation 2 2 5 6 2 4 2" xfId="11553" xr:uid="{00000000-0005-0000-0000-000057080000}"/>
    <cellStyle name="Calculation 2 2 5 6 2 5" xfId="7218" xr:uid="{00000000-0005-0000-0000-000058080000}"/>
    <cellStyle name="Calculation 2 2 5 6 3" xfId="2177" xr:uid="{00000000-0005-0000-0000-000059080000}"/>
    <cellStyle name="Calculation 2 2 5 6 3 2" xfId="8007" xr:uid="{00000000-0005-0000-0000-00005A080000}"/>
    <cellStyle name="Calculation 2 2 5 6 4" xfId="3603" xr:uid="{00000000-0005-0000-0000-00005B080000}"/>
    <cellStyle name="Calculation 2 2 5 6 4 2" xfId="9433" xr:uid="{00000000-0005-0000-0000-00005C080000}"/>
    <cellStyle name="Calculation 2 2 5 6 5" xfId="4999" xr:uid="{00000000-0005-0000-0000-00005D080000}"/>
    <cellStyle name="Calculation 2 2 5 6 5 2" xfId="10829" xr:uid="{00000000-0005-0000-0000-00005E080000}"/>
    <cellStyle name="Calculation 2 2 5 6 6" xfId="6494" xr:uid="{00000000-0005-0000-0000-00005F080000}"/>
    <cellStyle name="Calculation 2 2 5 7" xfId="901" xr:uid="{00000000-0005-0000-0000-000060080000}"/>
    <cellStyle name="Calculation 2 2 5 7 2" xfId="2421" xr:uid="{00000000-0005-0000-0000-000061080000}"/>
    <cellStyle name="Calculation 2 2 5 7 2 2" xfId="8251" xr:uid="{00000000-0005-0000-0000-000062080000}"/>
    <cellStyle name="Calculation 2 2 5 7 3" xfId="3847" xr:uid="{00000000-0005-0000-0000-000063080000}"/>
    <cellStyle name="Calculation 2 2 5 7 3 2" xfId="9677" xr:uid="{00000000-0005-0000-0000-000064080000}"/>
    <cellStyle name="Calculation 2 2 5 7 4" xfId="5243" xr:uid="{00000000-0005-0000-0000-000065080000}"/>
    <cellStyle name="Calculation 2 2 5 7 4 2" xfId="11073" xr:uid="{00000000-0005-0000-0000-000066080000}"/>
    <cellStyle name="Calculation 2 2 5 7 5" xfId="6738" xr:uid="{00000000-0005-0000-0000-000067080000}"/>
    <cellStyle name="Calculation 2 2 5 8" xfId="1675" xr:uid="{00000000-0005-0000-0000-000068080000}"/>
    <cellStyle name="Calculation 2 2 5 8 2" xfId="7505" xr:uid="{00000000-0005-0000-0000-000069080000}"/>
    <cellStyle name="Calculation 2 2 5 9" xfId="1623" xr:uid="{00000000-0005-0000-0000-00006A080000}"/>
    <cellStyle name="Calculation 2 2 5 9 2" xfId="7453" xr:uid="{00000000-0005-0000-0000-00006B080000}"/>
    <cellStyle name="Calculation 2 2 6" xfId="153" xr:uid="{00000000-0005-0000-0000-00006C080000}"/>
    <cellStyle name="Calculation 2 2 6 10" xfId="6033" xr:uid="{00000000-0005-0000-0000-00006D080000}"/>
    <cellStyle name="Calculation 2 2 6 2" xfId="234" xr:uid="{00000000-0005-0000-0000-00006E080000}"/>
    <cellStyle name="Calculation 2 2 6 2 2" xfId="513" xr:uid="{00000000-0005-0000-0000-00006F080000}"/>
    <cellStyle name="Calculation 2 2 6 2 2 2" xfId="1248" xr:uid="{00000000-0005-0000-0000-000070080000}"/>
    <cellStyle name="Calculation 2 2 6 2 2 2 2" xfId="2764" xr:uid="{00000000-0005-0000-0000-000071080000}"/>
    <cellStyle name="Calculation 2 2 6 2 2 2 2 2" xfId="8594" xr:uid="{00000000-0005-0000-0000-000072080000}"/>
    <cellStyle name="Calculation 2 2 6 2 2 2 3" xfId="4187" xr:uid="{00000000-0005-0000-0000-000073080000}"/>
    <cellStyle name="Calculation 2 2 6 2 2 2 3 2" xfId="10017" xr:uid="{00000000-0005-0000-0000-000074080000}"/>
    <cellStyle name="Calculation 2 2 6 2 2 2 4" xfId="5583" xr:uid="{00000000-0005-0000-0000-000075080000}"/>
    <cellStyle name="Calculation 2 2 6 2 2 2 4 2" xfId="11413" xr:uid="{00000000-0005-0000-0000-000076080000}"/>
    <cellStyle name="Calculation 2 2 6 2 2 2 5" xfId="7078" xr:uid="{00000000-0005-0000-0000-000077080000}"/>
    <cellStyle name="Calculation 2 2 6 2 2 3" xfId="2035" xr:uid="{00000000-0005-0000-0000-000078080000}"/>
    <cellStyle name="Calculation 2 2 6 2 2 3 2" xfId="7865" xr:uid="{00000000-0005-0000-0000-000079080000}"/>
    <cellStyle name="Calculation 2 2 6 2 2 4" xfId="3462" xr:uid="{00000000-0005-0000-0000-00007A080000}"/>
    <cellStyle name="Calculation 2 2 6 2 2 4 2" xfId="9292" xr:uid="{00000000-0005-0000-0000-00007B080000}"/>
    <cellStyle name="Calculation 2 2 6 2 2 5" xfId="4859" xr:uid="{00000000-0005-0000-0000-00007C080000}"/>
    <cellStyle name="Calculation 2 2 6 2 2 5 2" xfId="10689" xr:uid="{00000000-0005-0000-0000-00007D080000}"/>
    <cellStyle name="Calculation 2 2 6 2 2 6" xfId="6354" xr:uid="{00000000-0005-0000-0000-00007E080000}"/>
    <cellStyle name="Calculation 2 2 6 2 3" xfId="757" xr:uid="{00000000-0005-0000-0000-00007F080000}"/>
    <cellStyle name="Calculation 2 2 6 2 3 2" xfId="1488" xr:uid="{00000000-0005-0000-0000-000080080000}"/>
    <cellStyle name="Calculation 2 2 6 2 3 2 2" xfId="3004" xr:uid="{00000000-0005-0000-0000-000081080000}"/>
    <cellStyle name="Calculation 2 2 6 2 3 2 2 2" xfId="8834" xr:uid="{00000000-0005-0000-0000-000082080000}"/>
    <cellStyle name="Calculation 2 2 6 2 3 2 3" xfId="4427" xr:uid="{00000000-0005-0000-0000-000083080000}"/>
    <cellStyle name="Calculation 2 2 6 2 3 2 3 2" xfId="10257" xr:uid="{00000000-0005-0000-0000-000084080000}"/>
    <cellStyle name="Calculation 2 2 6 2 3 2 4" xfId="5823" xr:uid="{00000000-0005-0000-0000-000085080000}"/>
    <cellStyle name="Calculation 2 2 6 2 3 2 4 2" xfId="11653" xr:uid="{00000000-0005-0000-0000-000086080000}"/>
    <cellStyle name="Calculation 2 2 6 2 3 2 5" xfId="7318" xr:uid="{00000000-0005-0000-0000-000087080000}"/>
    <cellStyle name="Calculation 2 2 6 2 3 3" xfId="2277" xr:uid="{00000000-0005-0000-0000-000088080000}"/>
    <cellStyle name="Calculation 2 2 6 2 3 3 2" xfId="8107" xr:uid="{00000000-0005-0000-0000-000089080000}"/>
    <cellStyle name="Calculation 2 2 6 2 3 4" xfId="3703" xr:uid="{00000000-0005-0000-0000-00008A080000}"/>
    <cellStyle name="Calculation 2 2 6 2 3 4 2" xfId="9533" xr:uid="{00000000-0005-0000-0000-00008B080000}"/>
    <cellStyle name="Calculation 2 2 6 2 3 5" xfId="5099" xr:uid="{00000000-0005-0000-0000-00008C080000}"/>
    <cellStyle name="Calculation 2 2 6 2 3 5 2" xfId="10929" xr:uid="{00000000-0005-0000-0000-00008D080000}"/>
    <cellStyle name="Calculation 2 2 6 2 3 6" xfId="6594" xr:uid="{00000000-0005-0000-0000-00008E080000}"/>
    <cellStyle name="Calculation 2 2 6 2 4" xfId="1001" xr:uid="{00000000-0005-0000-0000-00008F080000}"/>
    <cellStyle name="Calculation 2 2 6 2 4 2" xfId="2521" xr:uid="{00000000-0005-0000-0000-000090080000}"/>
    <cellStyle name="Calculation 2 2 6 2 4 2 2" xfId="8351" xr:uid="{00000000-0005-0000-0000-000091080000}"/>
    <cellStyle name="Calculation 2 2 6 2 4 3" xfId="3947" xr:uid="{00000000-0005-0000-0000-000092080000}"/>
    <cellStyle name="Calculation 2 2 6 2 4 3 2" xfId="9777" xr:uid="{00000000-0005-0000-0000-000093080000}"/>
    <cellStyle name="Calculation 2 2 6 2 4 4" xfId="5343" xr:uid="{00000000-0005-0000-0000-000094080000}"/>
    <cellStyle name="Calculation 2 2 6 2 4 4 2" xfId="11173" xr:uid="{00000000-0005-0000-0000-000095080000}"/>
    <cellStyle name="Calculation 2 2 6 2 4 5" xfId="6838" xr:uid="{00000000-0005-0000-0000-000096080000}"/>
    <cellStyle name="Calculation 2 2 6 2 5" xfId="1775" xr:uid="{00000000-0005-0000-0000-000097080000}"/>
    <cellStyle name="Calculation 2 2 6 2 5 2" xfId="7605" xr:uid="{00000000-0005-0000-0000-000098080000}"/>
    <cellStyle name="Calculation 2 2 6 2 6" xfId="3206" xr:uid="{00000000-0005-0000-0000-000099080000}"/>
    <cellStyle name="Calculation 2 2 6 2 6 2" xfId="9036" xr:uid="{00000000-0005-0000-0000-00009A080000}"/>
    <cellStyle name="Calculation 2 2 6 2 7" xfId="4618" xr:uid="{00000000-0005-0000-0000-00009B080000}"/>
    <cellStyle name="Calculation 2 2 6 2 7 2" xfId="10448" xr:uid="{00000000-0005-0000-0000-00009C080000}"/>
    <cellStyle name="Calculation 2 2 6 2 8" xfId="6113" xr:uid="{00000000-0005-0000-0000-00009D080000}"/>
    <cellStyle name="Calculation 2 2 6 3" xfId="314" xr:uid="{00000000-0005-0000-0000-00009E080000}"/>
    <cellStyle name="Calculation 2 2 6 3 2" xfId="593" xr:uid="{00000000-0005-0000-0000-00009F080000}"/>
    <cellStyle name="Calculation 2 2 6 3 2 2" xfId="1328" xr:uid="{00000000-0005-0000-0000-0000A0080000}"/>
    <cellStyle name="Calculation 2 2 6 3 2 2 2" xfId="2844" xr:uid="{00000000-0005-0000-0000-0000A1080000}"/>
    <cellStyle name="Calculation 2 2 6 3 2 2 2 2" xfId="8674" xr:uid="{00000000-0005-0000-0000-0000A2080000}"/>
    <cellStyle name="Calculation 2 2 6 3 2 2 3" xfId="4267" xr:uid="{00000000-0005-0000-0000-0000A3080000}"/>
    <cellStyle name="Calculation 2 2 6 3 2 2 3 2" xfId="10097" xr:uid="{00000000-0005-0000-0000-0000A4080000}"/>
    <cellStyle name="Calculation 2 2 6 3 2 2 4" xfId="5663" xr:uid="{00000000-0005-0000-0000-0000A5080000}"/>
    <cellStyle name="Calculation 2 2 6 3 2 2 4 2" xfId="11493" xr:uid="{00000000-0005-0000-0000-0000A6080000}"/>
    <cellStyle name="Calculation 2 2 6 3 2 2 5" xfId="7158" xr:uid="{00000000-0005-0000-0000-0000A7080000}"/>
    <cellStyle name="Calculation 2 2 6 3 2 3" xfId="2115" xr:uid="{00000000-0005-0000-0000-0000A8080000}"/>
    <cellStyle name="Calculation 2 2 6 3 2 3 2" xfId="7945" xr:uid="{00000000-0005-0000-0000-0000A9080000}"/>
    <cellStyle name="Calculation 2 2 6 3 2 4" xfId="3542" xr:uid="{00000000-0005-0000-0000-0000AA080000}"/>
    <cellStyle name="Calculation 2 2 6 3 2 4 2" xfId="9372" xr:uid="{00000000-0005-0000-0000-0000AB080000}"/>
    <cellStyle name="Calculation 2 2 6 3 2 5" xfId="4939" xr:uid="{00000000-0005-0000-0000-0000AC080000}"/>
    <cellStyle name="Calculation 2 2 6 3 2 5 2" xfId="10769" xr:uid="{00000000-0005-0000-0000-0000AD080000}"/>
    <cellStyle name="Calculation 2 2 6 3 2 6" xfId="6434" xr:uid="{00000000-0005-0000-0000-0000AE080000}"/>
    <cellStyle name="Calculation 2 2 6 3 3" xfId="837" xr:uid="{00000000-0005-0000-0000-0000AF080000}"/>
    <cellStyle name="Calculation 2 2 6 3 3 2" xfId="1568" xr:uid="{00000000-0005-0000-0000-0000B0080000}"/>
    <cellStyle name="Calculation 2 2 6 3 3 2 2" xfId="3084" xr:uid="{00000000-0005-0000-0000-0000B1080000}"/>
    <cellStyle name="Calculation 2 2 6 3 3 2 2 2" xfId="8914" xr:uid="{00000000-0005-0000-0000-0000B2080000}"/>
    <cellStyle name="Calculation 2 2 6 3 3 2 3" xfId="4507" xr:uid="{00000000-0005-0000-0000-0000B3080000}"/>
    <cellStyle name="Calculation 2 2 6 3 3 2 3 2" xfId="10337" xr:uid="{00000000-0005-0000-0000-0000B4080000}"/>
    <cellStyle name="Calculation 2 2 6 3 3 2 4" xfId="5903" xr:uid="{00000000-0005-0000-0000-0000B5080000}"/>
    <cellStyle name="Calculation 2 2 6 3 3 2 4 2" xfId="11733" xr:uid="{00000000-0005-0000-0000-0000B6080000}"/>
    <cellStyle name="Calculation 2 2 6 3 3 2 5" xfId="7398" xr:uid="{00000000-0005-0000-0000-0000B7080000}"/>
    <cellStyle name="Calculation 2 2 6 3 3 3" xfId="2357" xr:uid="{00000000-0005-0000-0000-0000B8080000}"/>
    <cellStyle name="Calculation 2 2 6 3 3 3 2" xfId="8187" xr:uid="{00000000-0005-0000-0000-0000B9080000}"/>
    <cellStyle name="Calculation 2 2 6 3 3 4" xfId="3783" xr:uid="{00000000-0005-0000-0000-0000BA080000}"/>
    <cellStyle name="Calculation 2 2 6 3 3 4 2" xfId="9613" xr:uid="{00000000-0005-0000-0000-0000BB080000}"/>
    <cellStyle name="Calculation 2 2 6 3 3 5" xfId="5179" xr:uid="{00000000-0005-0000-0000-0000BC080000}"/>
    <cellStyle name="Calculation 2 2 6 3 3 5 2" xfId="11009" xr:uid="{00000000-0005-0000-0000-0000BD080000}"/>
    <cellStyle name="Calculation 2 2 6 3 3 6" xfId="6674" xr:uid="{00000000-0005-0000-0000-0000BE080000}"/>
    <cellStyle name="Calculation 2 2 6 3 4" xfId="1081" xr:uid="{00000000-0005-0000-0000-0000BF080000}"/>
    <cellStyle name="Calculation 2 2 6 3 4 2" xfId="2601" xr:uid="{00000000-0005-0000-0000-0000C0080000}"/>
    <cellStyle name="Calculation 2 2 6 3 4 2 2" xfId="8431" xr:uid="{00000000-0005-0000-0000-0000C1080000}"/>
    <cellStyle name="Calculation 2 2 6 3 4 3" xfId="4027" xr:uid="{00000000-0005-0000-0000-0000C2080000}"/>
    <cellStyle name="Calculation 2 2 6 3 4 3 2" xfId="9857" xr:uid="{00000000-0005-0000-0000-0000C3080000}"/>
    <cellStyle name="Calculation 2 2 6 3 4 4" xfId="5423" xr:uid="{00000000-0005-0000-0000-0000C4080000}"/>
    <cellStyle name="Calculation 2 2 6 3 4 4 2" xfId="11253" xr:uid="{00000000-0005-0000-0000-0000C5080000}"/>
    <cellStyle name="Calculation 2 2 6 3 4 5" xfId="6918" xr:uid="{00000000-0005-0000-0000-0000C6080000}"/>
    <cellStyle name="Calculation 2 2 6 3 5" xfId="1855" xr:uid="{00000000-0005-0000-0000-0000C7080000}"/>
    <cellStyle name="Calculation 2 2 6 3 5 2" xfId="7685" xr:uid="{00000000-0005-0000-0000-0000C8080000}"/>
    <cellStyle name="Calculation 2 2 6 3 6" xfId="3286" xr:uid="{00000000-0005-0000-0000-0000C9080000}"/>
    <cellStyle name="Calculation 2 2 6 3 6 2" xfId="9116" xr:uid="{00000000-0005-0000-0000-0000CA080000}"/>
    <cellStyle name="Calculation 2 2 6 3 7" xfId="4698" xr:uid="{00000000-0005-0000-0000-0000CB080000}"/>
    <cellStyle name="Calculation 2 2 6 3 7 2" xfId="10528" xr:uid="{00000000-0005-0000-0000-0000CC080000}"/>
    <cellStyle name="Calculation 2 2 6 3 8" xfId="6193" xr:uid="{00000000-0005-0000-0000-0000CD080000}"/>
    <cellStyle name="Calculation 2 2 6 4" xfId="433" xr:uid="{00000000-0005-0000-0000-0000CE080000}"/>
    <cellStyle name="Calculation 2 2 6 4 2" xfId="1168" xr:uid="{00000000-0005-0000-0000-0000CF080000}"/>
    <cellStyle name="Calculation 2 2 6 4 2 2" xfId="2684" xr:uid="{00000000-0005-0000-0000-0000D0080000}"/>
    <cellStyle name="Calculation 2 2 6 4 2 2 2" xfId="8514" xr:uid="{00000000-0005-0000-0000-0000D1080000}"/>
    <cellStyle name="Calculation 2 2 6 4 2 3" xfId="4107" xr:uid="{00000000-0005-0000-0000-0000D2080000}"/>
    <cellStyle name="Calculation 2 2 6 4 2 3 2" xfId="9937" xr:uid="{00000000-0005-0000-0000-0000D3080000}"/>
    <cellStyle name="Calculation 2 2 6 4 2 4" xfId="5503" xr:uid="{00000000-0005-0000-0000-0000D4080000}"/>
    <cellStyle name="Calculation 2 2 6 4 2 4 2" xfId="11333" xr:uid="{00000000-0005-0000-0000-0000D5080000}"/>
    <cellStyle name="Calculation 2 2 6 4 2 5" xfId="6998" xr:uid="{00000000-0005-0000-0000-0000D6080000}"/>
    <cellStyle name="Calculation 2 2 6 4 3" xfId="1955" xr:uid="{00000000-0005-0000-0000-0000D7080000}"/>
    <cellStyle name="Calculation 2 2 6 4 3 2" xfId="7785" xr:uid="{00000000-0005-0000-0000-0000D8080000}"/>
    <cellStyle name="Calculation 2 2 6 4 4" xfId="3382" xr:uid="{00000000-0005-0000-0000-0000D9080000}"/>
    <cellStyle name="Calculation 2 2 6 4 4 2" xfId="9212" xr:uid="{00000000-0005-0000-0000-0000DA080000}"/>
    <cellStyle name="Calculation 2 2 6 4 5" xfId="4779" xr:uid="{00000000-0005-0000-0000-0000DB080000}"/>
    <cellStyle name="Calculation 2 2 6 4 5 2" xfId="10609" xr:uid="{00000000-0005-0000-0000-0000DC080000}"/>
    <cellStyle name="Calculation 2 2 6 4 6" xfId="6274" xr:uid="{00000000-0005-0000-0000-0000DD080000}"/>
    <cellStyle name="Calculation 2 2 6 5" xfId="677" xr:uid="{00000000-0005-0000-0000-0000DE080000}"/>
    <cellStyle name="Calculation 2 2 6 5 2" xfId="1408" xr:uid="{00000000-0005-0000-0000-0000DF080000}"/>
    <cellStyle name="Calculation 2 2 6 5 2 2" xfId="2924" xr:uid="{00000000-0005-0000-0000-0000E0080000}"/>
    <cellStyle name="Calculation 2 2 6 5 2 2 2" xfId="8754" xr:uid="{00000000-0005-0000-0000-0000E1080000}"/>
    <cellStyle name="Calculation 2 2 6 5 2 3" xfId="4347" xr:uid="{00000000-0005-0000-0000-0000E2080000}"/>
    <cellStyle name="Calculation 2 2 6 5 2 3 2" xfId="10177" xr:uid="{00000000-0005-0000-0000-0000E3080000}"/>
    <cellStyle name="Calculation 2 2 6 5 2 4" xfId="5743" xr:uid="{00000000-0005-0000-0000-0000E4080000}"/>
    <cellStyle name="Calculation 2 2 6 5 2 4 2" xfId="11573" xr:uid="{00000000-0005-0000-0000-0000E5080000}"/>
    <cellStyle name="Calculation 2 2 6 5 2 5" xfId="7238" xr:uid="{00000000-0005-0000-0000-0000E6080000}"/>
    <cellStyle name="Calculation 2 2 6 5 3" xfId="2197" xr:uid="{00000000-0005-0000-0000-0000E7080000}"/>
    <cellStyle name="Calculation 2 2 6 5 3 2" xfId="8027" xr:uid="{00000000-0005-0000-0000-0000E8080000}"/>
    <cellStyle name="Calculation 2 2 6 5 4" xfId="3623" xr:uid="{00000000-0005-0000-0000-0000E9080000}"/>
    <cellStyle name="Calculation 2 2 6 5 4 2" xfId="9453" xr:uid="{00000000-0005-0000-0000-0000EA080000}"/>
    <cellStyle name="Calculation 2 2 6 5 5" xfId="5019" xr:uid="{00000000-0005-0000-0000-0000EB080000}"/>
    <cellStyle name="Calculation 2 2 6 5 5 2" xfId="10849" xr:uid="{00000000-0005-0000-0000-0000EC080000}"/>
    <cellStyle name="Calculation 2 2 6 5 6" xfId="6514" xr:uid="{00000000-0005-0000-0000-0000ED080000}"/>
    <cellStyle name="Calculation 2 2 6 6" xfId="921" xr:uid="{00000000-0005-0000-0000-0000EE080000}"/>
    <cellStyle name="Calculation 2 2 6 6 2" xfId="2441" xr:uid="{00000000-0005-0000-0000-0000EF080000}"/>
    <cellStyle name="Calculation 2 2 6 6 2 2" xfId="8271" xr:uid="{00000000-0005-0000-0000-0000F0080000}"/>
    <cellStyle name="Calculation 2 2 6 6 3" xfId="3867" xr:uid="{00000000-0005-0000-0000-0000F1080000}"/>
    <cellStyle name="Calculation 2 2 6 6 3 2" xfId="9697" xr:uid="{00000000-0005-0000-0000-0000F2080000}"/>
    <cellStyle name="Calculation 2 2 6 6 4" xfId="5263" xr:uid="{00000000-0005-0000-0000-0000F3080000}"/>
    <cellStyle name="Calculation 2 2 6 6 4 2" xfId="11093" xr:uid="{00000000-0005-0000-0000-0000F4080000}"/>
    <cellStyle name="Calculation 2 2 6 6 5" xfId="6758" xr:uid="{00000000-0005-0000-0000-0000F5080000}"/>
    <cellStyle name="Calculation 2 2 6 7" xfId="1695" xr:uid="{00000000-0005-0000-0000-0000F6080000}"/>
    <cellStyle name="Calculation 2 2 6 7 2" xfId="7525" xr:uid="{00000000-0005-0000-0000-0000F7080000}"/>
    <cellStyle name="Calculation 2 2 6 8" xfId="3126" xr:uid="{00000000-0005-0000-0000-0000F8080000}"/>
    <cellStyle name="Calculation 2 2 6 8 2" xfId="8956" xr:uid="{00000000-0005-0000-0000-0000F9080000}"/>
    <cellStyle name="Calculation 2 2 6 9" xfId="3329" xr:uid="{00000000-0005-0000-0000-0000FA080000}"/>
    <cellStyle name="Calculation 2 2 6 9 2" xfId="9159" xr:uid="{00000000-0005-0000-0000-0000FB080000}"/>
    <cellStyle name="Calculation 2 2 7" xfId="194" xr:uid="{00000000-0005-0000-0000-0000FC080000}"/>
    <cellStyle name="Calculation 2 2 7 2" xfId="474" xr:uid="{00000000-0005-0000-0000-0000FD080000}"/>
    <cellStyle name="Calculation 2 2 7 2 2" xfId="1209" xr:uid="{00000000-0005-0000-0000-0000FE080000}"/>
    <cellStyle name="Calculation 2 2 7 2 2 2" xfId="2725" xr:uid="{00000000-0005-0000-0000-0000FF080000}"/>
    <cellStyle name="Calculation 2 2 7 2 2 2 2" xfId="8555" xr:uid="{00000000-0005-0000-0000-000000090000}"/>
    <cellStyle name="Calculation 2 2 7 2 2 3" xfId="4148" xr:uid="{00000000-0005-0000-0000-000001090000}"/>
    <cellStyle name="Calculation 2 2 7 2 2 3 2" xfId="9978" xr:uid="{00000000-0005-0000-0000-000002090000}"/>
    <cellStyle name="Calculation 2 2 7 2 2 4" xfId="5544" xr:uid="{00000000-0005-0000-0000-000003090000}"/>
    <cellStyle name="Calculation 2 2 7 2 2 4 2" xfId="11374" xr:uid="{00000000-0005-0000-0000-000004090000}"/>
    <cellStyle name="Calculation 2 2 7 2 2 5" xfId="7039" xr:uid="{00000000-0005-0000-0000-000005090000}"/>
    <cellStyle name="Calculation 2 2 7 2 3" xfId="1996" xr:uid="{00000000-0005-0000-0000-000006090000}"/>
    <cellStyle name="Calculation 2 2 7 2 3 2" xfId="7826" xr:uid="{00000000-0005-0000-0000-000007090000}"/>
    <cellStyle name="Calculation 2 2 7 2 4" xfId="3423" xr:uid="{00000000-0005-0000-0000-000008090000}"/>
    <cellStyle name="Calculation 2 2 7 2 4 2" xfId="9253" xr:uid="{00000000-0005-0000-0000-000009090000}"/>
    <cellStyle name="Calculation 2 2 7 2 5" xfId="4820" xr:uid="{00000000-0005-0000-0000-00000A090000}"/>
    <cellStyle name="Calculation 2 2 7 2 5 2" xfId="10650" xr:uid="{00000000-0005-0000-0000-00000B090000}"/>
    <cellStyle name="Calculation 2 2 7 2 6" xfId="6315" xr:uid="{00000000-0005-0000-0000-00000C090000}"/>
    <cellStyle name="Calculation 2 2 7 3" xfId="718" xr:uid="{00000000-0005-0000-0000-00000D090000}"/>
    <cellStyle name="Calculation 2 2 7 3 2" xfId="1449" xr:uid="{00000000-0005-0000-0000-00000E090000}"/>
    <cellStyle name="Calculation 2 2 7 3 2 2" xfId="2965" xr:uid="{00000000-0005-0000-0000-00000F090000}"/>
    <cellStyle name="Calculation 2 2 7 3 2 2 2" xfId="8795" xr:uid="{00000000-0005-0000-0000-000010090000}"/>
    <cellStyle name="Calculation 2 2 7 3 2 3" xfId="4388" xr:uid="{00000000-0005-0000-0000-000011090000}"/>
    <cellStyle name="Calculation 2 2 7 3 2 3 2" xfId="10218" xr:uid="{00000000-0005-0000-0000-000012090000}"/>
    <cellStyle name="Calculation 2 2 7 3 2 4" xfId="5784" xr:uid="{00000000-0005-0000-0000-000013090000}"/>
    <cellStyle name="Calculation 2 2 7 3 2 4 2" xfId="11614" xr:uid="{00000000-0005-0000-0000-000014090000}"/>
    <cellStyle name="Calculation 2 2 7 3 2 5" xfId="7279" xr:uid="{00000000-0005-0000-0000-000015090000}"/>
    <cellStyle name="Calculation 2 2 7 3 3" xfId="2238" xr:uid="{00000000-0005-0000-0000-000016090000}"/>
    <cellStyle name="Calculation 2 2 7 3 3 2" xfId="8068" xr:uid="{00000000-0005-0000-0000-000017090000}"/>
    <cellStyle name="Calculation 2 2 7 3 4" xfId="3664" xr:uid="{00000000-0005-0000-0000-000018090000}"/>
    <cellStyle name="Calculation 2 2 7 3 4 2" xfId="9494" xr:uid="{00000000-0005-0000-0000-000019090000}"/>
    <cellStyle name="Calculation 2 2 7 3 5" xfId="5060" xr:uid="{00000000-0005-0000-0000-00001A090000}"/>
    <cellStyle name="Calculation 2 2 7 3 5 2" xfId="10890" xr:uid="{00000000-0005-0000-0000-00001B090000}"/>
    <cellStyle name="Calculation 2 2 7 3 6" xfId="6555" xr:uid="{00000000-0005-0000-0000-00001C090000}"/>
    <cellStyle name="Calculation 2 2 7 4" xfId="962" xr:uid="{00000000-0005-0000-0000-00001D090000}"/>
    <cellStyle name="Calculation 2 2 7 4 2" xfId="2482" xr:uid="{00000000-0005-0000-0000-00001E090000}"/>
    <cellStyle name="Calculation 2 2 7 4 2 2" xfId="8312" xr:uid="{00000000-0005-0000-0000-00001F090000}"/>
    <cellStyle name="Calculation 2 2 7 4 3" xfId="3908" xr:uid="{00000000-0005-0000-0000-000020090000}"/>
    <cellStyle name="Calculation 2 2 7 4 3 2" xfId="9738" xr:uid="{00000000-0005-0000-0000-000021090000}"/>
    <cellStyle name="Calculation 2 2 7 4 4" xfId="5304" xr:uid="{00000000-0005-0000-0000-000022090000}"/>
    <cellStyle name="Calculation 2 2 7 4 4 2" xfId="11134" xr:uid="{00000000-0005-0000-0000-000023090000}"/>
    <cellStyle name="Calculation 2 2 7 4 5" xfId="6799" xr:uid="{00000000-0005-0000-0000-000024090000}"/>
    <cellStyle name="Calculation 2 2 7 5" xfId="1736" xr:uid="{00000000-0005-0000-0000-000025090000}"/>
    <cellStyle name="Calculation 2 2 7 5 2" xfId="7566" xr:uid="{00000000-0005-0000-0000-000026090000}"/>
    <cellStyle name="Calculation 2 2 7 6" xfId="3167" xr:uid="{00000000-0005-0000-0000-000027090000}"/>
    <cellStyle name="Calculation 2 2 7 6 2" xfId="8997" xr:uid="{00000000-0005-0000-0000-000028090000}"/>
    <cellStyle name="Calculation 2 2 7 7" xfId="4579" xr:uid="{00000000-0005-0000-0000-000029090000}"/>
    <cellStyle name="Calculation 2 2 7 7 2" xfId="10409" xr:uid="{00000000-0005-0000-0000-00002A090000}"/>
    <cellStyle name="Calculation 2 2 7 8" xfId="6074" xr:uid="{00000000-0005-0000-0000-00002B090000}"/>
    <cellStyle name="Calculation 2 2 8" xfId="274" xr:uid="{00000000-0005-0000-0000-00002C090000}"/>
    <cellStyle name="Calculation 2 2 8 2" xfId="553" xr:uid="{00000000-0005-0000-0000-00002D090000}"/>
    <cellStyle name="Calculation 2 2 8 2 2" xfId="1288" xr:uid="{00000000-0005-0000-0000-00002E090000}"/>
    <cellStyle name="Calculation 2 2 8 2 2 2" xfId="2804" xr:uid="{00000000-0005-0000-0000-00002F090000}"/>
    <cellStyle name="Calculation 2 2 8 2 2 2 2" xfId="8634" xr:uid="{00000000-0005-0000-0000-000030090000}"/>
    <cellStyle name="Calculation 2 2 8 2 2 3" xfId="4227" xr:uid="{00000000-0005-0000-0000-000031090000}"/>
    <cellStyle name="Calculation 2 2 8 2 2 3 2" xfId="10057" xr:uid="{00000000-0005-0000-0000-000032090000}"/>
    <cellStyle name="Calculation 2 2 8 2 2 4" xfId="5623" xr:uid="{00000000-0005-0000-0000-000033090000}"/>
    <cellStyle name="Calculation 2 2 8 2 2 4 2" xfId="11453" xr:uid="{00000000-0005-0000-0000-000034090000}"/>
    <cellStyle name="Calculation 2 2 8 2 2 5" xfId="7118" xr:uid="{00000000-0005-0000-0000-000035090000}"/>
    <cellStyle name="Calculation 2 2 8 2 3" xfId="2075" xr:uid="{00000000-0005-0000-0000-000036090000}"/>
    <cellStyle name="Calculation 2 2 8 2 3 2" xfId="7905" xr:uid="{00000000-0005-0000-0000-000037090000}"/>
    <cellStyle name="Calculation 2 2 8 2 4" xfId="3502" xr:uid="{00000000-0005-0000-0000-000038090000}"/>
    <cellStyle name="Calculation 2 2 8 2 4 2" xfId="9332" xr:uid="{00000000-0005-0000-0000-000039090000}"/>
    <cellStyle name="Calculation 2 2 8 2 5" xfId="4899" xr:uid="{00000000-0005-0000-0000-00003A090000}"/>
    <cellStyle name="Calculation 2 2 8 2 5 2" xfId="10729" xr:uid="{00000000-0005-0000-0000-00003B090000}"/>
    <cellStyle name="Calculation 2 2 8 2 6" xfId="6394" xr:uid="{00000000-0005-0000-0000-00003C090000}"/>
    <cellStyle name="Calculation 2 2 8 3" xfId="797" xr:uid="{00000000-0005-0000-0000-00003D090000}"/>
    <cellStyle name="Calculation 2 2 8 3 2" xfId="1528" xr:uid="{00000000-0005-0000-0000-00003E090000}"/>
    <cellStyle name="Calculation 2 2 8 3 2 2" xfId="3044" xr:uid="{00000000-0005-0000-0000-00003F090000}"/>
    <cellStyle name="Calculation 2 2 8 3 2 2 2" xfId="8874" xr:uid="{00000000-0005-0000-0000-000040090000}"/>
    <cellStyle name="Calculation 2 2 8 3 2 3" xfId="4467" xr:uid="{00000000-0005-0000-0000-000041090000}"/>
    <cellStyle name="Calculation 2 2 8 3 2 3 2" xfId="10297" xr:uid="{00000000-0005-0000-0000-000042090000}"/>
    <cellStyle name="Calculation 2 2 8 3 2 4" xfId="5863" xr:uid="{00000000-0005-0000-0000-000043090000}"/>
    <cellStyle name="Calculation 2 2 8 3 2 4 2" xfId="11693" xr:uid="{00000000-0005-0000-0000-000044090000}"/>
    <cellStyle name="Calculation 2 2 8 3 2 5" xfId="7358" xr:uid="{00000000-0005-0000-0000-000045090000}"/>
    <cellStyle name="Calculation 2 2 8 3 3" xfId="2317" xr:uid="{00000000-0005-0000-0000-000046090000}"/>
    <cellStyle name="Calculation 2 2 8 3 3 2" xfId="8147" xr:uid="{00000000-0005-0000-0000-000047090000}"/>
    <cellStyle name="Calculation 2 2 8 3 4" xfId="3743" xr:uid="{00000000-0005-0000-0000-000048090000}"/>
    <cellStyle name="Calculation 2 2 8 3 4 2" xfId="9573" xr:uid="{00000000-0005-0000-0000-000049090000}"/>
    <cellStyle name="Calculation 2 2 8 3 5" xfId="5139" xr:uid="{00000000-0005-0000-0000-00004A090000}"/>
    <cellStyle name="Calculation 2 2 8 3 5 2" xfId="10969" xr:uid="{00000000-0005-0000-0000-00004B090000}"/>
    <cellStyle name="Calculation 2 2 8 3 6" xfId="6634" xr:uid="{00000000-0005-0000-0000-00004C090000}"/>
    <cellStyle name="Calculation 2 2 8 4" xfId="1041" xr:uid="{00000000-0005-0000-0000-00004D090000}"/>
    <cellStyle name="Calculation 2 2 8 4 2" xfId="2561" xr:uid="{00000000-0005-0000-0000-00004E090000}"/>
    <cellStyle name="Calculation 2 2 8 4 2 2" xfId="8391" xr:uid="{00000000-0005-0000-0000-00004F090000}"/>
    <cellStyle name="Calculation 2 2 8 4 3" xfId="3987" xr:uid="{00000000-0005-0000-0000-000050090000}"/>
    <cellStyle name="Calculation 2 2 8 4 3 2" xfId="9817" xr:uid="{00000000-0005-0000-0000-000051090000}"/>
    <cellStyle name="Calculation 2 2 8 4 4" xfId="5383" xr:uid="{00000000-0005-0000-0000-000052090000}"/>
    <cellStyle name="Calculation 2 2 8 4 4 2" xfId="11213" xr:uid="{00000000-0005-0000-0000-000053090000}"/>
    <cellStyle name="Calculation 2 2 8 4 5" xfId="6878" xr:uid="{00000000-0005-0000-0000-000054090000}"/>
    <cellStyle name="Calculation 2 2 8 5" xfId="1815" xr:uid="{00000000-0005-0000-0000-000055090000}"/>
    <cellStyle name="Calculation 2 2 8 5 2" xfId="7645" xr:uid="{00000000-0005-0000-0000-000056090000}"/>
    <cellStyle name="Calculation 2 2 8 6" xfId="3246" xr:uid="{00000000-0005-0000-0000-000057090000}"/>
    <cellStyle name="Calculation 2 2 8 6 2" xfId="9076" xr:uid="{00000000-0005-0000-0000-000058090000}"/>
    <cellStyle name="Calculation 2 2 8 7" xfId="4658" xr:uid="{00000000-0005-0000-0000-000059090000}"/>
    <cellStyle name="Calculation 2 2 8 7 2" xfId="10488" xr:uid="{00000000-0005-0000-0000-00005A090000}"/>
    <cellStyle name="Calculation 2 2 8 8" xfId="6153" xr:uid="{00000000-0005-0000-0000-00005B090000}"/>
    <cellStyle name="Calculation 2 2 9" xfId="393" xr:uid="{00000000-0005-0000-0000-00005C090000}"/>
    <cellStyle name="Calculation 2 2 9 2" xfId="1128" xr:uid="{00000000-0005-0000-0000-00005D090000}"/>
    <cellStyle name="Calculation 2 2 9 2 2" xfId="2644" xr:uid="{00000000-0005-0000-0000-00005E090000}"/>
    <cellStyle name="Calculation 2 2 9 2 2 2" xfId="8474" xr:uid="{00000000-0005-0000-0000-00005F090000}"/>
    <cellStyle name="Calculation 2 2 9 2 3" xfId="4067" xr:uid="{00000000-0005-0000-0000-000060090000}"/>
    <cellStyle name="Calculation 2 2 9 2 3 2" xfId="9897" xr:uid="{00000000-0005-0000-0000-000061090000}"/>
    <cellStyle name="Calculation 2 2 9 2 4" xfId="5463" xr:uid="{00000000-0005-0000-0000-000062090000}"/>
    <cellStyle name="Calculation 2 2 9 2 4 2" xfId="11293" xr:uid="{00000000-0005-0000-0000-000063090000}"/>
    <cellStyle name="Calculation 2 2 9 2 5" xfId="6958" xr:uid="{00000000-0005-0000-0000-000064090000}"/>
    <cellStyle name="Calculation 2 2 9 3" xfId="1915" xr:uid="{00000000-0005-0000-0000-000065090000}"/>
    <cellStyle name="Calculation 2 2 9 3 2" xfId="7745" xr:uid="{00000000-0005-0000-0000-000066090000}"/>
    <cellStyle name="Calculation 2 2 9 4" xfId="3342" xr:uid="{00000000-0005-0000-0000-000067090000}"/>
    <cellStyle name="Calculation 2 2 9 4 2" xfId="9172" xr:uid="{00000000-0005-0000-0000-000068090000}"/>
    <cellStyle name="Calculation 2 2 9 5" xfId="4739" xr:uid="{00000000-0005-0000-0000-000069090000}"/>
    <cellStyle name="Calculation 2 2 9 5 2" xfId="10569" xr:uid="{00000000-0005-0000-0000-00006A090000}"/>
    <cellStyle name="Calculation 2 2 9 6" xfId="6234" xr:uid="{00000000-0005-0000-0000-00006B090000}"/>
    <cellStyle name="Calculation 2 3" xfId="383" xr:uid="{00000000-0005-0000-0000-00006C090000}"/>
    <cellStyle name="Calculation 2 3 2" xfId="1910" xr:uid="{00000000-0005-0000-0000-00006D090000}"/>
    <cellStyle name="Calculation 2 3 2 2" xfId="7740" xr:uid="{00000000-0005-0000-0000-00006E090000}"/>
    <cellStyle name="Calculation 2 3 3" xfId="3337" xr:uid="{00000000-0005-0000-0000-00006F090000}"/>
    <cellStyle name="Calculation 2 3 3 2" xfId="9167" xr:uid="{00000000-0005-0000-0000-000070090000}"/>
    <cellStyle name="Calculation 2 3 4" xfId="4738" xr:uid="{00000000-0005-0000-0000-000071090000}"/>
    <cellStyle name="Calculation 2 3 4 2" xfId="10568" xr:uid="{00000000-0005-0000-0000-000072090000}"/>
    <cellStyle name="Calculation 2 3 5" xfId="6233" xr:uid="{00000000-0005-0000-0000-000073090000}"/>
    <cellStyle name="Calculation 2 4" xfId="5988" xr:uid="{00000000-0005-0000-0000-000074090000}"/>
    <cellStyle name="Calculation 3" xfId="367" xr:uid="{00000000-0005-0000-0000-000075090000}"/>
    <cellStyle name="Calculation 4" xfId="5957" xr:uid="{00000000-0005-0000-0000-000076090000}"/>
    <cellStyle name="Check Cell" xfId="12" builtinId="23" customBuiltin="1"/>
    <cellStyle name="Check Cell 2" xfId="79" xr:uid="{00000000-0005-0000-0000-000078090000}"/>
    <cellStyle name="Check Cell 3" xfId="378" xr:uid="{00000000-0005-0000-0000-000079090000}"/>
    <cellStyle name="Check Cell 4" xfId="5959" xr:uid="{00000000-0005-0000-0000-00007A090000}"/>
    <cellStyle name="Comma" xfId="11774" builtinId="3"/>
    <cellStyle name="Comma [0]" xfId="11775" builtinId="6"/>
    <cellStyle name="Comma [0] 2" xfId="41" xr:uid="{00000000-0005-0000-0000-00007C090000}"/>
    <cellStyle name="Comma [0] 2 2 2" xfId="42" xr:uid="{00000000-0005-0000-0000-00007D090000}"/>
    <cellStyle name="Comma [0] 3" xfId="81" xr:uid="{00000000-0005-0000-0000-00007E090000}"/>
    <cellStyle name="Comma [0] 4" xfId="43" xr:uid="{00000000-0005-0000-0000-00007F090000}"/>
    <cellStyle name="Comma [0] 5" xfId="1121" xr:uid="{00000000-0005-0000-0000-000080090000}"/>
    <cellStyle name="Comma [0] 6" xfId="1127" xr:uid="{00000000-0005-0000-0000-000081090000}"/>
    <cellStyle name="Comma [0] 7" xfId="11778" xr:uid="{866672AD-5392-4D7D-B06D-D7D34A2DF24B}"/>
    <cellStyle name="Comma 10" xfId="5944" xr:uid="{00000000-0005-0000-0000-000082090000}"/>
    <cellStyle name="Comma 11" xfId="5945" xr:uid="{00000000-0005-0000-0000-000083090000}"/>
    <cellStyle name="Comma 12" xfId="5946" xr:uid="{00000000-0005-0000-0000-000084090000}"/>
    <cellStyle name="Comma 2" xfId="80" xr:uid="{00000000-0005-0000-0000-000085090000}"/>
    <cellStyle name="Comma 2 2" xfId="11773" xr:uid="{00000000-0005-0000-0000-000086090000}"/>
    <cellStyle name="Comma 2 3" xfId="110" xr:uid="{00000000-0005-0000-0000-000087090000}"/>
    <cellStyle name="Comma 3" xfId="97" xr:uid="{00000000-0005-0000-0000-000088090000}"/>
    <cellStyle name="Comma 4" xfId="96" xr:uid="{00000000-0005-0000-0000-000089090000}"/>
    <cellStyle name="Comma 5" xfId="98" xr:uid="{00000000-0005-0000-0000-00008A090000}"/>
    <cellStyle name="Comma 6" xfId="99" xr:uid="{00000000-0005-0000-0000-00008B090000}"/>
    <cellStyle name="Comma 7" xfId="362" xr:uid="{00000000-0005-0000-0000-00008C090000}"/>
    <cellStyle name="Comma 8" xfId="1123" xr:uid="{00000000-0005-0000-0000-00008D090000}"/>
    <cellStyle name="Comma 9" xfId="1126" xr:uid="{00000000-0005-0000-0000-00008E090000}"/>
    <cellStyle name="Comma[0]_LHP- 2013" xfId="44" xr:uid="{00000000-0005-0000-0000-00008F090000}"/>
    <cellStyle name="Explanatory Text" xfId="15" builtinId="53" customBuiltin="1"/>
    <cellStyle name="Explanatory Text 2" xfId="82" xr:uid="{00000000-0005-0000-0000-000091090000}"/>
    <cellStyle name="Explanatory Text 3" xfId="635" xr:uid="{00000000-0005-0000-0000-000092090000}"/>
    <cellStyle name="Explanatory Text 4" xfId="5962" xr:uid="{00000000-0005-0000-0000-000093090000}"/>
    <cellStyle name="Good" xfId="5" builtinId="26" customBuiltin="1"/>
    <cellStyle name="Good 2" xfId="83" xr:uid="{00000000-0005-0000-0000-000095090000}"/>
    <cellStyle name="Good 3" xfId="358" xr:uid="{00000000-0005-0000-0000-000096090000}"/>
    <cellStyle name="Good 4" xfId="5952" xr:uid="{00000000-0005-0000-0000-000097090000}"/>
    <cellStyle name="Heading 1" xfId="1" builtinId="16" customBuiltin="1"/>
    <cellStyle name="Heading 1 2" xfId="84" xr:uid="{00000000-0005-0000-0000-000099090000}"/>
    <cellStyle name="Heading 1 3" xfId="380" xr:uid="{00000000-0005-0000-0000-00009A090000}"/>
    <cellStyle name="Heading 1 4" xfId="5948" xr:uid="{00000000-0005-0000-0000-00009B090000}"/>
    <cellStyle name="Heading 2" xfId="2" builtinId="17" customBuiltin="1"/>
    <cellStyle name="Heading 2 2" xfId="85" xr:uid="{00000000-0005-0000-0000-00009D090000}"/>
    <cellStyle name="Heading 2 3" xfId="387" xr:uid="{00000000-0005-0000-0000-00009E090000}"/>
    <cellStyle name="Heading 2 4" xfId="5949" xr:uid="{00000000-0005-0000-0000-00009F090000}"/>
    <cellStyle name="Heading 3" xfId="3" builtinId="18" customBuiltin="1"/>
    <cellStyle name="Heading 3 2" xfId="86" xr:uid="{00000000-0005-0000-0000-0000A1090000}"/>
    <cellStyle name="Heading 3 3" xfId="360" xr:uid="{00000000-0005-0000-0000-0000A2090000}"/>
    <cellStyle name="Heading 3 4" xfId="5950" xr:uid="{00000000-0005-0000-0000-0000A3090000}"/>
    <cellStyle name="Heading 4" xfId="4" builtinId="19" customBuiltin="1"/>
    <cellStyle name="Heading 4 2" xfId="87" xr:uid="{00000000-0005-0000-0000-0000A5090000}"/>
    <cellStyle name="Heading 4 3" xfId="370" xr:uid="{00000000-0005-0000-0000-0000A6090000}"/>
    <cellStyle name="Heading 4 4" xfId="5951" xr:uid="{00000000-0005-0000-0000-0000A7090000}"/>
    <cellStyle name="Input" xfId="8" builtinId="20" customBuiltin="1"/>
    <cellStyle name="Input 2" xfId="88" xr:uid="{00000000-0005-0000-0000-0000A9090000}"/>
    <cellStyle name="Input 2 2" xfId="113" xr:uid="{00000000-0005-0000-0000-0000AA090000}"/>
    <cellStyle name="Input 2 2 10" xfId="638" xr:uid="{00000000-0005-0000-0000-0000AB090000}"/>
    <cellStyle name="Input 2 2 10 2" xfId="1369" xr:uid="{00000000-0005-0000-0000-0000AC090000}"/>
    <cellStyle name="Input 2 2 10 2 2" xfId="2885" xr:uid="{00000000-0005-0000-0000-0000AD090000}"/>
    <cellStyle name="Input 2 2 10 2 2 2" xfId="8715" xr:uid="{00000000-0005-0000-0000-0000AE090000}"/>
    <cellStyle name="Input 2 2 10 2 3" xfId="4308" xr:uid="{00000000-0005-0000-0000-0000AF090000}"/>
    <cellStyle name="Input 2 2 10 2 3 2" xfId="10138" xr:uid="{00000000-0005-0000-0000-0000B0090000}"/>
    <cellStyle name="Input 2 2 10 2 4" xfId="5704" xr:uid="{00000000-0005-0000-0000-0000B1090000}"/>
    <cellStyle name="Input 2 2 10 2 4 2" xfId="11534" xr:uid="{00000000-0005-0000-0000-0000B2090000}"/>
    <cellStyle name="Input 2 2 10 2 5" xfId="7199" xr:uid="{00000000-0005-0000-0000-0000B3090000}"/>
    <cellStyle name="Input 2 2 10 3" xfId="2158" xr:uid="{00000000-0005-0000-0000-0000B4090000}"/>
    <cellStyle name="Input 2 2 10 3 2" xfId="7988" xr:uid="{00000000-0005-0000-0000-0000B5090000}"/>
    <cellStyle name="Input 2 2 10 4" xfId="3584" xr:uid="{00000000-0005-0000-0000-0000B6090000}"/>
    <cellStyle name="Input 2 2 10 4 2" xfId="9414" xr:uid="{00000000-0005-0000-0000-0000B7090000}"/>
    <cellStyle name="Input 2 2 10 5" xfId="4980" xr:uid="{00000000-0005-0000-0000-0000B8090000}"/>
    <cellStyle name="Input 2 2 10 5 2" xfId="10810" xr:uid="{00000000-0005-0000-0000-0000B9090000}"/>
    <cellStyle name="Input 2 2 10 6" xfId="6475" xr:uid="{00000000-0005-0000-0000-0000BA090000}"/>
    <cellStyle name="Input 2 2 11" xfId="882" xr:uid="{00000000-0005-0000-0000-0000BB090000}"/>
    <cellStyle name="Input 2 2 11 2" xfId="2402" xr:uid="{00000000-0005-0000-0000-0000BC090000}"/>
    <cellStyle name="Input 2 2 11 2 2" xfId="8232" xr:uid="{00000000-0005-0000-0000-0000BD090000}"/>
    <cellStyle name="Input 2 2 11 3" xfId="3828" xr:uid="{00000000-0005-0000-0000-0000BE090000}"/>
    <cellStyle name="Input 2 2 11 3 2" xfId="9658" xr:uid="{00000000-0005-0000-0000-0000BF090000}"/>
    <cellStyle name="Input 2 2 11 4" xfId="5224" xr:uid="{00000000-0005-0000-0000-0000C0090000}"/>
    <cellStyle name="Input 2 2 11 4 2" xfId="11054" xr:uid="{00000000-0005-0000-0000-0000C1090000}"/>
    <cellStyle name="Input 2 2 11 5" xfId="6719" xr:uid="{00000000-0005-0000-0000-0000C2090000}"/>
    <cellStyle name="Input 2 2 12" xfId="1656" xr:uid="{00000000-0005-0000-0000-0000C3090000}"/>
    <cellStyle name="Input 2 2 12 2" xfId="7486" xr:uid="{00000000-0005-0000-0000-0000C4090000}"/>
    <cellStyle name="Input 2 2 13" xfId="1635" xr:uid="{00000000-0005-0000-0000-0000C5090000}"/>
    <cellStyle name="Input 2 2 13 2" xfId="7465" xr:uid="{00000000-0005-0000-0000-0000C6090000}"/>
    <cellStyle name="Input 2 2 14" xfId="1913" xr:uid="{00000000-0005-0000-0000-0000C7090000}"/>
    <cellStyle name="Input 2 2 14 2" xfId="7743" xr:uid="{00000000-0005-0000-0000-0000C8090000}"/>
    <cellStyle name="Input 2 2 15" xfId="5994" xr:uid="{00000000-0005-0000-0000-0000C9090000}"/>
    <cellStyle name="Input 2 2 2" xfId="118" xr:uid="{00000000-0005-0000-0000-0000CA090000}"/>
    <cellStyle name="Input 2 2 2 10" xfId="1633" xr:uid="{00000000-0005-0000-0000-0000CB090000}"/>
    <cellStyle name="Input 2 2 2 10 2" xfId="7463" xr:uid="{00000000-0005-0000-0000-0000CC090000}"/>
    <cellStyle name="Input 2 2 2 11" xfId="3326" xr:uid="{00000000-0005-0000-0000-0000CD090000}"/>
    <cellStyle name="Input 2 2 2 11 2" xfId="9156" xr:uid="{00000000-0005-0000-0000-0000CE090000}"/>
    <cellStyle name="Input 2 2 2 12" xfId="5999" xr:uid="{00000000-0005-0000-0000-0000CF090000}"/>
    <cellStyle name="Input 2 2 2 2" xfId="139" xr:uid="{00000000-0005-0000-0000-0000D0090000}"/>
    <cellStyle name="Input 2 2 2 2 10" xfId="2643" xr:uid="{00000000-0005-0000-0000-0000D1090000}"/>
    <cellStyle name="Input 2 2 2 2 10 2" xfId="8473" xr:uid="{00000000-0005-0000-0000-0000D2090000}"/>
    <cellStyle name="Input 2 2 2 2 11" xfId="6019" xr:uid="{00000000-0005-0000-0000-0000D3090000}"/>
    <cellStyle name="Input 2 2 2 2 2" xfId="179" xr:uid="{00000000-0005-0000-0000-0000D4090000}"/>
    <cellStyle name="Input 2 2 2 2 2 10" xfId="6059" xr:uid="{00000000-0005-0000-0000-0000D5090000}"/>
    <cellStyle name="Input 2 2 2 2 2 2" xfId="260" xr:uid="{00000000-0005-0000-0000-0000D6090000}"/>
    <cellStyle name="Input 2 2 2 2 2 2 2" xfId="539" xr:uid="{00000000-0005-0000-0000-0000D7090000}"/>
    <cellStyle name="Input 2 2 2 2 2 2 2 2" xfId="1274" xr:uid="{00000000-0005-0000-0000-0000D8090000}"/>
    <cellStyle name="Input 2 2 2 2 2 2 2 2 2" xfId="2790" xr:uid="{00000000-0005-0000-0000-0000D9090000}"/>
    <cellStyle name="Input 2 2 2 2 2 2 2 2 2 2" xfId="8620" xr:uid="{00000000-0005-0000-0000-0000DA090000}"/>
    <cellStyle name="Input 2 2 2 2 2 2 2 2 3" xfId="4213" xr:uid="{00000000-0005-0000-0000-0000DB090000}"/>
    <cellStyle name="Input 2 2 2 2 2 2 2 2 3 2" xfId="10043" xr:uid="{00000000-0005-0000-0000-0000DC090000}"/>
    <cellStyle name="Input 2 2 2 2 2 2 2 2 4" xfId="5609" xr:uid="{00000000-0005-0000-0000-0000DD090000}"/>
    <cellStyle name="Input 2 2 2 2 2 2 2 2 4 2" xfId="11439" xr:uid="{00000000-0005-0000-0000-0000DE090000}"/>
    <cellStyle name="Input 2 2 2 2 2 2 2 2 5" xfId="7104" xr:uid="{00000000-0005-0000-0000-0000DF090000}"/>
    <cellStyle name="Input 2 2 2 2 2 2 2 3" xfId="2061" xr:uid="{00000000-0005-0000-0000-0000E0090000}"/>
    <cellStyle name="Input 2 2 2 2 2 2 2 3 2" xfId="7891" xr:uid="{00000000-0005-0000-0000-0000E1090000}"/>
    <cellStyle name="Input 2 2 2 2 2 2 2 4" xfId="3488" xr:uid="{00000000-0005-0000-0000-0000E2090000}"/>
    <cellStyle name="Input 2 2 2 2 2 2 2 4 2" xfId="9318" xr:uid="{00000000-0005-0000-0000-0000E3090000}"/>
    <cellStyle name="Input 2 2 2 2 2 2 2 5" xfId="4885" xr:uid="{00000000-0005-0000-0000-0000E4090000}"/>
    <cellStyle name="Input 2 2 2 2 2 2 2 5 2" xfId="10715" xr:uid="{00000000-0005-0000-0000-0000E5090000}"/>
    <cellStyle name="Input 2 2 2 2 2 2 2 6" xfId="6380" xr:uid="{00000000-0005-0000-0000-0000E6090000}"/>
    <cellStyle name="Input 2 2 2 2 2 2 3" xfId="783" xr:uid="{00000000-0005-0000-0000-0000E7090000}"/>
    <cellStyle name="Input 2 2 2 2 2 2 3 2" xfId="1514" xr:uid="{00000000-0005-0000-0000-0000E8090000}"/>
    <cellStyle name="Input 2 2 2 2 2 2 3 2 2" xfId="3030" xr:uid="{00000000-0005-0000-0000-0000E9090000}"/>
    <cellStyle name="Input 2 2 2 2 2 2 3 2 2 2" xfId="8860" xr:uid="{00000000-0005-0000-0000-0000EA090000}"/>
    <cellStyle name="Input 2 2 2 2 2 2 3 2 3" xfId="4453" xr:uid="{00000000-0005-0000-0000-0000EB090000}"/>
    <cellStyle name="Input 2 2 2 2 2 2 3 2 3 2" xfId="10283" xr:uid="{00000000-0005-0000-0000-0000EC090000}"/>
    <cellStyle name="Input 2 2 2 2 2 2 3 2 4" xfId="5849" xr:uid="{00000000-0005-0000-0000-0000ED090000}"/>
    <cellStyle name="Input 2 2 2 2 2 2 3 2 4 2" xfId="11679" xr:uid="{00000000-0005-0000-0000-0000EE090000}"/>
    <cellStyle name="Input 2 2 2 2 2 2 3 2 5" xfId="7344" xr:uid="{00000000-0005-0000-0000-0000EF090000}"/>
    <cellStyle name="Input 2 2 2 2 2 2 3 3" xfId="2303" xr:uid="{00000000-0005-0000-0000-0000F0090000}"/>
    <cellStyle name="Input 2 2 2 2 2 2 3 3 2" xfId="8133" xr:uid="{00000000-0005-0000-0000-0000F1090000}"/>
    <cellStyle name="Input 2 2 2 2 2 2 3 4" xfId="3729" xr:uid="{00000000-0005-0000-0000-0000F2090000}"/>
    <cellStyle name="Input 2 2 2 2 2 2 3 4 2" xfId="9559" xr:uid="{00000000-0005-0000-0000-0000F3090000}"/>
    <cellStyle name="Input 2 2 2 2 2 2 3 5" xfId="5125" xr:uid="{00000000-0005-0000-0000-0000F4090000}"/>
    <cellStyle name="Input 2 2 2 2 2 2 3 5 2" xfId="10955" xr:uid="{00000000-0005-0000-0000-0000F5090000}"/>
    <cellStyle name="Input 2 2 2 2 2 2 3 6" xfId="6620" xr:uid="{00000000-0005-0000-0000-0000F6090000}"/>
    <cellStyle name="Input 2 2 2 2 2 2 4" xfId="1027" xr:uid="{00000000-0005-0000-0000-0000F7090000}"/>
    <cellStyle name="Input 2 2 2 2 2 2 4 2" xfId="2547" xr:uid="{00000000-0005-0000-0000-0000F8090000}"/>
    <cellStyle name="Input 2 2 2 2 2 2 4 2 2" xfId="8377" xr:uid="{00000000-0005-0000-0000-0000F9090000}"/>
    <cellStyle name="Input 2 2 2 2 2 2 4 3" xfId="3973" xr:uid="{00000000-0005-0000-0000-0000FA090000}"/>
    <cellStyle name="Input 2 2 2 2 2 2 4 3 2" xfId="9803" xr:uid="{00000000-0005-0000-0000-0000FB090000}"/>
    <cellStyle name="Input 2 2 2 2 2 2 4 4" xfId="5369" xr:uid="{00000000-0005-0000-0000-0000FC090000}"/>
    <cellStyle name="Input 2 2 2 2 2 2 4 4 2" xfId="11199" xr:uid="{00000000-0005-0000-0000-0000FD090000}"/>
    <cellStyle name="Input 2 2 2 2 2 2 4 5" xfId="6864" xr:uid="{00000000-0005-0000-0000-0000FE090000}"/>
    <cellStyle name="Input 2 2 2 2 2 2 5" xfId="1801" xr:uid="{00000000-0005-0000-0000-0000FF090000}"/>
    <cellStyle name="Input 2 2 2 2 2 2 5 2" xfId="7631" xr:uid="{00000000-0005-0000-0000-0000000A0000}"/>
    <cellStyle name="Input 2 2 2 2 2 2 6" xfId="3232" xr:uid="{00000000-0005-0000-0000-0000010A0000}"/>
    <cellStyle name="Input 2 2 2 2 2 2 6 2" xfId="9062" xr:uid="{00000000-0005-0000-0000-0000020A0000}"/>
    <cellStyle name="Input 2 2 2 2 2 2 7" xfId="4644" xr:uid="{00000000-0005-0000-0000-0000030A0000}"/>
    <cellStyle name="Input 2 2 2 2 2 2 7 2" xfId="10474" xr:uid="{00000000-0005-0000-0000-0000040A0000}"/>
    <cellStyle name="Input 2 2 2 2 2 2 8" xfId="6139" xr:uid="{00000000-0005-0000-0000-0000050A0000}"/>
    <cellStyle name="Input 2 2 2 2 2 3" xfId="340" xr:uid="{00000000-0005-0000-0000-0000060A0000}"/>
    <cellStyle name="Input 2 2 2 2 2 3 2" xfId="619" xr:uid="{00000000-0005-0000-0000-0000070A0000}"/>
    <cellStyle name="Input 2 2 2 2 2 3 2 2" xfId="1354" xr:uid="{00000000-0005-0000-0000-0000080A0000}"/>
    <cellStyle name="Input 2 2 2 2 2 3 2 2 2" xfId="2870" xr:uid="{00000000-0005-0000-0000-0000090A0000}"/>
    <cellStyle name="Input 2 2 2 2 2 3 2 2 2 2" xfId="8700" xr:uid="{00000000-0005-0000-0000-00000A0A0000}"/>
    <cellStyle name="Input 2 2 2 2 2 3 2 2 3" xfId="4293" xr:uid="{00000000-0005-0000-0000-00000B0A0000}"/>
    <cellStyle name="Input 2 2 2 2 2 3 2 2 3 2" xfId="10123" xr:uid="{00000000-0005-0000-0000-00000C0A0000}"/>
    <cellStyle name="Input 2 2 2 2 2 3 2 2 4" xfId="5689" xr:uid="{00000000-0005-0000-0000-00000D0A0000}"/>
    <cellStyle name="Input 2 2 2 2 2 3 2 2 4 2" xfId="11519" xr:uid="{00000000-0005-0000-0000-00000E0A0000}"/>
    <cellStyle name="Input 2 2 2 2 2 3 2 2 5" xfId="7184" xr:uid="{00000000-0005-0000-0000-00000F0A0000}"/>
    <cellStyle name="Input 2 2 2 2 2 3 2 3" xfId="2141" xr:uid="{00000000-0005-0000-0000-0000100A0000}"/>
    <cellStyle name="Input 2 2 2 2 2 3 2 3 2" xfId="7971" xr:uid="{00000000-0005-0000-0000-0000110A0000}"/>
    <cellStyle name="Input 2 2 2 2 2 3 2 4" xfId="3568" xr:uid="{00000000-0005-0000-0000-0000120A0000}"/>
    <cellStyle name="Input 2 2 2 2 2 3 2 4 2" xfId="9398" xr:uid="{00000000-0005-0000-0000-0000130A0000}"/>
    <cellStyle name="Input 2 2 2 2 2 3 2 5" xfId="4965" xr:uid="{00000000-0005-0000-0000-0000140A0000}"/>
    <cellStyle name="Input 2 2 2 2 2 3 2 5 2" xfId="10795" xr:uid="{00000000-0005-0000-0000-0000150A0000}"/>
    <cellStyle name="Input 2 2 2 2 2 3 2 6" xfId="6460" xr:uid="{00000000-0005-0000-0000-0000160A0000}"/>
    <cellStyle name="Input 2 2 2 2 2 3 3" xfId="863" xr:uid="{00000000-0005-0000-0000-0000170A0000}"/>
    <cellStyle name="Input 2 2 2 2 2 3 3 2" xfId="1594" xr:uid="{00000000-0005-0000-0000-0000180A0000}"/>
    <cellStyle name="Input 2 2 2 2 2 3 3 2 2" xfId="3110" xr:uid="{00000000-0005-0000-0000-0000190A0000}"/>
    <cellStyle name="Input 2 2 2 2 2 3 3 2 2 2" xfId="8940" xr:uid="{00000000-0005-0000-0000-00001A0A0000}"/>
    <cellStyle name="Input 2 2 2 2 2 3 3 2 3" xfId="4533" xr:uid="{00000000-0005-0000-0000-00001B0A0000}"/>
    <cellStyle name="Input 2 2 2 2 2 3 3 2 3 2" xfId="10363" xr:uid="{00000000-0005-0000-0000-00001C0A0000}"/>
    <cellStyle name="Input 2 2 2 2 2 3 3 2 4" xfId="5929" xr:uid="{00000000-0005-0000-0000-00001D0A0000}"/>
    <cellStyle name="Input 2 2 2 2 2 3 3 2 4 2" xfId="11759" xr:uid="{00000000-0005-0000-0000-00001E0A0000}"/>
    <cellStyle name="Input 2 2 2 2 2 3 3 2 5" xfId="7424" xr:uid="{00000000-0005-0000-0000-00001F0A0000}"/>
    <cellStyle name="Input 2 2 2 2 2 3 3 3" xfId="2383" xr:uid="{00000000-0005-0000-0000-0000200A0000}"/>
    <cellStyle name="Input 2 2 2 2 2 3 3 3 2" xfId="8213" xr:uid="{00000000-0005-0000-0000-0000210A0000}"/>
    <cellStyle name="Input 2 2 2 2 2 3 3 4" xfId="3809" xr:uid="{00000000-0005-0000-0000-0000220A0000}"/>
    <cellStyle name="Input 2 2 2 2 2 3 3 4 2" xfId="9639" xr:uid="{00000000-0005-0000-0000-0000230A0000}"/>
    <cellStyle name="Input 2 2 2 2 2 3 3 5" xfId="5205" xr:uid="{00000000-0005-0000-0000-0000240A0000}"/>
    <cellStyle name="Input 2 2 2 2 2 3 3 5 2" xfId="11035" xr:uid="{00000000-0005-0000-0000-0000250A0000}"/>
    <cellStyle name="Input 2 2 2 2 2 3 3 6" xfId="6700" xr:uid="{00000000-0005-0000-0000-0000260A0000}"/>
    <cellStyle name="Input 2 2 2 2 2 3 4" xfId="1107" xr:uid="{00000000-0005-0000-0000-0000270A0000}"/>
    <cellStyle name="Input 2 2 2 2 2 3 4 2" xfId="2627" xr:uid="{00000000-0005-0000-0000-0000280A0000}"/>
    <cellStyle name="Input 2 2 2 2 2 3 4 2 2" xfId="8457" xr:uid="{00000000-0005-0000-0000-0000290A0000}"/>
    <cellStyle name="Input 2 2 2 2 2 3 4 3" xfId="4053" xr:uid="{00000000-0005-0000-0000-00002A0A0000}"/>
    <cellStyle name="Input 2 2 2 2 2 3 4 3 2" xfId="9883" xr:uid="{00000000-0005-0000-0000-00002B0A0000}"/>
    <cellStyle name="Input 2 2 2 2 2 3 4 4" xfId="5449" xr:uid="{00000000-0005-0000-0000-00002C0A0000}"/>
    <cellStyle name="Input 2 2 2 2 2 3 4 4 2" xfId="11279" xr:uid="{00000000-0005-0000-0000-00002D0A0000}"/>
    <cellStyle name="Input 2 2 2 2 2 3 4 5" xfId="6944" xr:uid="{00000000-0005-0000-0000-00002E0A0000}"/>
    <cellStyle name="Input 2 2 2 2 2 3 5" xfId="1881" xr:uid="{00000000-0005-0000-0000-00002F0A0000}"/>
    <cellStyle name="Input 2 2 2 2 2 3 5 2" xfId="7711" xr:uid="{00000000-0005-0000-0000-0000300A0000}"/>
    <cellStyle name="Input 2 2 2 2 2 3 6" xfId="3312" xr:uid="{00000000-0005-0000-0000-0000310A0000}"/>
    <cellStyle name="Input 2 2 2 2 2 3 6 2" xfId="9142" xr:uid="{00000000-0005-0000-0000-0000320A0000}"/>
    <cellStyle name="Input 2 2 2 2 2 3 7" xfId="4724" xr:uid="{00000000-0005-0000-0000-0000330A0000}"/>
    <cellStyle name="Input 2 2 2 2 2 3 7 2" xfId="10554" xr:uid="{00000000-0005-0000-0000-0000340A0000}"/>
    <cellStyle name="Input 2 2 2 2 2 3 8" xfId="6219" xr:uid="{00000000-0005-0000-0000-0000350A0000}"/>
    <cellStyle name="Input 2 2 2 2 2 4" xfId="459" xr:uid="{00000000-0005-0000-0000-0000360A0000}"/>
    <cellStyle name="Input 2 2 2 2 2 4 2" xfId="1194" xr:uid="{00000000-0005-0000-0000-0000370A0000}"/>
    <cellStyle name="Input 2 2 2 2 2 4 2 2" xfId="2710" xr:uid="{00000000-0005-0000-0000-0000380A0000}"/>
    <cellStyle name="Input 2 2 2 2 2 4 2 2 2" xfId="8540" xr:uid="{00000000-0005-0000-0000-0000390A0000}"/>
    <cellStyle name="Input 2 2 2 2 2 4 2 3" xfId="4133" xr:uid="{00000000-0005-0000-0000-00003A0A0000}"/>
    <cellStyle name="Input 2 2 2 2 2 4 2 3 2" xfId="9963" xr:uid="{00000000-0005-0000-0000-00003B0A0000}"/>
    <cellStyle name="Input 2 2 2 2 2 4 2 4" xfId="5529" xr:uid="{00000000-0005-0000-0000-00003C0A0000}"/>
    <cellStyle name="Input 2 2 2 2 2 4 2 4 2" xfId="11359" xr:uid="{00000000-0005-0000-0000-00003D0A0000}"/>
    <cellStyle name="Input 2 2 2 2 2 4 2 5" xfId="7024" xr:uid="{00000000-0005-0000-0000-00003E0A0000}"/>
    <cellStyle name="Input 2 2 2 2 2 4 3" xfId="1981" xr:uid="{00000000-0005-0000-0000-00003F0A0000}"/>
    <cellStyle name="Input 2 2 2 2 2 4 3 2" xfId="7811" xr:uid="{00000000-0005-0000-0000-0000400A0000}"/>
    <cellStyle name="Input 2 2 2 2 2 4 4" xfId="3408" xr:uid="{00000000-0005-0000-0000-0000410A0000}"/>
    <cellStyle name="Input 2 2 2 2 2 4 4 2" xfId="9238" xr:uid="{00000000-0005-0000-0000-0000420A0000}"/>
    <cellStyle name="Input 2 2 2 2 2 4 5" xfId="4805" xr:uid="{00000000-0005-0000-0000-0000430A0000}"/>
    <cellStyle name="Input 2 2 2 2 2 4 5 2" xfId="10635" xr:uid="{00000000-0005-0000-0000-0000440A0000}"/>
    <cellStyle name="Input 2 2 2 2 2 4 6" xfId="6300" xr:uid="{00000000-0005-0000-0000-0000450A0000}"/>
    <cellStyle name="Input 2 2 2 2 2 5" xfId="703" xr:uid="{00000000-0005-0000-0000-0000460A0000}"/>
    <cellStyle name="Input 2 2 2 2 2 5 2" xfId="1434" xr:uid="{00000000-0005-0000-0000-0000470A0000}"/>
    <cellStyle name="Input 2 2 2 2 2 5 2 2" xfId="2950" xr:uid="{00000000-0005-0000-0000-0000480A0000}"/>
    <cellStyle name="Input 2 2 2 2 2 5 2 2 2" xfId="8780" xr:uid="{00000000-0005-0000-0000-0000490A0000}"/>
    <cellStyle name="Input 2 2 2 2 2 5 2 3" xfId="4373" xr:uid="{00000000-0005-0000-0000-00004A0A0000}"/>
    <cellStyle name="Input 2 2 2 2 2 5 2 3 2" xfId="10203" xr:uid="{00000000-0005-0000-0000-00004B0A0000}"/>
    <cellStyle name="Input 2 2 2 2 2 5 2 4" xfId="5769" xr:uid="{00000000-0005-0000-0000-00004C0A0000}"/>
    <cellStyle name="Input 2 2 2 2 2 5 2 4 2" xfId="11599" xr:uid="{00000000-0005-0000-0000-00004D0A0000}"/>
    <cellStyle name="Input 2 2 2 2 2 5 2 5" xfId="7264" xr:uid="{00000000-0005-0000-0000-00004E0A0000}"/>
    <cellStyle name="Input 2 2 2 2 2 5 3" xfId="2223" xr:uid="{00000000-0005-0000-0000-00004F0A0000}"/>
    <cellStyle name="Input 2 2 2 2 2 5 3 2" xfId="8053" xr:uid="{00000000-0005-0000-0000-0000500A0000}"/>
    <cellStyle name="Input 2 2 2 2 2 5 4" xfId="3649" xr:uid="{00000000-0005-0000-0000-0000510A0000}"/>
    <cellStyle name="Input 2 2 2 2 2 5 4 2" xfId="9479" xr:uid="{00000000-0005-0000-0000-0000520A0000}"/>
    <cellStyle name="Input 2 2 2 2 2 5 5" xfId="5045" xr:uid="{00000000-0005-0000-0000-0000530A0000}"/>
    <cellStyle name="Input 2 2 2 2 2 5 5 2" xfId="10875" xr:uid="{00000000-0005-0000-0000-0000540A0000}"/>
    <cellStyle name="Input 2 2 2 2 2 5 6" xfId="6540" xr:uid="{00000000-0005-0000-0000-0000550A0000}"/>
    <cellStyle name="Input 2 2 2 2 2 6" xfId="947" xr:uid="{00000000-0005-0000-0000-0000560A0000}"/>
    <cellStyle name="Input 2 2 2 2 2 6 2" xfId="2467" xr:uid="{00000000-0005-0000-0000-0000570A0000}"/>
    <cellStyle name="Input 2 2 2 2 2 6 2 2" xfId="8297" xr:uid="{00000000-0005-0000-0000-0000580A0000}"/>
    <cellStyle name="Input 2 2 2 2 2 6 3" xfId="3893" xr:uid="{00000000-0005-0000-0000-0000590A0000}"/>
    <cellStyle name="Input 2 2 2 2 2 6 3 2" xfId="9723" xr:uid="{00000000-0005-0000-0000-00005A0A0000}"/>
    <cellStyle name="Input 2 2 2 2 2 6 4" xfId="5289" xr:uid="{00000000-0005-0000-0000-00005B0A0000}"/>
    <cellStyle name="Input 2 2 2 2 2 6 4 2" xfId="11119" xr:uid="{00000000-0005-0000-0000-00005C0A0000}"/>
    <cellStyle name="Input 2 2 2 2 2 6 5" xfId="6784" xr:uid="{00000000-0005-0000-0000-00005D0A0000}"/>
    <cellStyle name="Input 2 2 2 2 2 7" xfId="1721" xr:uid="{00000000-0005-0000-0000-00005E0A0000}"/>
    <cellStyle name="Input 2 2 2 2 2 7 2" xfId="7551" xr:uid="{00000000-0005-0000-0000-00005F0A0000}"/>
    <cellStyle name="Input 2 2 2 2 2 8" xfId="3152" xr:uid="{00000000-0005-0000-0000-0000600A0000}"/>
    <cellStyle name="Input 2 2 2 2 2 8 2" xfId="8982" xr:uid="{00000000-0005-0000-0000-0000610A0000}"/>
    <cellStyle name="Input 2 2 2 2 2 9" xfId="4564" xr:uid="{00000000-0005-0000-0000-0000620A0000}"/>
    <cellStyle name="Input 2 2 2 2 2 9 2" xfId="10394" xr:uid="{00000000-0005-0000-0000-0000630A0000}"/>
    <cellStyle name="Input 2 2 2 2 3" xfId="220" xr:uid="{00000000-0005-0000-0000-0000640A0000}"/>
    <cellStyle name="Input 2 2 2 2 3 2" xfId="499" xr:uid="{00000000-0005-0000-0000-0000650A0000}"/>
    <cellStyle name="Input 2 2 2 2 3 2 2" xfId="1234" xr:uid="{00000000-0005-0000-0000-0000660A0000}"/>
    <cellStyle name="Input 2 2 2 2 3 2 2 2" xfId="2750" xr:uid="{00000000-0005-0000-0000-0000670A0000}"/>
    <cellStyle name="Input 2 2 2 2 3 2 2 2 2" xfId="8580" xr:uid="{00000000-0005-0000-0000-0000680A0000}"/>
    <cellStyle name="Input 2 2 2 2 3 2 2 3" xfId="4173" xr:uid="{00000000-0005-0000-0000-0000690A0000}"/>
    <cellStyle name="Input 2 2 2 2 3 2 2 3 2" xfId="10003" xr:uid="{00000000-0005-0000-0000-00006A0A0000}"/>
    <cellStyle name="Input 2 2 2 2 3 2 2 4" xfId="5569" xr:uid="{00000000-0005-0000-0000-00006B0A0000}"/>
    <cellStyle name="Input 2 2 2 2 3 2 2 4 2" xfId="11399" xr:uid="{00000000-0005-0000-0000-00006C0A0000}"/>
    <cellStyle name="Input 2 2 2 2 3 2 2 5" xfId="7064" xr:uid="{00000000-0005-0000-0000-00006D0A0000}"/>
    <cellStyle name="Input 2 2 2 2 3 2 3" xfId="2021" xr:uid="{00000000-0005-0000-0000-00006E0A0000}"/>
    <cellStyle name="Input 2 2 2 2 3 2 3 2" xfId="7851" xr:uid="{00000000-0005-0000-0000-00006F0A0000}"/>
    <cellStyle name="Input 2 2 2 2 3 2 4" xfId="3448" xr:uid="{00000000-0005-0000-0000-0000700A0000}"/>
    <cellStyle name="Input 2 2 2 2 3 2 4 2" xfId="9278" xr:uid="{00000000-0005-0000-0000-0000710A0000}"/>
    <cellStyle name="Input 2 2 2 2 3 2 5" xfId="4845" xr:uid="{00000000-0005-0000-0000-0000720A0000}"/>
    <cellStyle name="Input 2 2 2 2 3 2 5 2" xfId="10675" xr:uid="{00000000-0005-0000-0000-0000730A0000}"/>
    <cellStyle name="Input 2 2 2 2 3 2 6" xfId="6340" xr:uid="{00000000-0005-0000-0000-0000740A0000}"/>
    <cellStyle name="Input 2 2 2 2 3 3" xfId="743" xr:uid="{00000000-0005-0000-0000-0000750A0000}"/>
    <cellStyle name="Input 2 2 2 2 3 3 2" xfId="1474" xr:uid="{00000000-0005-0000-0000-0000760A0000}"/>
    <cellStyle name="Input 2 2 2 2 3 3 2 2" xfId="2990" xr:uid="{00000000-0005-0000-0000-0000770A0000}"/>
    <cellStyle name="Input 2 2 2 2 3 3 2 2 2" xfId="8820" xr:uid="{00000000-0005-0000-0000-0000780A0000}"/>
    <cellStyle name="Input 2 2 2 2 3 3 2 3" xfId="4413" xr:uid="{00000000-0005-0000-0000-0000790A0000}"/>
    <cellStyle name="Input 2 2 2 2 3 3 2 3 2" xfId="10243" xr:uid="{00000000-0005-0000-0000-00007A0A0000}"/>
    <cellStyle name="Input 2 2 2 2 3 3 2 4" xfId="5809" xr:uid="{00000000-0005-0000-0000-00007B0A0000}"/>
    <cellStyle name="Input 2 2 2 2 3 3 2 4 2" xfId="11639" xr:uid="{00000000-0005-0000-0000-00007C0A0000}"/>
    <cellStyle name="Input 2 2 2 2 3 3 2 5" xfId="7304" xr:uid="{00000000-0005-0000-0000-00007D0A0000}"/>
    <cellStyle name="Input 2 2 2 2 3 3 3" xfId="2263" xr:uid="{00000000-0005-0000-0000-00007E0A0000}"/>
    <cellStyle name="Input 2 2 2 2 3 3 3 2" xfId="8093" xr:uid="{00000000-0005-0000-0000-00007F0A0000}"/>
    <cellStyle name="Input 2 2 2 2 3 3 4" xfId="3689" xr:uid="{00000000-0005-0000-0000-0000800A0000}"/>
    <cellStyle name="Input 2 2 2 2 3 3 4 2" xfId="9519" xr:uid="{00000000-0005-0000-0000-0000810A0000}"/>
    <cellStyle name="Input 2 2 2 2 3 3 5" xfId="5085" xr:uid="{00000000-0005-0000-0000-0000820A0000}"/>
    <cellStyle name="Input 2 2 2 2 3 3 5 2" xfId="10915" xr:uid="{00000000-0005-0000-0000-0000830A0000}"/>
    <cellStyle name="Input 2 2 2 2 3 3 6" xfId="6580" xr:uid="{00000000-0005-0000-0000-0000840A0000}"/>
    <cellStyle name="Input 2 2 2 2 3 4" xfId="987" xr:uid="{00000000-0005-0000-0000-0000850A0000}"/>
    <cellStyle name="Input 2 2 2 2 3 4 2" xfId="2507" xr:uid="{00000000-0005-0000-0000-0000860A0000}"/>
    <cellStyle name="Input 2 2 2 2 3 4 2 2" xfId="8337" xr:uid="{00000000-0005-0000-0000-0000870A0000}"/>
    <cellStyle name="Input 2 2 2 2 3 4 3" xfId="3933" xr:uid="{00000000-0005-0000-0000-0000880A0000}"/>
    <cellStyle name="Input 2 2 2 2 3 4 3 2" xfId="9763" xr:uid="{00000000-0005-0000-0000-0000890A0000}"/>
    <cellStyle name="Input 2 2 2 2 3 4 4" xfId="5329" xr:uid="{00000000-0005-0000-0000-00008A0A0000}"/>
    <cellStyle name="Input 2 2 2 2 3 4 4 2" xfId="11159" xr:uid="{00000000-0005-0000-0000-00008B0A0000}"/>
    <cellStyle name="Input 2 2 2 2 3 4 5" xfId="6824" xr:uid="{00000000-0005-0000-0000-00008C0A0000}"/>
    <cellStyle name="Input 2 2 2 2 3 5" xfId="1761" xr:uid="{00000000-0005-0000-0000-00008D0A0000}"/>
    <cellStyle name="Input 2 2 2 2 3 5 2" xfId="7591" xr:uid="{00000000-0005-0000-0000-00008E0A0000}"/>
    <cellStyle name="Input 2 2 2 2 3 6" xfId="3192" xr:uid="{00000000-0005-0000-0000-00008F0A0000}"/>
    <cellStyle name="Input 2 2 2 2 3 6 2" xfId="9022" xr:uid="{00000000-0005-0000-0000-0000900A0000}"/>
    <cellStyle name="Input 2 2 2 2 3 7" xfId="4604" xr:uid="{00000000-0005-0000-0000-0000910A0000}"/>
    <cellStyle name="Input 2 2 2 2 3 7 2" xfId="10434" xr:uid="{00000000-0005-0000-0000-0000920A0000}"/>
    <cellStyle name="Input 2 2 2 2 3 8" xfId="6099" xr:uid="{00000000-0005-0000-0000-0000930A0000}"/>
    <cellStyle name="Input 2 2 2 2 4" xfId="300" xr:uid="{00000000-0005-0000-0000-0000940A0000}"/>
    <cellStyle name="Input 2 2 2 2 4 2" xfId="579" xr:uid="{00000000-0005-0000-0000-0000950A0000}"/>
    <cellStyle name="Input 2 2 2 2 4 2 2" xfId="1314" xr:uid="{00000000-0005-0000-0000-0000960A0000}"/>
    <cellStyle name="Input 2 2 2 2 4 2 2 2" xfId="2830" xr:uid="{00000000-0005-0000-0000-0000970A0000}"/>
    <cellStyle name="Input 2 2 2 2 4 2 2 2 2" xfId="8660" xr:uid="{00000000-0005-0000-0000-0000980A0000}"/>
    <cellStyle name="Input 2 2 2 2 4 2 2 3" xfId="4253" xr:uid="{00000000-0005-0000-0000-0000990A0000}"/>
    <cellStyle name="Input 2 2 2 2 4 2 2 3 2" xfId="10083" xr:uid="{00000000-0005-0000-0000-00009A0A0000}"/>
    <cellStyle name="Input 2 2 2 2 4 2 2 4" xfId="5649" xr:uid="{00000000-0005-0000-0000-00009B0A0000}"/>
    <cellStyle name="Input 2 2 2 2 4 2 2 4 2" xfId="11479" xr:uid="{00000000-0005-0000-0000-00009C0A0000}"/>
    <cellStyle name="Input 2 2 2 2 4 2 2 5" xfId="7144" xr:uid="{00000000-0005-0000-0000-00009D0A0000}"/>
    <cellStyle name="Input 2 2 2 2 4 2 3" xfId="2101" xr:uid="{00000000-0005-0000-0000-00009E0A0000}"/>
    <cellStyle name="Input 2 2 2 2 4 2 3 2" xfId="7931" xr:uid="{00000000-0005-0000-0000-00009F0A0000}"/>
    <cellStyle name="Input 2 2 2 2 4 2 4" xfId="3528" xr:uid="{00000000-0005-0000-0000-0000A00A0000}"/>
    <cellStyle name="Input 2 2 2 2 4 2 4 2" xfId="9358" xr:uid="{00000000-0005-0000-0000-0000A10A0000}"/>
    <cellStyle name="Input 2 2 2 2 4 2 5" xfId="4925" xr:uid="{00000000-0005-0000-0000-0000A20A0000}"/>
    <cellStyle name="Input 2 2 2 2 4 2 5 2" xfId="10755" xr:uid="{00000000-0005-0000-0000-0000A30A0000}"/>
    <cellStyle name="Input 2 2 2 2 4 2 6" xfId="6420" xr:uid="{00000000-0005-0000-0000-0000A40A0000}"/>
    <cellStyle name="Input 2 2 2 2 4 3" xfId="823" xr:uid="{00000000-0005-0000-0000-0000A50A0000}"/>
    <cellStyle name="Input 2 2 2 2 4 3 2" xfId="1554" xr:uid="{00000000-0005-0000-0000-0000A60A0000}"/>
    <cellStyle name="Input 2 2 2 2 4 3 2 2" xfId="3070" xr:uid="{00000000-0005-0000-0000-0000A70A0000}"/>
    <cellStyle name="Input 2 2 2 2 4 3 2 2 2" xfId="8900" xr:uid="{00000000-0005-0000-0000-0000A80A0000}"/>
    <cellStyle name="Input 2 2 2 2 4 3 2 3" xfId="4493" xr:uid="{00000000-0005-0000-0000-0000A90A0000}"/>
    <cellStyle name="Input 2 2 2 2 4 3 2 3 2" xfId="10323" xr:uid="{00000000-0005-0000-0000-0000AA0A0000}"/>
    <cellStyle name="Input 2 2 2 2 4 3 2 4" xfId="5889" xr:uid="{00000000-0005-0000-0000-0000AB0A0000}"/>
    <cellStyle name="Input 2 2 2 2 4 3 2 4 2" xfId="11719" xr:uid="{00000000-0005-0000-0000-0000AC0A0000}"/>
    <cellStyle name="Input 2 2 2 2 4 3 2 5" xfId="7384" xr:uid="{00000000-0005-0000-0000-0000AD0A0000}"/>
    <cellStyle name="Input 2 2 2 2 4 3 3" xfId="2343" xr:uid="{00000000-0005-0000-0000-0000AE0A0000}"/>
    <cellStyle name="Input 2 2 2 2 4 3 3 2" xfId="8173" xr:uid="{00000000-0005-0000-0000-0000AF0A0000}"/>
    <cellStyle name="Input 2 2 2 2 4 3 4" xfId="3769" xr:uid="{00000000-0005-0000-0000-0000B00A0000}"/>
    <cellStyle name="Input 2 2 2 2 4 3 4 2" xfId="9599" xr:uid="{00000000-0005-0000-0000-0000B10A0000}"/>
    <cellStyle name="Input 2 2 2 2 4 3 5" xfId="5165" xr:uid="{00000000-0005-0000-0000-0000B20A0000}"/>
    <cellStyle name="Input 2 2 2 2 4 3 5 2" xfId="10995" xr:uid="{00000000-0005-0000-0000-0000B30A0000}"/>
    <cellStyle name="Input 2 2 2 2 4 3 6" xfId="6660" xr:uid="{00000000-0005-0000-0000-0000B40A0000}"/>
    <cellStyle name="Input 2 2 2 2 4 4" xfId="1067" xr:uid="{00000000-0005-0000-0000-0000B50A0000}"/>
    <cellStyle name="Input 2 2 2 2 4 4 2" xfId="2587" xr:uid="{00000000-0005-0000-0000-0000B60A0000}"/>
    <cellStyle name="Input 2 2 2 2 4 4 2 2" xfId="8417" xr:uid="{00000000-0005-0000-0000-0000B70A0000}"/>
    <cellStyle name="Input 2 2 2 2 4 4 3" xfId="4013" xr:uid="{00000000-0005-0000-0000-0000B80A0000}"/>
    <cellStyle name="Input 2 2 2 2 4 4 3 2" xfId="9843" xr:uid="{00000000-0005-0000-0000-0000B90A0000}"/>
    <cellStyle name="Input 2 2 2 2 4 4 4" xfId="5409" xr:uid="{00000000-0005-0000-0000-0000BA0A0000}"/>
    <cellStyle name="Input 2 2 2 2 4 4 4 2" xfId="11239" xr:uid="{00000000-0005-0000-0000-0000BB0A0000}"/>
    <cellStyle name="Input 2 2 2 2 4 4 5" xfId="6904" xr:uid="{00000000-0005-0000-0000-0000BC0A0000}"/>
    <cellStyle name="Input 2 2 2 2 4 5" xfId="1841" xr:uid="{00000000-0005-0000-0000-0000BD0A0000}"/>
    <cellStyle name="Input 2 2 2 2 4 5 2" xfId="7671" xr:uid="{00000000-0005-0000-0000-0000BE0A0000}"/>
    <cellStyle name="Input 2 2 2 2 4 6" xfId="3272" xr:uid="{00000000-0005-0000-0000-0000BF0A0000}"/>
    <cellStyle name="Input 2 2 2 2 4 6 2" xfId="9102" xr:uid="{00000000-0005-0000-0000-0000C00A0000}"/>
    <cellStyle name="Input 2 2 2 2 4 7" xfId="4684" xr:uid="{00000000-0005-0000-0000-0000C10A0000}"/>
    <cellStyle name="Input 2 2 2 2 4 7 2" xfId="10514" xr:uid="{00000000-0005-0000-0000-0000C20A0000}"/>
    <cellStyle name="Input 2 2 2 2 4 8" xfId="6179" xr:uid="{00000000-0005-0000-0000-0000C30A0000}"/>
    <cellStyle name="Input 2 2 2 2 5" xfId="419" xr:uid="{00000000-0005-0000-0000-0000C40A0000}"/>
    <cellStyle name="Input 2 2 2 2 5 2" xfId="1154" xr:uid="{00000000-0005-0000-0000-0000C50A0000}"/>
    <cellStyle name="Input 2 2 2 2 5 2 2" xfId="2670" xr:uid="{00000000-0005-0000-0000-0000C60A0000}"/>
    <cellStyle name="Input 2 2 2 2 5 2 2 2" xfId="8500" xr:uid="{00000000-0005-0000-0000-0000C70A0000}"/>
    <cellStyle name="Input 2 2 2 2 5 2 3" xfId="4093" xr:uid="{00000000-0005-0000-0000-0000C80A0000}"/>
    <cellStyle name="Input 2 2 2 2 5 2 3 2" xfId="9923" xr:uid="{00000000-0005-0000-0000-0000C90A0000}"/>
    <cellStyle name="Input 2 2 2 2 5 2 4" xfId="5489" xr:uid="{00000000-0005-0000-0000-0000CA0A0000}"/>
    <cellStyle name="Input 2 2 2 2 5 2 4 2" xfId="11319" xr:uid="{00000000-0005-0000-0000-0000CB0A0000}"/>
    <cellStyle name="Input 2 2 2 2 5 2 5" xfId="6984" xr:uid="{00000000-0005-0000-0000-0000CC0A0000}"/>
    <cellStyle name="Input 2 2 2 2 5 3" xfId="1941" xr:uid="{00000000-0005-0000-0000-0000CD0A0000}"/>
    <cellStyle name="Input 2 2 2 2 5 3 2" xfId="7771" xr:uid="{00000000-0005-0000-0000-0000CE0A0000}"/>
    <cellStyle name="Input 2 2 2 2 5 4" xfId="3368" xr:uid="{00000000-0005-0000-0000-0000CF0A0000}"/>
    <cellStyle name="Input 2 2 2 2 5 4 2" xfId="9198" xr:uid="{00000000-0005-0000-0000-0000D00A0000}"/>
    <cellStyle name="Input 2 2 2 2 5 5" xfId="4765" xr:uid="{00000000-0005-0000-0000-0000D10A0000}"/>
    <cellStyle name="Input 2 2 2 2 5 5 2" xfId="10595" xr:uid="{00000000-0005-0000-0000-0000D20A0000}"/>
    <cellStyle name="Input 2 2 2 2 5 6" xfId="6260" xr:uid="{00000000-0005-0000-0000-0000D30A0000}"/>
    <cellStyle name="Input 2 2 2 2 6" xfId="663" xr:uid="{00000000-0005-0000-0000-0000D40A0000}"/>
    <cellStyle name="Input 2 2 2 2 6 2" xfId="1394" xr:uid="{00000000-0005-0000-0000-0000D50A0000}"/>
    <cellStyle name="Input 2 2 2 2 6 2 2" xfId="2910" xr:uid="{00000000-0005-0000-0000-0000D60A0000}"/>
    <cellStyle name="Input 2 2 2 2 6 2 2 2" xfId="8740" xr:uid="{00000000-0005-0000-0000-0000D70A0000}"/>
    <cellStyle name="Input 2 2 2 2 6 2 3" xfId="4333" xr:uid="{00000000-0005-0000-0000-0000D80A0000}"/>
    <cellStyle name="Input 2 2 2 2 6 2 3 2" xfId="10163" xr:uid="{00000000-0005-0000-0000-0000D90A0000}"/>
    <cellStyle name="Input 2 2 2 2 6 2 4" xfId="5729" xr:uid="{00000000-0005-0000-0000-0000DA0A0000}"/>
    <cellStyle name="Input 2 2 2 2 6 2 4 2" xfId="11559" xr:uid="{00000000-0005-0000-0000-0000DB0A0000}"/>
    <cellStyle name="Input 2 2 2 2 6 2 5" xfId="7224" xr:uid="{00000000-0005-0000-0000-0000DC0A0000}"/>
    <cellStyle name="Input 2 2 2 2 6 3" xfId="2183" xr:uid="{00000000-0005-0000-0000-0000DD0A0000}"/>
    <cellStyle name="Input 2 2 2 2 6 3 2" xfId="8013" xr:uid="{00000000-0005-0000-0000-0000DE0A0000}"/>
    <cellStyle name="Input 2 2 2 2 6 4" xfId="3609" xr:uid="{00000000-0005-0000-0000-0000DF0A0000}"/>
    <cellStyle name="Input 2 2 2 2 6 4 2" xfId="9439" xr:uid="{00000000-0005-0000-0000-0000E00A0000}"/>
    <cellStyle name="Input 2 2 2 2 6 5" xfId="5005" xr:uid="{00000000-0005-0000-0000-0000E10A0000}"/>
    <cellStyle name="Input 2 2 2 2 6 5 2" xfId="10835" xr:uid="{00000000-0005-0000-0000-0000E20A0000}"/>
    <cellStyle name="Input 2 2 2 2 6 6" xfId="6500" xr:uid="{00000000-0005-0000-0000-0000E30A0000}"/>
    <cellStyle name="Input 2 2 2 2 7" xfId="907" xr:uid="{00000000-0005-0000-0000-0000E40A0000}"/>
    <cellStyle name="Input 2 2 2 2 7 2" xfId="2427" xr:uid="{00000000-0005-0000-0000-0000E50A0000}"/>
    <cellStyle name="Input 2 2 2 2 7 2 2" xfId="8257" xr:uid="{00000000-0005-0000-0000-0000E60A0000}"/>
    <cellStyle name="Input 2 2 2 2 7 3" xfId="3853" xr:uid="{00000000-0005-0000-0000-0000E70A0000}"/>
    <cellStyle name="Input 2 2 2 2 7 3 2" xfId="9683" xr:uid="{00000000-0005-0000-0000-0000E80A0000}"/>
    <cellStyle name="Input 2 2 2 2 7 4" xfId="5249" xr:uid="{00000000-0005-0000-0000-0000E90A0000}"/>
    <cellStyle name="Input 2 2 2 2 7 4 2" xfId="11079" xr:uid="{00000000-0005-0000-0000-0000EA0A0000}"/>
    <cellStyle name="Input 2 2 2 2 7 5" xfId="6744" xr:uid="{00000000-0005-0000-0000-0000EB0A0000}"/>
    <cellStyle name="Input 2 2 2 2 8" xfId="1681" xr:uid="{00000000-0005-0000-0000-0000EC0A0000}"/>
    <cellStyle name="Input 2 2 2 2 8 2" xfId="7511" xr:uid="{00000000-0005-0000-0000-0000ED0A0000}"/>
    <cellStyle name="Input 2 2 2 2 9" xfId="1905" xr:uid="{00000000-0005-0000-0000-0000EE0A0000}"/>
    <cellStyle name="Input 2 2 2 2 9 2" xfId="7735" xr:uid="{00000000-0005-0000-0000-0000EF0A0000}"/>
    <cellStyle name="Input 2 2 2 3" xfId="159" xr:uid="{00000000-0005-0000-0000-0000F00A0000}"/>
    <cellStyle name="Input 2 2 2 3 10" xfId="6039" xr:uid="{00000000-0005-0000-0000-0000F10A0000}"/>
    <cellStyle name="Input 2 2 2 3 2" xfId="240" xr:uid="{00000000-0005-0000-0000-0000F20A0000}"/>
    <cellStyle name="Input 2 2 2 3 2 2" xfId="519" xr:uid="{00000000-0005-0000-0000-0000F30A0000}"/>
    <cellStyle name="Input 2 2 2 3 2 2 2" xfId="1254" xr:uid="{00000000-0005-0000-0000-0000F40A0000}"/>
    <cellStyle name="Input 2 2 2 3 2 2 2 2" xfId="2770" xr:uid="{00000000-0005-0000-0000-0000F50A0000}"/>
    <cellStyle name="Input 2 2 2 3 2 2 2 2 2" xfId="8600" xr:uid="{00000000-0005-0000-0000-0000F60A0000}"/>
    <cellStyle name="Input 2 2 2 3 2 2 2 3" xfId="4193" xr:uid="{00000000-0005-0000-0000-0000F70A0000}"/>
    <cellStyle name="Input 2 2 2 3 2 2 2 3 2" xfId="10023" xr:uid="{00000000-0005-0000-0000-0000F80A0000}"/>
    <cellStyle name="Input 2 2 2 3 2 2 2 4" xfId="5589" xr:uid="{00000000-0005-0000-0000-0000F90A0000}"/>
    <cellStyle name="Input 2 2 2 3 2 2 2 4 2" xfId="11419" xr:uid="{00000000-0005-0000-0000-0000FA0A0000}"/>
    <cellStyle name="Input 2 2 2 3 2 2 2 5" xfId="7084" xr:uid="{00000000-0005-0000-0000-0000FB0A0000}"/>
    <cellStyle name="Input 2 2 2 3 2 2 3" xfId="2041" xr:uid="{00000000-0005-0000-0000-0000FC0A0000}"/>
    <cellStyle name="Input 2 2 2 3 2 2 3 2" xfId="7871" xr:uid="{00000000-0005-0000-0000-0000FD0A0000}"/>
    <cellStyle name="Input 2 2 2 3 2 2 4" xfId="3468" xr:uid="{00000000-0005-0000-0000-0000FE0A0000}"/>
    <cellStyle name="Input 2 2 2 3 2 2 4 2" xfId="9298" xr:uid="{00000000-0005-0000-0000-0000FF0A0000}"/>
    <cellStyle name="Input 2 2 2 3 2 2 5" xfId="4865" xr:uid="{00000000-0005-0000-0000-0000000B0000}"/>
    <cellStyle name="Input 2 2 2 3 2 2 5 2" xfId="10695" xr:uid="{00000000-0005-0000-0000-0000010B0000}"/>
    <cellStyle name="Input 2 2 2 3 2 2 6" xfId="6360" xr:uid="{00000000-0005-0000-0000-0000020B0000}"/>
    <cellStyle name="Input 2 2 2 3 2 3" xfId="763" xr:uid="{00000000-0005-0000-0000-0000030B0000}"/>
    <cellStyle name="Input 2 2 2 3 2 3 2" xfId="1494" xr:uid="{00000000-0005-0000-0000-0000040B0000}"/>
    <cellStyle name="Input 2 2 2 3 2 3 2 2" xfId="3010" xr:uid="{00000000-0005-0000-0000-0000050B0000}"/>
    <cellStyle name="Input 2 2 2 3 2 3 2 2 2" xfId="8840" xr:uid="{00000000-0005-0000-0000-0000060B0000}"/>
    <cellStyle name="Input 2 2 2 3 2 3 2 3" xfId="4433" xr:uid="{00000000-0005-0000-0000-0000070B0000}"/>
    <cellStyle name="Input 2 2 2 3 2 3 2 3 2" xfId="10263" xr:uid="{00000000-0005-0000-0000-0000080B0000}"/>
    <cellStyle name="Input 2 2 2 3 2 3 2 4" xfId="5829" xr:uid="{00000000-0005-0000-0000-0000090B0000}"/>
    <cellStyle name="Input 2 2 2 3 2 3 2 4 2" xfId="11659" xr:uid="{00000000-0005-0000-0000-00000A0B0000}"/>
    <cellStyle name="Input 2 2 2 3 2 3 2 5" xfId="7324" xr:uid="{00000000-0005-0000-0000-00000B0B0000}"/>
    <cellStyle name="Input 2 2 2 3 2 3 3" xfId="2283" xr:uid="{00000000-0005-0000-0000-00000C0B0000}"/>
    <cellStyle name="Input 2 2 2 3 2 3 3 2" xfId="8113" xr:uid="{00000000-0005-0000-0000-00000D0B0000}"/>
    <cellStyle name="Input 2 2 2 3 2 3 4" xfId="3709" xr:uid="{00000000-0005-0000-0000-00000E0B0000}"/>
    <cellStyle name="Input 2 2 2 3 2 3 4 2" xfId="9539" xr:uid="{00000000-0005-0000-0000-00000F0B0000}"/>
    <cellStyle name="Input 2 2 2 3 2 3 5" xfId="5105" xr:uid="{00000000-0005-0000-0000-0000100B0000}"/>
    <cellStyle name="Input 2 2 2 3 2 3 5 2" xfId="10935" xr:uid="{00000000-0005-0000-0000-0000110B0000}"/>
    <cellStyle name="Input 2 2 2 3 2 3 6" xfId="6600" xr:uid="{00000000-0005-0000-0000-0000120B0000}"/>
    <cellStyle name="Input 2 2 2 3 2 4" xfId="1007" xr:uid="{00000000-0005-0000-0000-0000130B0000}"/>
    <cellStyle name="Input 2 2 2 3 2 4 2" xfId="2527" xr:uid="{00000000-0005-0000-0000-0000140B0000}"/>
    <cellStyle name="Input 2 2 2 3 2 4 2 2" xfId="8357" xr:uid="{00000000-0005-0000-0000-0000150B0000}"/>
    <cellStyle name="Input 2 2 2 3 2 4 3" xfId="3953" xr:uid="{00000000-0005-0000-0000-0000160B0000}"/>
    <cellStyle name="Input 2 2 2 3 2 4 3 2" xfId="9783" xr:uid="{00000000-0005-0000-0000-0000170B0000}"/>
    <cellStyle name="Input 2 2 2 3 2 4 4" xfId="5349" xr:uid="{00000000-0005-0000-0000-0000180B0000}"/>
    <cellStyle name="Input 2 2 2 3 2 4 4 2" xfId="11179" xr:uid="{00000000-0005-0000-0000-0000190B0000}"/>
    <cellStyle name="Input 2 2 2 3 2 4 5" xfId="6844" xr:uid="{00000000-0005-0000-0000-00001A0B0000}"/>
    <cellStyle name="Input 2 2 2 3 2 5" xfId="1781" xr:uid="{00000000-0005-0000-0000-00001B0B0000}"/>
    <cellStyle name="Input 2 2 2 3 2 5 2" xfId="7611" xr:uid="{00000000-0005-0000-0000-00001C0B0000}"/>
    <cellStyle name="Input 2 2 2 3 2 6" xfId="3212" xr:uid="{00000000-0005-0000-0000-00001D0B0000}"/>
    <cellStyle name="Input 2 2 2 3 2 6 2" xfId="9042" xr:uid="{00000000-0005-0000-0000-00001E0B0000}"/>
    <cellStyle name="Input 2 2 2 3 2 7" xfId="4624" xr:uid="{00000000-0005-0000-0000-00001F0B0000}"/>
    <cellStyle name="Input 2 2 2 3 2 7 2" xfId="10454" xr:uid="{00000000-0005-0000-0000-0000200B0000}"/>
    <cellStyle name="Input 2 2 2 3 2 8" xfId="6119" xr:uid="{00000000-0005-0000-0000-0000210B0000}"/>
    <cellStyle name="Input 2 2 2 3 3" xfId="320" xr:uid="{00000000-0005-0000-0000-0000220B0000}"/>
    <cellStyle name="Input 2 2 2 3 3 2" xfId="599" xr:uid="{00000000-0005-0000-0000-0000230B0000}"/>
    <cellStyle name="Input 2 2 2 3 3 2 2" xfId="1334" xr:uid="{00000000-0005-0000-0000-0000240B0000}"/>
    <cellStyle name="Input 2 2 2 3 3 2 2 2" xfId="2850" xr:uid="{00000000-0005-0000-0000-0000250B0000}"/>
    <cellStyle name="Input 2 2 2 3 3 2 2 2 2" xfId="8680" xr:uid="{00000000-0005-0000-0000-0000260B0000}"/>
    <cellStyle name="Input 2 2 2 3 3 2 2 3" xfId="4273" xr:uid="{00000000-0005-0000-0000-0000270B0000}"/>
    <cellStyle name="Input 2 2 2 3 3 2 2 3 2" xfId="10103" xr:uid="{00000000-0005-0000-0000-0000280B0000}"/>
    <cellStyle name="Input 2 2 2 3 3 2 2 4" xfId="5669" xr:uid="{00000000-0005-0000-0000-0000290B0000}"/>
    <cellStyle name="Input 2 2 2 3 3 2 2 4 2" xfId="11499" xr:uid="{00000000-0005-0000-0000-00002A0B0000}"/>
    <cellStyle name="Input 2 2 2 3 3 2 2 5" xfId="7164" xr:uid="{00000000-0005-0000-0000-00002B0B0000}"/>
    <cellStyle name="Input 2 2 2 3 3 2 3" xfId="2121" xr:uid="{00000000-0005-0000-0000-00002C0B0000}"/>
    <cellStyle name="Input 2 2 2 3 3 2 3 2" xfId="7951" xr:uid="{00000000-0005-0000-0000-00002D0B0000}"/>
    <cellStyle name="Input 2 2 2 3 3 2 4" xfId="3548" xr:uid="{00000000-0005-0000-0000-00002E0B0000}"/>
    <cellStyle name="Input 2 2 2 3 3 2 4 2" xfId="9378" xr:uid="{00000000-0005-0000-0000-00002F0B0000}"/>
    <cellStyle name="Input 2 2 2 3 3 2 5" xfId="4945" xr:uid="{00000000-0005-0000-0000-0000300B0000}"/>
    <cellStyle name="Input 2 2 2 3 3 2 5 2" xfId="10775" xr:uid="{00000000-0005-0000-0000-0000310B0000}"/>
    <cellStyle name="Input 2 2 2 3 3 2 6" xfId="6440" xr:uid="{00000000-0005-0000-0000-0000320B0000}"/>
    <cellStyle name="Input 2 2 2 3 3 3" xfId="843" xr:uid="{00000000-0005-0000-0000-0000330B0000}"/>
    <cellStyle name="Input 2 2 2 3 3 3 2" xfId="1574" xr:uid="{00000000-0005-0000-0000-0000340B0000}"/>
    <cellStyle name="Input 2 2 2 3 3 3 2 2" xfId="3090" xr:uid="{00000000-0005-0000-0000-0000350B0000}"/>
    <cellStyle name="Input 2 2 2 3 3 3 2 2 2" xfId="8920" xr:uid="{00000000-0005-0000-0000-0000360B0000}"/>
    <cellStyle name="Input 2 2 2 3 3 3 2 3" xfId="4513" xr:uid="{00000000-0005-0000-0000-0000370B0000}"/>
    <cellStyle name="Input 2 2 2 3 3 3 2 3 2" xfId="10343" xr:uid="{00000000-0005-0000-0000-0000380B0000}"/>
    <cellStyle name="Input 2 2 2 3 3 3 2 4" xfId="5909" xr:uid="{00000000-0005-0000-0000-0000390B0000}"/>
    <cellStyle name="Input 2 2 2 3 3 3 2 4 2" xfId="11739" xr:uid="{00000000-0005-0000-0000-00003A0B0000}"/>
    <cellStyle name="Input 2 2 2 3 3 3 2 5" xfId="7404" xr:uid="{00000000-0005-0000-0000-00003B0B0000}"/>
    <cellStyle name="Input 2 2 2 3 3 3 3" xfId="2363" xr:uid="{00000000-0005-0000-0000-00003C0B0000}"/>
    <cellStyle name="Input 2 2 2 3 3 3 3 2" xfId="8193" xr:uid="{00000000-0005-0000-0000-00003D0B0000}"/>
    <cellStyle name="Input 2 2 2 3 3 3 4" xfId="3789" xr:uid="{00000000-0005-0000-0000-00003E0B0000}"/>
    <cellStyle name="Input 2 2 2 3 3 3 4 2" xfId="9619" xr:uid="{00000000-0005-0000-0000-00003F0B0000}"/>
    <cellStyle name="Input 2 2 2 3 3 3 5" xfId="5185" xr:uid="{00000000-0005-0000-0000-0000400B0000}"/>
    <cellStyle name="Input 2 2 2 3 3 3 5 2" xfId="11015" xr:uid="{00000000-0005-0000-0000-0000410B0000}"/>
    <cellStyle name="Input 2 2 2 3 3 3 6" xfId="6680" xr:uid="{00000000-0005-0000-0000-0000420B0000}"/>
    <cellStyle name="Input 2 2 2 3 3 4" xfId="1087" xr:uid="{00000000-0005-0000-0000-0000430B0000}"/>
    <cellStyle name="Input 2 2 2 3 3 4 2" xfId="2607" xr:uid="{00000000-0005-0000-0000-0000440B0000}"/>
    <cellStyle name="Input 2 2 2 3 3 4 2 2" xfId="8437" xr:uid="{00000000-0005-0000-0000-0000450B0000}"/>
    <cellStyle name="Input 2 2 2 3 3 4 3" xfId="4033" xr:uid="{00000000-0005-0000-0000-0000460B0000}"/>
    <cellStyle name="Input 2 2 2 3 3 4 3 2" xfId="9863" xr:uid="{00000000-0005-0000-0000-0000470B0000}"/>
    <cellStyle name="Input 2 2 2 3 3 4 4" xfId="5429" xr:uid="{00000000-0005-0000-0000-0000480B0000}"/>
    <cellStyle name="Input 2 2 2 3 3 4 4 2" xfId="11259" xr:uid="{00000000-0005-0000-0000-0000490B0000}"/>
    <cellStyle name="Input 2 2 2 3 3 4 5" xfId="6924" xr:uid="{00000000-0005-0000-0000-00004A0B0000}"/>
    <cellStyle name="Input 2 2 2 3 3 5" xfId="1861" xr:uid="{00000000-0005-0000-0000-00004B0B0000}"/>
    <cellStyle name="Input 2 2 2 3 3 5 2" xfId="7691" xr:uid="{00000000-0005-0000-0000-00004C0B0000}"/>
    <cellStyle name="Input 2 2 2 3 3 6" xfId="3292" xr:uid="{00000000-0005-0000-0000-00004D0B0000}"/>
    <cellStyle name="Input 2 2 2 3 3 6 2" xfId="9122" xr:uid="{00000000-0005-0000-0000-00004E0B0000}"/>
    <cellStyle name="Input 2 2 2 3 3 7" xfId="4704" xr:uid="{00000000-0005-0000-0000-00004F0B0000}"/>
    <cellStyle name="Input 2 2 2 3 3 7 2" xfId="10534" xr:uid="{00000000-0005-0000-0000-0000500B0000}"/>
    <cellStyle name="Input 2 2 2 3 3 8" xfId="6199" xr:uid="{00000000-0005-0000-0000-0000510B0000}"/>
    <cellStyle name="Input 2 2 2 3 4" xfId="439" xr:uid="{00000000-0005-0000-0000-0000520B0000}"/>
    <cellStyle name="Input 2 2 2 3 4 2" xfId="1174" xr:uid="{00000000-0005-0000-0000-0000530B0000}"/>
    <cellStyle name="Input 2 2 2 3 4 2 2" xfId="2690" xr:uid="{00000000-0005-0000-0000-0000540B0000}"/>
    <cellStyle name="Input 2 2 2 3 4 2 2 2" xfId="8520" xr:uid="{00000000-0005-0000-0000-0000550B0000}"/>
    <cellStyle name="Input 2 2 2 3 4 2 3" xfId="4113" xr:uid="{00000000-0005-0000-0000-0000560B0000}"/>
    <cellStyle name="Input 2 2 2 3 4 2 3 2" xfId="9943" xr:uid="{00000000-0005-0000-0000-0000570B0000}"/>
    <cellStyle name="Input 2 2 2 3 4 2 4" xfId="5509" xr:uid="{00000000-0005-0000-0000-0000580B0000}"/>
    <cellStyle name="Input 2 2 2 3 4 2 4 2" xfId="11339" xr:uid="{00000000-0005-0000-0000-0000590B0000}"/>
    <cellStyle name="Input 2 2 2 3 4 2 5" xfId="7004" xr:uid="{00000000-0005-0000-0000-00005A0B0000}"/>
    <cellStyle name="Input 2 2 2 3 4 3" xfId="1961" xr:uid="{00000000-0005-0000-0000-00005B0B0000}"/>
    <cellStyle name="Input 2 2 2 3 4 3 2" xfId="7791" xr:uid="{00000000-0005-0000-0000-00005C0B0000}"/>
    <cellStyle name="Input 2 2 2 3 4 4" xfId="3388" xr:uid="{00000000-0005-0000-0000-00005D0B0000}"/>
    <cellStyle name="Input 2 2 2 3 4 4 2" xfId="9218" xr:uid="{00000000-0005-0000-0000-00005E0B0000}"/>
    <cellStyle name="Input 2 2 2 3 4 5" xfId="4785" xr:uid="{00000000-0005-0000-0000-00005F0B0000}"/>
    <cellStyle name="Input 2 2 2 3 4 5 2" xfId="10615" xr:uid="{00000000-0005-0000-0000-0000600B0000}"/>
    <cellStyle name="Input 2 2 2 3 4 6" xfId="6280" xr:uid="{00000000-0005-0000-0000-0000610B0000}"/>
    <cellStyle name="Input 2 2 2 3 5" xfId="683" xr:uid="{00000000-0005-0000-0000-0000620B0000}"/>
    <cellStyle name="Input 2 2 2 3 5 2" xfId="1414" xr:uid="{00000000-0005-0000-0000-0000630B0000}"/>
    <cellStyle name="Input 2 2 2 3 5 2 2" xfId="2930" xr:uid="{00000000-0005-0000-0000-0000640B0000}"/>
    <cellStyle name="Input 2 2 2 3 5 2 2 2" xfId="8760" xr:uid="{00000000-0005-0000-0000-0000650B0000}"/>
    <cellStyle name="Input 2 2 2 3 5 2 3" xfId="4353" xr:uid="{00000000-0005-0000-0000-0000660B0000}"/>
    <cellStyle name="Input 2 2 2 3 5 2 3 2" xfId="10183" xr:uid="{00000000-0005-0000-0000-0000670B0000}"/>
    <cellStyle name="Input 2 2 2 3 5 2 4" xfId="5749" xr:uid="{00000000-0005-0000-0000-0000680B0000}"/>
    <cellStyle name="Input 2 2 2 3 5 2 4 2" xfId="11579" xr:uid="{00000000-0005-0000-0000-0000690B0000}"/>
    <cellStyle name="Input 2 2 2 3 5 2 5" xfId="7244" xr:uid="{00000000-0005-0000-0000-00006A0B0000}"/>
    <cellStyle name="Input 2 2 2 3 5 3" xfId="2203" xr:uid="{00000000-0005-0000-0000-00006B0B0000}"/>
    <cellStyle name="Input 2 2 2 3 5 3 2" xfId="8033" xr:uid="{00000000-0005-0000-0000-00006C0B0000}"/>
    <cellStyle name="Input 2 2 2 3 5 4" xfId="3629" xr:uid="{00000000-0005-0000-0000-00006D0B0000}"/>
    <cellStyle name="Input 2 2 2 3 5 4 2" xfId="9459" xr:uid="{00000000-0005-0000-0000-00006E0B0000}"/>
    <cellStyle name="Input 2 2 2 3 5 5" xfId="5025" xr:uid="{00000000-0005-0000-0000-00006F0B0000}"/>
    <cellStyle name="Input 2 2 2 3 5 5 2" xfId="10855" xr:uid="{00000000-0005-0000-0000-0000700B0000}"/>
    <cellStyle name="Input 2 2 2 3 5 6" xfId="6520" xr:uid="{00000000-0005-0000-0000-0000710B0000}"/>
    <cellStyle name="Input 2 2 2 3 6" xfId="927" xr:uid="{00000000-0005-0000-0000-0000720B0000}"/>
    <cellStyle name="Input 2 2 2 3 6 2" xfId="2447" xr:uid="{00000000-0005-0000-0000-0000730B0000}"/>
    <cellStyle name="Input 2 2 2 3 6 2 2" xfId="8277" xr:uid="{00000000-0005-0000-0000-0000740B0000}"/>
    <cellStyle name="Input 2 2 2 3 6 3" xfId="3873" xr:uid="{00000000-0005-0000-0000-0000750B0000}"/>
    <cellStyle name="Input 2 2 2 3 6 3 2" xfId="9703" xr:uid="{00000000-0005-0000-0000-0000760B0000}"/>
    <cellStyle name="Input 2 2 2 3 6 4" xfId="5269" xr:uid="{00000000-0005-0000-0000-0000770B0000}"/>
    <cellStyle name="Input 2 2 2 3 6 4 2" xfId="11099" xr:uid="{00000000-0005-0000-0000-0000780B0000}"/>
    <cellStyle name="Input 2 2 2 3 6 5" xfId="6764" xr:uid="{00000000-0005-0000-0000-0000790B0000}"/>
    <cellStyle name="Input 2 2 2 3 7" xfId="1701" xr:uid="{00000000-0005-0000-0000-00007A0B0000}"/>
    <cellStyle name="Input 2 2 2 3 7 2" xfId="7531" xr:uid="{00000000-0005-0000-0000-00007B0B0000}"/>
    <cellStyle name="Input 2 2 2 3 8" xfId="3132" xr:uid="{00000000-0005-0000-0000-00007C0B0000}"/>
    <cellStyle name="Input 2 2 2 3 8 2" xfId="8962" xr:uid="{00000000-0005-0000-0000-00007D0B0000}"/>
    <cellStyle name="Input 2 2 2 3 9" xfId="3328" xr:uid="{00000000-0005-0000-0000-00007E0B0000}"/>
    <cellStyle name="Input 2 2 2 3 9 2" xfId="9158" xr:uid="{00000000-0005-0000-0000-00007F0B0000}"/>
    <cellStyle name="Input 2 2 2 4" xfId="199" xr:uid="{00000000-0005-0000-0000-0000800B0000}"/>
    <cellStyle name="Input 2 2 2 4 2" xfId="479" xr:uid="{00000000-0005-0000-0000-0000810B0000}"/>
    <cellStyle name="Input 2 2 2 4 2 2" xfId="1214" xr:uid="{00000000-0005-0000-0000-0000820B0000}"/>
    <cellStyle name="Input 2 2 2 4 2 2 2" xfId="2730" xr:uid="{00000000-0005-0000-0000-0000830B0000}"/>
    <cellStyle name="Input 2 2 2 4 2 2 2 2" xfId="8560" xr:uid="{00000000-0005-0000-0000-0000840B0000}"/>
    <cellStyle name="Input 2 2 2 4 2 2 3" xfId="4153" xr:uid="{00000000-0005-0000-0000-0000850B0000}"/>
    <cellStyle name="Input 2 2 2 4 2 2 3 2" xfId="9983" xr:uid="{00000000-0005-0000-0000-0000860B0000}"/>
    <cellStyle name="Input 2 2 2 4 2 2 4" xfId="5549" xr:uid="{00000000-0005-0000-0000-0000870B0000}"/>
    <cellStyle name="Input 2 2 2 4 2 2 4 2" xfId="11379" xr:uid="{00000000-0005-0000-0000-0000880B0000}"/>
    <cellStyle name="Input 2 2 2 4 2 2 5" xfId="7044" xr:uid="{00000000-0005-0000-0000-0000890B0000}"/>
    <cellStyle name="Input 2 2 2 4 2 3" xfId="2001" xr:uid="{00000000-0005-0000-0000-00008A0B0000}"/>
    <cellStyle name="Input 2 2 2 4 2 3 2" xfId="7831" xr:uid="{00000000-0005-0000-0000-00008B0B0000}"/>
    <cellStyle name="Input 2 2 2 4 2 4" xfId="3428" xr:uid="{00000000-0005-0000-0000-00008C0B0000}"/>
    <cellStyle name="Input 2 2 2 4 2 4 2" xfId="9258" xr:uid="{00000000-0005-0000-0000-00008D0B0000}"/>
    <cellStyle name="Input 2 2 2 4 2 5" xfId="4825" xr:uid="{00000000-0005-0000-0000-00008E0B0000}"/>
    <cellStyle name="Input 2 2 2 4 2 5 2" xfId="10655" xr:uid="{00000000-0005-0000-0000-00008F0B0000}"/>
    <cellStyle name="Input 2 2 2 4 2 6" xfId="6320" xr:uid="{00000000-0005-0000-0000-0000900B0000}"/>
    <cellStyle name="Input 2 2 2 4 3" xfId="723" xr:uid="{00000000-0005-0000-0000-0000910B0000}"/>
    <cellStyle name="Input 2 2 2 4 3 2" xfId="1454" xr:uid="{00000000-0005-0000-0000-0000920B0000}"/>
    <cellStyle name="Input 2 2 2 4 3 2 2" xfId="2970" xr:uid="{00000000-0005-0000-0000-0000930B0000}"/>
    <cellStyle name="Input 2 2 2 4 3 2 2 2" xfId="8800" xr:uid="{00000000-0005-0000-0000-0000940B0000}"/>
    <cellStyle name="Input 2 2 2 4 3 2 3" xfId="4393" xr:uid="{00000000-0005-0000-0000-0000950B0000}"/>
    <cellStyle name="Input 2 2 2 4 3 2 3 2" xfId="10223" xr:uid="{00000000-0005-0000-0000-0000960B0000}"/>
    <cellStyle name="Input 2 2 2 4 3 2 4" xfId="5789" xr:uid="{00000000-0005-0000-0000-0000970B0000}"/>
    <cellStyle name="Input 2 2 2 4 3 2 4 2" xfId="11619" xr:uid="{00000000-0005-0000-0000-0000980B0000}"/>
    <cellStyle name="Input 2 2 2 4 3 2 5" xfId="7284" xr:uid="{00000000-0005-0000-0000-0000990B0000}"/>
    <cellStyle name="Input 2 2 2 4 3 3" xfId="2243" xr:uid="{00000000-0005-0000-0000-00009A0B0000}"/>
    <cellStyle name="Input 2 2 2 4 3 3 2" xfId="8073" xr:uid="{00000000-0005-0000-0000-00009B0B0000}"/>
    <cellStyle name="Input 2 2 2 4 3 4" xfId="3669" xr:uid="{00000000-0005-0000-0000-00009C0B0000}"/>
    <cellStyle name="Input 2 2 2 4 3 4 2" xfId="9499" xr:uid="{00000000-0005-0000-0000-00009D0B0000}"/>
    <cellStyle name="Input 2 2 2 4 3 5" xfId="5065" xr:uid="{00000000-0005-0000-0000-00009E0B0000}"/>
    <cellStyle name="Input 2 2 2 4 3 5 2" xfId="10895" xr:uid="{00000000-0005-0000-0000-00009F0B0000}"/>
    <cellStyle name="Input 2 2 2 4 3 6" xfId="6560" xr:uid="{00000000-0005-0000-0000-0000A00B0000}"/>
    <cellStyle name="Input 2 2 2 4 4" xfId="967" xr:uid="{00000000-0005-0000-0000-0000A10B0000}"/>
    <cellStyle name="Input 2 2 2 4 4 2" xfId="2487" xr:uid="{00000000-0005-0000-0000-0000A20B0000}"/>
    <cellStyle name="Input 2 2 2 4 4 2 2" xfId="8317" xr:uid="{00000000-0005-0000-0000-0000A30B0000}"/>
    <cellStyle name="Input 2 2 2 4 4 3" xfId="3913" xr:uid="{00000000-0005-0000-0000-0000A40B0000}"/>
    <cellStyle name="Input 2 2 2 4 4 3 2" xfId="9743" xr:uid="{00000000-0005-0000-0000-0000A50B0000}"/>
    <cellStyle name="Input 2 2 2 4 4 4" xfId="5309" xr:uid="{00000000-0005-0000-0000-0000A60B0000}"/>
    <cellStyle name="Input 2 2 2 4 4 4 2" xfId="11139" xr:uid="{00000000-0005-0000-0000-0000A70B0000}"/>
    <cellStyle name="Input 2 2 2 4 4 5" xfId="6804" xr:uid="{00000000-0005-0000-0000-0000A80B0000}"/>
    <cellStyle name="Input 2 2 2 4 5" xfId="1741" xr:uid="{00000000-0005-0000-0000-0000A90B0000}"/>
    <cellStyle name="Input 2 2 2 4 5 2" xfId="7571" xr:uid="{00000000-0005-0000-0000-0000AA0B0000}"/>
    <cellStyle name="Input 2 2 2 4 6" xfId="3172" xr:uid="{00000000-0005-0000-0000-0000AB0B0000}"/>
    <cellStyle name="Input 2 2 2 4 6 2" xfId="9002" xr:uid="{00000000-0005-0000-0000-0000AC0B0000}"/>
    <cellStyle name="Input 2 2 2 4 7" xfId="4584" xr:uid="{00000000-0005-0000-0000-0000AD0B0000}"/>
    <cellStyle name="Input 2 2 2 4 7 2" xfId="10414" xr:uid="{00000000-0005-0000-0000-0000AE0B0000}"/>
    <cellStyle name="Input 2 2 2 4 8" xfId="6079" xr:uid="{00000000-0005-0000-0000-0000AF0B0000}"/>
    <cellStyle name="Input 2 2 2 5" xfId="280" xr:uid="{00000000-0005-0000-0000-0000B00B0000}"/>
    <cellStyle name="Input 2 2 2 5 2" xfId="559" xr:uid="{00000000-0005-0000-0000-0000B10B0000}"/>
    <cellStyle name="Input 2 2 2 5 2 2" xfId="1294" xr:uid="{00000000-0005-0000-0000-0000B20B0000}"/>
    <cellStyle name="Input 2 2 2 5 2 2 2" xfId="2810" xr:uid="{00000000-0005-0000-0000-0000B30B0000}"/>
    <cellStyle name="Input 2 2 2 5 2 2 2 2" xfId="8640" xr:uid="{00000000-0005-0000-0000-0000B40B0000}"/>
    <cellStyle name="Input 2 2 2 5 2 2 3" xfId="4233" xr:uid="{00000000-0005-0000-0000-0000B50B0000}"/>
    <cellStyle name="Input 2 2 2 5 2 2 3 2" xfId="10063" xr:uid="{00000000-0005-0000-0000-0000B60B0000}"/>
    <cellStyle name="Input 2 2 2 5 2 2 4" xfId="5629" xr:uid="{00000000-0005-0000-0000-0000B70B0000}"/>
    <cellStyle name="Input 2 2 2 5 2 2 4 2" xfId="11459" xr:uid="{00000000-0005-0000-0000-0000B80B0000}"/>
    <cellStyle name="Input 2 2 2 5 2 2 5" xfId="7124" xr:uid="{00000000-0005-0000-0000-0000B90B0000}"/>
    <cellStyle name="Input 2 2 2 5 2 3" xfId="2081" xr:uid="{00000000-0005-0000-0000-0000BA0B0000}"/>
    <cellStyle name="Input 2 2 2 5 2 3 2" xfId="7911" xr:uid="{00000000-0005-0000-0000-0000BB0B0000}"/>
    <cellStyle name="Input 2 2 2 5 2 4" xfId="3508" xr:uid="{00000000-0005-0000-0000-0000BC0B0000}"/>
    <cellStyle name="Input 2 2 2 5 2 4 2" xfId="9338" xr:uid="{00000000-0005-0000-0000-0000BD0B0000}"/>
    <cellStyle name="Input 2 2 2 5 2 5" xfId="4905" xr:uid="{00000000-0005-0000-0000-0000BE0B0000}"/>
    <cellStyle name="Input 2 2 2 5 2 5 2" xfId="10735" xr:uid="{00000000-0005-0000-0000-0000BF0B0000}"/>
    <cellStyle name="Input 2 2 2 5 2 6" xfId="6400" xr:uid="{00000000-0005-0000-0000-0000C00B0000}"/>
    <cellStyle name="Input 2 2 2 5 3" xfId="803" xr:uid="{00000000-0005-0000-0000-0000C10B0000}"/>
    <cellStyle name="Input 2 2 2 5 3 2" xfId="1534" xr:uid="{00000000-0005-0000-0000-0000C20B0000}"/>
    <cellStyle name="Input 2 2 2 5 3 2 2" xfId="3050" xr:uid="{00000000-0005-0000-0000-0000C30B0000}"/>
    <cellStyle name="Input 2 2 2 5 3 2 2 2" xfId="8880" xr:uid="{00000000-0005-0000-0000-0000C40B0000}"/>
    <cellStyle name="Input 2 2 2 5 3 2 3" xfId="4473" xr:uid="{00000000-0005-0000-0000-0000C50B0000}"/>
    <cellStyle name="Input 2 2 2 5 3 2 3 2" xfId="10303" xr:uid="{00000000-0005-0000-0000-0000C60B0000}"/>
    <cellStyle name="Input 2 2 2 5 3 2 4" xfId="5869" xr:uid="{00000000-0005-0000-0000-0000C70B0000}"/>
    <cellStyle name="Input 2 2 2 5 3 2 4 2" xfId="11699" xr:uid="{00000000-0005-0000-0000-0000C80B0000}"/>
    <cellStyle name="Input 2 2 2 5 3 2 5" xfId="7364" xr:uid="{00000000-0005-0000-0000-0000C90B0000}"/>
    <cellStyle name="Input 2 2 2 5 3 3" xfId="2323" xr:uid="{00000000-0005-0000-0000-0000CA0B0000}"/>
    <cellStyle name="Input 2 2 2 5 3 3 2" xfId="8153" xr:uid="{00000000-0005-0000-0000-0000CB0B0000}"/>
    <cellStyle name="Input 2 2 2 5 3 4" xfId="3749" xr:uid="{00000000-0005-0000-0000-0000CC0B0000}"/>
    <cellStyle name="Input 2 2 2 5 3 4 2" xfId="9579" xr:uid="{00000000-0005-0000-0000-0000CD0B0000}"/>
    <cellStyle name="Input 2 2 2 5 3 5" xfId="5145" xr:uid="{00000000-0005-0000-0000-0000CE0B0000}"/>
    <cellStyle name="Input 2 2 2 5 3 5 2" xfId="10975" xr:uid="{00000000-0005-0000-0000-0000CF0B0000}"/>
    <cellStyle name="Input 2 2 2 5 3 6" xfId="6640" xr:uid="{00000000-0005-0000-0000-0000D00B0000}"/>
    <cellStyle name="Input 2 2 2 5 4" xfId="1047" xr:uid="{00000000-0005-0000-0000-0000D10B0000}"/>
    <cellStyle name="Input 2 2 2 5 4 2" xfId="2567" xr:uid="{00000000-0005-0000-0000-0000D20B0000}"/>
    <cellStyle name="Input 2 2 2 5 4 2 2" xfId="8397" xr:uid="{00000000-0005-0000-0000-0000D30B0000}"/>
    <cellStyle name="Input 2 2 2 5 4 3" xfId="3993" xr:uid="{00000000-0005-0000-0000-0000D40B0000}"/>
    <cellStyle name="Input 2 2 2 5 4 3 2" xfId="9823" xr:uid="{00000000-0005-0000-0000-0000D50B0000}"/>
    <cellStyle name="Input 2 2 2 5 4 4" xfId="5389" xr:uid="{00000000-0005-0000-0000-0000D60B0000}"/>
    <cellStyle name="Input 2 2 2 5 4 4 2" xfId="11219" xr:uid="{00000000-0005-0000-0000-0000D70B0000}"/>
    <cellStyle name="Input 2 2 2 5 4 5" xfId="6884" xr:uid="{00000000-0005-0000-0000-0000D80B0000}"/>
    <cellStyle name="Input 2 2 2 5 5" xfId="1821" xr:uid="{00000000-0005-0000-0000-0000D90B0000}"/>
    <cellStyle name="Input 2 2 2 5 5 2" xfId="7651" xr:uid="{00000000-0005-0000-0000-0000DA0B0000}"/>
    <cellStyle name="Input 2 2 2 5 6" xfId="3252" xr:uid="{00000000-0005-0000-0000-0000DB0B0000}"/>
    <cellStyle name="Input 2 2 2 5 6 2" xfId="9082" xr:uid="{00000000-0005-0000-0000-0000DC0B0000}"/>
    <cellStyle name="Input 2 2 2 5 7" xfId="4664" xr:uid="{00000000-0005-0000-0000-0000DD0B0000}"/>
    <cellStyle name="Input 2 2 2 5 7 2" xfId="10494" xr:uid="{00000000-0005-0000-0000-0000DE0B0000}"/>
    <cellStyle name="Input 2 2 2 5 8" xfId="6159" xr:uid="{00000000-0005-0000-0000-0000DF0B0000}"/>
    <cellStyle name="Input 2 2 2 6" xfId="399" xr:uid="{00000000-0005-0000-0000-0000E00B0000}"/>
    <cellStyle name="Input 2 2 2 6 2" xfId="1134" xr:uid="{00000000-0005-0000-0000-0000E10B0000}"/>
    <cellStyle name="Input 2 2 2 6 2 2" xfId="2650" xr:uid="{00000000-0005-0000-0000-0000E20B0000}"/>
    <cellStyle name="Input 2 2 2 6 2 2 2" xfId="8480" xr:uid="{00000000-0005-0000-0000-0000E30B0000}"/>
    <cellStyle name="Input 2 2 2 6 2 3" xfId="4073" xr:uid="{00000000-0005-0000-0000-0000E40B0000}"/>
    <cellStyle name="Input 2 2 2 6 2 3 2" xfId="9903" xr:uid="{00000000-0005-0000-0000-0000E50B0000}"/>
    <cellStyle name="Input 2 2 2 6 2 4" xfId="5469" xr:uid="{00000000-0005-0000-0000-0000E60B0000}"/>
    <cellStyle name="Input 2 2 2 6 2 4 2" xfId="11299" xr:uid="{00000000-0005-0000-0000-0000E70B0000}"/>
    <cellStyle name="Input 2 2 2 6 2 5" xfId="6964" xr:uid="{00000000-0005-0000-0000-0000E80B0000}"/>
    <cellStyle name="Input 2 2 2 6 3" xfId="1921" xr:uid="{00000000-0005-0000-0000-0000E90B0000}"/>
    <cellStyle name="Input 2 2 2 6 3 2" xfId="7751" xr:uid="{00000000-0005-0000-0000-0000EA0B0000}"/>
    <cellStyle name="Input 2 2 2 6 4" xfId="3348" xr:uid="{00000000-0005-0000-0000-0000EB0B0000}"/>
    <cellStyle name="Input 2 2 2 6 4 2" xfId="9178" xr:uid="{00000000-0005-0000-0000-0000EC0B0000}"/>
    <cellStyle name="Input 2 2 2 6 5" xfId="4745" xr:uid="{00000000-0005-0000-0000-0000ED0B0000}"/>
    <cellStyle name="Input 2 2 2 6 5 2" xfId="10575" xr:uid="{00000000-0005-0000-0000-0000EE0B0000}"/>
    <cellStyle name="Input 2 2 2 6 6" xfId="6240" xr:uid="{00000000-0005-0000-0000-0000EF0B0000}"/>
    <cellStyle name="Input 2 2 2 7" xfId="643" xr:uid="{00000000-0005-0000-0000-0000F00B0000}"/>
    <cellStyle name="Input 2 2 2 7 2" xfId="1374" xr:uid="{00000000-0005-0000-0000-0000F10B0000}"/>
    <cellStyle name="Input 2 2 2 7 2 2" xfId="2890" xr:uid="{00000000-0005-0000-0000-0000F20B0000}"/>
    <cellStyle name="Input 2 2 2 7 2 2 2" xfId="8720" xr:uid="{00000000-0005-0000-0000-0000F30B0000}"/>
    <cellStyle name="Input 2 2 2 7 2 3" xfId="4313" xr:uid="{00000000-0005-0000-0000-0000F40B0000}"/>
    <cellStyle name="Input 2 2 2 7 2 3 2" xfId="10143" xr:uid="{00000000-0005-0000-0000-0000F50B0000}"/>
    <cellStyle name="Input 2 2 2 7 2 4" xfId="5709" xr:uid="{00000000-0005-0000-0000-0000F60B0000}"/>
    <cellStyle name="Input 2 2 2 7 2 4 2" xfId="11539" xr:uid="{00000000-0005-0000-0000-0000F70B0000}"/>
    <cellStyle name="Input 2 2 2 7 2 5" xfId="7204" xr:uid="{00000000-0005-0000-0000-0000F80B0000}"/>
    <cellStyle name="Input 2 2 2 7 3" xfId="2163" xr:uid="{00000000-0005-0000-0000-0000F90B0000}"/>
    <cellStyle name="Input 2 2 2 7 3 2" xfId="7993" xr:uid="{00000000-0005-0000-0000-0000FA0B0000}"/>
    <cellStyle name="Input 2 2 2 7 4" xfId="3589" xr:uid="{00000000-0005-0000-0000-0000FB0B0000}"/>
    <cellStyle name="Input 2 2 2 7 4 2" xfId="9419" xr:uid="{00000000-0005-0000-0000-0000FC0B0000}"/>
    <cellStyle name="Input 2 2 2 7 5" xfId="4985" xr:uid="{00000000-0005-0000-0000-0000FD0B0000}"/>
    <cellStyle name="Input 2 2 2 7 5 2" xfId="10815" xr:uid="{00000000-0005-0000-0000-0000FE0B0000}"/>
    <cellStyle name="Input 2 2 2 7 6" xfId="6480" xr:uid="{00000000-0005-0000-0000-0000FF0B0000}"/>
    <cellStyle name="Input 2 2 2 8" xfId="887" xr:uid="{00000000-0005-0000-0000-0000000C0000}"/>
    <cellStyle name="Input 2 2 2 8 2" xfId="2407" xr:uid="{00000000-0005-0000-0000-0000010C0000}"/>
    <cellStyle name="Input 2 2 2 8 2 2" xfId="8237" xr:uid="{00000000-0005-0000-0000-0000020C0000}"/>
    <cellStyle name="Input 2 2 2 8 3" xfId="3833" xr:uid="{00000000-0005-0000-0000-0000030C0000}"/>
    <cellStyle name="Input 2 2 2 8 3 2" xfId="9663" xr:uid="{00000000-0005-0000-0000-0000040C0000}"/>
    <cellStyle name="Input 2 2 2 8 4" xfId="5229" xr:uid="{00000000-0005-0000-0000-0000050C0000}"/>
    <cellStyle name="Input 2 2 2 8 4 2" xfId="11059" xr:uid="{00000000-0005-0000-0000-0000060C0000}"/>
    <cellStyle name="Input 2 2 2 8 5" xfId="6724" xr:uid="{00000000-0005-0000-0000-0000070C0000}"/>
    <cellStyle name="Input 2 2 2 9" xfId="1661" xr:uid="{00000000-0005-0000-0000-0000080C0000}"/>
    <cellStyle name="Input 2 2 2 9 2" xfId="7491" xr:uid="{00000000-0005-0000-0000-0000090C0000}"/>
    <cellStyle name="Input 2 2 3" xfId="123" xr:uid="{00000000-0005-0000-0000-00000A0C0000}"/>
    <cellStyle name="Input 2 2 3 10" xfId="1637" xr:uid="{00000000-0005-0000-0000-00000B0C0000}"/>
    <cellStyle name="Input 2 2 3 10 2" xfId="7467" xr:uid="{00000000-0005-0000-0000-00000C0C0000}"/>
    <cellStyle name="Input 2 2 3 11" xfId="1620" xr:uid="{00000000-0005-0000-0000-00000D0C0000}"/>
    <cellStyle name="Input 2 2 3 11 2" xfId="7450" xr:uid="{00000000-0005-0000-0000-00000E0C0000}"/>
    <cellStyle name="Input 2 2 3 12" xfId="6004" xr:uid="{00000000-0005-0000-0000-00000F0C0000}"/>
    <cellStyle name="Input 2 2 3 2" xfId="144" xr:uid="{00000000-0005-0000-0000-0000100C0000}"/>
    <cellStyle name="Input 2 2 3 2 10" xfId="3331" xr:uid="{00000000-0005-0000-0000-0000110C0000}"/>
    <cellStyle name="Input 2 2 3 2 10 2" xfId="9161" xr:uid="{00000000-0005-0000-0000-0000120C0000}"/>
    <cellStyle name="Input 2 2 3 2 11" xfId="6024" xr:uid="{00000000-0005-0000-0000-0000130C0000}"/>
    <cellStyle name="Input 2 2 3 2 2" xfId="184" xr:uid="{00000000-0005-0000-0000-0000140C0000}"/>
    <cellStyle name="Input 2 2 3 2 2 10" xfId="6064" xr:uid="{00000000-0005-0000-0000-0000150C0000}"/>
    <cellStyle name="Input 2 2 3 2 2 2" xfId="265" xr:uid="{00000000-0005-0000-0000-0000160C0000}"/>
    <cellStyle name="Input 2 2 3 2 2 2 2" xfId="544" xr:uid="{00000000-0005-0000-0000-0000170C0000}"/>
    <cellStyle name="Input 2 2 3 2 2 2 2 2" xfId="1279" xr:uid="{00000000-0005-0000-0000-0000180C0000}"/>
    <cellStyle name="Input 2 2 3 2 2 2 2 2 2" xfId="2795" xr:uid="{00000000-0005-0000-0000-0000190C0000}"/>
    <cellStyle name="Input 2 2 3 2 2 2 2 2 2 2" xfId="8625" xr:uid="{00000000-0005-0000-0000-00001A0C0000}"/>
    <cellStyle name="Input 2 2 3 2 2 2 2 2 3" xfId="4218" xr:uid="{00000000-0005-0000-0000-00001B0C0000}"/>
    <cellStyle name="Input 2 2 3 2 2 2 2 2 3 2" xfId="10048" xr:uid="{00000000-0005-0000-0000-00001C0C0000}"/>
    <cellStyle name="Input 2 2 3 2 2 2 2 2 4" xfId="5614" xr:uid="{00000000-0005-0000-0000-00001D0C0000}"/>
    <cellStyle name="Input 2 2 3 2 2 2 2 2 4 2" xfId="11444" xr:uid="{00000000-0005-0000-0000-00001E0C0000}"/>
    <cellStyle name="Input 2 2 3 2 2 2 2 2 5" xfId="7109" xr:uid="{00000000-0005-0000-0000-00001F0C0000}"/>
    <cellStyle name="Input 2 2 3 2 2 2 2 3" xfId="2066" xr:uid="{00000000-0005-0000-0000-0000200C0000}"/>
    <cellStyle name="Input 2 2 3 2 2 2 2 3 2" xfId="7896" xr:uid="{00000000-0005-0000-0000-0000210C0000}"/>
    <cellStyle name="Input 2 2 3 2 2 2 2 4" xfId="3493" xr:uid="{00000000-0005-0000-0000-0000220C0000}"/>
    <cellStyle name="Input 2 2 3 2 2 2 2 4 2" xfId="9323" xr:uid="{00000000-0005-0000-0000-0000230C0000}"/>
    <cellStyle name="Input 2 2 3 2 2 2 2 5" xfId="4890" xr:uid="{00000000-0005-0000-0000-0000240C0000}"/>
    <cellStyle name="Input 2 2 3 2 2 2 2 5 2" xfId="10720" xr:uid="{00000000-0005-0000-0000-0000250C0000}"/>
    <cellStyle name="Input 2 2 3 2 2 2 2 6" xfId="6385" xr:uid="{00000000-0005-0000-0000-0000260C0000}"/>
    <cellStyle name="Input 2 2 3 2 2 2 3" xfId="788" xr:uid="{00000000-0005-0000-0000-0000270C0000}"/>
    <cellStyle name="Input 2 2 3 2 2 2 3 2" xfId="1519" xr:uid="{00000000-0005-0000-0000-0000280C0000}"/>
    <cellStyle name="Input 2 2 3 2 2 2 3 2 2" xfId="3035" xr:uid="{00000000-0005-0000-0000-0000290C0000}"/>
    <cellStyle name="Input 2 2 3 2 2 2 3 2 2 2" xfId="8865" xr:uid="{00000000-0005-0000-0000-00002A0C0000}"/>
    <cellStyle name="Input 2 2 3 2 2 2 3 2 3" xfId="4458" xr:uid="{00000000-0005-0000-0000-00002B0C0000}"/>
    <cellStyle name="Input 2 2 3 2 2 2 3 2 3 2" xfId="10288" xr:uid="{00000000-0005-0000-0000-00002C0C0000}"/>
    <cellStyle name="Input 2 2 3 2 2 2 3 2 4" xfId="5854" xr:uid="{00000000-0005-0000-0000-00002D0C0000}"/>
    <cellStyle name="Input 2 2 3 2 2 2 3 2 4 2" xfId="11684" xr:uid="{00000000-0005-0000-0000-00002E0C0000}"/>
    <cellStyle name="Input 2 2 3 2 2 2 3 2 5" xfId="7349" xr:uid="{00000000-0005-0000-0000-00002F0C0000}"/>
    <cellStyle name="Input 2 2 3 2 2 2 3 3" xfId="2308" xr:uid="{00000000-0005-0000-0000-0000300C0000}"/>
    <cellStyle name="Input 2 2 3 2 2 2 3 3 2" xfId="8138" xr:uid="{00000000-0005-0000-0000-0000310C0000}"/>
    <cellStyle name="Input 2 2 3 2 2 2 3 4" xfId="3734" xr:uid="{00000000-0005-0000-0000-0000320C0000}"/>
    <cellStyle name="Input 2 2 3 2 2 2 3 4 2" xfId="9564" xr:uid="{00000000-0005-0000-0000-0000330C0000}"/>
    <cellStyle name="Input 2 2 3 2 2 2 3 5" xfId="5130" xr:uid="{00000000-0005-0000-0000-0000340C0000}"/>
    <cellStyle name="Input 2 2 3 2 2 2 3 5 2" xfId="10960" xr:uid="{00000000-0005-0000-0000-0000350C0000}"/>
    <cellStyle name="Input 2 2 3 2 2 2 3 6" xfId="6625" xr:uid="{00000000-0005-0000-0000-0000360C0000}"/>
    <cellStyle name="Input 2 2 3 2 2 2 4" xfId="1032" xr:uid="{00000000-0005-0000-0000-0000370C0000}"/>
    <cellStyle name="Input 2 2 3 2 2 2 4 2" xfId="2552" xr:uid="{00000000-0005-0000-0000-0000380C0000}"/>
    <cellStyle name="Input 2 2 3 2 2 2 4 2 2" xfId="8382" xr:uid="{00000000-0005-0000-0000-0000390C0000}"/>
    <cellStyle name="Input 2 2 3 2 2 2 4 3" xfId="3978" xr:uid="{00000000-0005-0000-0000-00003A0C0000}"/>
    <cellStyle name="Input 2 2 3 2 2 2 4 3 2" xfId="9808" xr:uid="{00000000-0005-0000-0000-00003B0C0000}"/>
    <cellStyle name="Input 2 2 3 2 2 2 4 4" xfId="5374" xr:uid="{00000000-0005-0000-0000-00003C0C0000}"/>
    <cellStyle name="Input 2 2 3 2 2 2 4 4 2" xfId="11204" xr:uid="{00000000-0005-0000-0000-00003D0C0000}"/>
    <cellStyle name="Input 2 2 3 2 2 2 4 5" xfId="6869" xr:uid="{00000000-0005-0000-0000-00003E0C0000}"/>
    <cellStyle name="Input 2 2 3 2 2 2 5" xfId="1806" xr:uid="{00000000-0005-0000-0000-00003F0C0000}"/>
    <cellStyle name="Input 2 2 3 2 2 2 5 2" xfId="7636" xr:uid="{00000000-0005-0000-0000-0000400C0000}"/>
    <cellStyle name="Input 2 2 3 2 2 2 6" xfId="3237" xr:uid="{00000000-0005-0000-0000-0000410C0000}"/>
    <cellStyle name="Input 2 2 3 2 2 2 6 2" xfId="9067" xr:uid="{00000000-0005-0000-0000-0000420C0000}"/>
    <cellStyle name="Input 2 2 3 2 2 2 7" xfId="4649" xr:uid="{00000000-0005-0000-0000-0000430C0000}"/>
    <cellStyle name="Input 2 2 3 2 2 2 7 2" xfId="10479" xr:uid="{00000000-0005-0000-0000-0000440C0000}"/>
    <cellStyle name="Input 2 2 3 2 2 2 8" xfId="6144" xr:uid="{00000000-0005-0000-0000-0000450C0000}"/>
    <cellStyle name="Input 2 2 3 2 2 3" xfId="345" xr:uid="{00000000-0005-0000-0000-0000460C0000}"/>
    <cellStyle name="Input 2 2 3 2 2 3 2" xfId="624" xr:uid="{00000000-0005-0000-0000-0000470C0000}"/>
    <cellStyle name="Input 2 2 3 2 2 3 2 2" xfId="1359" xr:uid="{00000000-0005-0000-0000-0000480C0000}"/>
    <cellStyle name="Input 2 2 3 2 2 3 2 2 2" xfId="2875" xr:uid="{00000000-0005-0000-0000-0000490C0000}"/>
    <cellStyle name="Input 2 2 3 2 2 3 2 2 2 2" xfId="8705" xr:uid="{00000000-0005-0000-0000-00004A0C0000}"/>
    <cellStyle name="Input 2 2 3 2 2 3 2 2 3" xfId="4298" xr:uid="{00000000-0005-0000-0000-00004B0C0000}"/>
    <cellStyle name="Input 2 2 3 2 2 3 2 2 3 2" xfId="10128" xr:uid="{00000000-0005-0000-0000-00004C0C0000}"/>
    <cellStyle name="Input 2 2 3 2 2 3 2 2 4" xfId="5694" xr:uid="{00000000-0005-0000-0000-00004D0C0000}"/>
    <cellStyle name="Input 2 2 3 2 2 3 2 2 4 2" xfId="11524" xr:uid="{00000000-0005-0000-0000-00004E0C0000}"/>
    <cellStyle name="Input 2 2 3 2 2 3 2 2 5" xfId="7189" xr:uid="{00000000-0005-0000-0000-00004F0C0000}"/>
    <cellStyle name="Input 2 2 3 2 2 3 2 3" xfId="2146" xr:uid="{00000000-0005-0000-0000-0000500C0000}"/>
    <cellStyle name="Input 2 2 3 2 2 3 2 3 2" xfId="7976" xr:uid="{00000000-0005-0000-0000-0000510C0000}"/>
    <cellStyle name="Input 2 2 3 2 2 3 2 4" xfId="3573" xr:uid="{00000000-0005-0000-0000-0000520C0000}"/>
    <cellStyle name="Input 2 2 3 2 2 3 2 4 2" xfId="9403" xr:uid="{00000000-0005-0000-0000-0000530C0000}"/>
    <cellStyle name="Input 2 2 3 2 2 3 2 5" xfId="4970" xr:uid="{00000000-0005-0000-0000-0000540C0000}"/>
    <cellStyle name="Input 2 2 3 2 2 3 2 5 2" xfId="10800" xr:uid="{00000000-0005-0000-0000-0000550C0000}"/>
    <cellStyle name="Input 2 2 3 2 2 3 2 6" xfId="6465" xr:uid="{00000000-0005-0000-0000-0000560C0000}"/>
    <cellStyle name="Input 2 2 3 2 2 3 3" xfId="868" xr:uid="{00000000-0005-0000-0000-0000570C0000}"/>
    <cellStyle name="Input 2 2 3 2 2 3 3 2" xfId="1599" xr:uid="{00000000-0005-0000-0000-0000580C0000}"/>
    <cellStyle name="Input 2 2 3 2 2 3 3 2 2" xfId="3115" xr:uid="{00000000-0005-0000-0000-0000590C0000}"/>
    <cellStyle name="Input 2 2 3 2 2 3 3 2 2 2" xfId="8945" xr:uid="{00000000-0005-0000-0000-00005A0C0000}"/>
    <cellStyle name="Input 2 2 3 2 2 3 3 2 3" xfId="4538" xr:uid="{00000000-0005-0000-0000-00005B0C0000}"/>
    <cellStyle name="Input 2 2 3 2 2 3 3 2 3 2" xfId="10368" xr:uid="{00000000-0005-0000-0000-00005C0C0000}"/>
    <cellStyle name="Input 2 2 3 2 2 3 3 2 4" xfId="5934" xr:uid="{00000000-0005-0000-0000-00005D0C0000}"/>
    <cellStyle name="Input 2 2 3 2 2 3 3 2 4 2" xfId="11764" xr:uid="{00000000-0005-0000-0000-00005E0C0000}"/>
    <cellStyle name="Input 2 2 3 2 2 3 3 2 5" xfId="7429" xr:uid="{00000000-0005-0000-0000-00005F0C0000}"/>
    <cellStyle name="Input 2 2 3 2 2 3 3 3" xfId="2388" xr:uid="{00000000-0005-0000-0000-0000600C0000}"/>
    <cellStyle name="Input 2 2 3 2 2 3 3 3 2" xfId="8218" xr:uid="{00000000-0005-0000-0000-0000610C0000}"/>
    <cellStyle name="Input 2 2 3 2 2 3 3 4" xfId="3814" xr:uid="{00000000-0005-0000-0000-0000620C0000}"/>
    <cellStyle name="Input 2 2 3 2 2 3 3 4 2" xfId="9644" xr:uid="{00000000-0005-0000-0000-0000630C0000}"/>
    <cellStyle name="Input 2 2 3 2 2 3 3 5" xfId="5210" xr:uid="{00000000-0005-0000-0000-0000640C0000}"/>
    <cellStyle name="Input 2 2 3 2 2 3 3 5 2" xfId="11040" xr:uid="{00000000-0005-0000-0000-0000650C0000}"/>
    <cellStyle name="Input 2 2 3 2 2 3 3 6" xfId="6705" xr:uid="{00000000-0005-0000-0000-0000660C0000}"/>
    <cellStyle name="Input 2 2 3 2 2 3 4" xfId="1112" xr:uid="{00000000-0005-0000-0000-0000670C0000}"/>
    <cellStyle name="Input 2 2 3 2 2 3 4 2" xfId="2632" xr:uid="{00000000-0005-0000-0000-0000680C0000}"/>
    <cellStyle name="Input 2 2 3 2 2 3 4 2 2" xfId="8462" xr:uid="{00000000-0005-0000-0000-0000690C0000}"/>
    <cellStyle name="Input 2 2 3 2 2 3 4 3" xfId="4058" xr:uid="{00000000-0005-0000-0000-00006A0C0000}"/>
    <cellStyle name="Input 2 2 3 2 2 3 4 3 2" xfId="9888" xr:uid="{00000000-0005-0000-0000-00006B0C0000}"/>
    <cellStyle name="Input 2 2 3 2 2 3 4 4" xfId="5454" xr:uid="{00000000-0005-0000-0000-00006C0C0000}"/>
    <cellStyle name="Input 2 2 3 2 2 3 4 4 2" xfId="11284" xr:uid="{00000000-0005-0000-0000-00006D0C0000}"/>
    <cellStyle name="Input 2 2 3 2 2 3 4 5" xfId="6949" xr:uid="{00000000-0005-0000-0000-00006E0C0000}"/>
    <cellStyle name="Input 2 2 3 2 2 3 5" xfId="1886" xr:uid="{00000000-0005-0000-0000-00006F0C0000}"/>
    <cellStyle name="Input 2 2 3 2 2 3 5 2" xfId="7716" xr:uid="{00000000-0005-0000-0000-0000700C0000}"/>
    <cellStyle name="Input 2 2 3 2 2 3 6" xfId="3317" xr:uid="{00000000-0005-0000-0000-0000710C0000}"/>
    <cellStyle name="Input 2 2 3 2 2 3 6 2" xfId="9147" xr:uid="{00000000-0005-0000-0000-0000720C0000}"/>
    <cellStyle name="Input 2 2 3 2 2 3 7" xfId="4729" xr:uid="{00000000-0005-0000-0000-0000730C0000}"/>
    <cellStyle name="Input 2 2 3 2 2 3 7 2" xfId="10559" xr:uid="{00000000-0005-0000-0000-0000740C0000}"/>
    <cellStyle name="Input 2 2 3 2 2 3 8" xfId="6224" xr:uid="{00000000-0005-0000-0000-0000750C0000}"/>
    <cellStyle name="Input 2 2 3 2 2 4" xfId="464" xr:uid="{00000000-0005-0000-0000-0000760C0000}"/>
    <cellStyle name="Input 2 2 3 2 2 4 2" xfId="1199" xr:uid="{00000000-0005-0000-0000-0000770C0000}"/>
    <cellStyle name="Input 2 2 3 2 2 4 2 2" xfId="2715" xr:uid="{00000000-0005-0000-0000-0000780C0000}"/>
    <cellStyle name="Input 2 2 3 2 2 4 2 2 2" xfId="8545" xr:uid="{00000000-0005-0000-0000-0000790C0000}"/>
    <cellStyle name="Input 2 2 3 2 2 4 2 3" xfId="4138" xr:uid="{00000000-0005-0000-0000-00007A0C0000}"/>
    <cellStyle name="Input 2 2 3 2 2 4 2 3 2" xfId="9968" xr:uid="{00000000-0005-0000-0000-00007B0C0000}"/>
    <cellStyle name="Input 2 2 3 2 2 4 2 4" xfId="5534" xr:uid="{00000000-0005-0000-0000-00007C0C0000}"/>
    <cellStyle name="Input 2 2 3 2 2 4 2 4 2" xfId="11364" xr:uid="{00000000-0005-0000-0000-00007D0C0000}"/>
    <cellStyle name="Input 2 2 3 2 2 4 2 5" xfId="7029" xr:uid="{00000000-0005-0000-0000-00007E0C0000}"/>
    <cellStyle name="Input 2 2 3 2 2 4 3" xfId="1986" xr:uid="{00000000-0005-0000-0000-00007F0C0000}"/>
    <cellStyle name="Input 2 2 3 2 2 4 3 2" xfId="7816" xr:uid="{00000000-0005-0000-0000-0000800C0000}"/>
    <cellStyle name="Input 2 2 3 2 2 4 4" xfId="3413" xr:uid="{00000000-0005-0000-0000-0000810C0000}"/>
    <cellStyle name="Input 2 2 3 2 2 4 4 2" xfId="9243" xr:uid="{00000000-0005-0000-0000-0000820C0000}"/>
    <cellStyle name="Input 2 2 3 2 2 4 5" xfId="4810" xr:uid="{00000000-0005-0000-0000-0000830C0000}"/>
    <cellStyle name="Input 2 2 3 2 2 4 5 2" xfId="10640" xr:uid="{00000000-0005-0000-0000-0000840C0000}"/>
    <cellStyle name="Input 2 2 3 2 2 4 6" xfId="6305" xr:uid="{00000000-0005-0000-0000-0000850C0000}"/>
    <cellStyle name="Input 2 2 3 2 2 5" xfId="708" xr:uid="{00000000-0005-0000-0000-0000860C0000}"/>
    <cellStyle name="Input 2 2 3 2 2 5 2" xfId="1439" xr:uid="{00000000-0005-0000-0000-0000870C0000}"/>
    <cellStyle name="Input 2 2 3 2 2 5 2 2" xfId="2955" xr:uid="{00000000-0005-0000-0000-0000880C0000}"/>
    <cellStyle name="Input 2 2 3 2 2 5 2 2 2" xfId="8785" xr:uid="{00000000-0005-0000-0000-0000890C0000}"/>
    <cellStyle name="Input 2 2 3 2 2 5 2 3" xfId="4378" xr:uid="{00000000-0005-0000-0000-00008A0C0000}"/>
    <cellStyle name="Input 2 2 3 2 2 5 2 3 2" xfId="10208" xr:uid="{00000000-0005-0000-0000-00008B0C0000}"/>
    <cellStyle name="Input 2 2 3 2 2 5 2 4" xfId="5774" xr:uid="{00000000-0005-0000-0000-00008C0C0000}"/>
    <cellStyle name="Input 2 2 3 2 2 5 2 4 2" xfId="11604" xr:uid="{00000000-0005-0000-0000-00008D0C0000}"/>
    <cellStyle name="Input 2 2 3 2 2 5 2 5" xfId="7269" xr:uid="{00000000-0005-0000-0000-00008E0C0000}"/>
    <cellStyle name="Input 2 2 3 2 2 5 3" xfId="2228" xr:uid="{00000000-0005-0000-0000-00008F0C0000}"/>
    <cellStyle name="Input 2 2 3 2 2 5 3 2" xfId="8058" xr:uid="{00000000-0005-0000-0000-0000900C0000}"/>
    <cellStyle name="Input 2 2 3 2 2 5 4" xfId="3654" xr:uid="{00000000-0005-0000-0000-0000910C0000}"/>
    <cellStyle name="Input 2 2 3 2 2 5 4 2" xfId="9484" xr:uid="{00000000-0005-0000-0000-0000920C0000}"/>
    <cellStyle name="Input 2 2 3 2 2 5 5" xfId="5050" xr:uid="{00000000-0005-0000-0000-0000930C0000}"/>
    <cellStyle name="Input 2 2 3 2 2 5 5 2" xfId="10880" xr:uid="{00000000-0005-0000-0000-0000940C0000}"/>
    <cellStyle name="Input 2 2 3 2 2 5 6" xfId="6545" xr:uid="{00000000-0005-0000-0000-0000950C0000}"/>
    <cellStyle name="Input 2 2 3 2 2 6" xfId="952" xr:uid="{00000000-0005-0000-0000-0000960C0000}"/>
    <cellStyle name="Input 2 2 3 2 2 6 2" xfId="2472" xr:uid="{00000000-0005-0000-0000-0000970C0000}"/>
    <cellStyle name="Input 2 2 3 2 2 6 2 2" xfId="8302" xr:uid="{00000000-0005-0000-0000-0000980C0000}"/>
    <cellStyle name="Input 2 2 3 2 2 6 3" xfId="3898" xr:uid="{00000000-0005-0000-0000-0000990C0000}"/>
    <cellStyle name="Input 2 2 3 2 2 6 3 2" xfId="9728" xr:uid="{00000000-0005-0000-0000-00009A0C0000}"/>
    <cellStyle name="Input 2 2 3 2 2 6 4" xfId="5294" xr:uid="{00000000-0005-0000-0000-00009B0C0000}"/>
    <cellStyle name="Input 2 2 3 2 2 6 4 2" xfId="11124" xr:uid="{00000000-0005-0000-0000-00009C0C0000}"/>
    <cellStyle name="Input 2 2 3 2 2 6 5" xfId="6789" xr:uid="{00000000-0005-0000-0000-00009D0C0000}"/>
    <cellStyle name="Input 2 2 3 2 2 7" xfId="1726" xr:uid="{00000000-0005-0000-0000-00009E0C0000}"/>
    <cellStyle name="Input 2 2 3 2 2 7 2" xfId="7556" xr:uid="{00000000-0005-0000-0000-00009F0C0000}"/>
    <cellStyle name="Input 2 2 3 2 2 8" xfId="3157" xr:uid="{00000000-0005-0000-0000-0000A00C0000}"/>
    <cellStyle name="Input 2 2 3 2 2 8 2" xfId="8987" xr:uid="{00000000-0005-0000-0000-0000A10C0000}"/>
    <cellStyle name="Input 2 2 3 2 2 9" xfId="4569" xr:uid="{00000000-0005-0000-0000-0000A20C0000}"/>
    <cellStyle name="Input 2 2 3 2 2 9 2" xfId="10399" xr:uid="{00000000-0005-0000-0000-0000A30C0000}"/>
    <cellStyle name="Input 2 2 3 2 3" xfId="225" xr:uid="{00000000-0005-0000-0000-0000A40C0000}"/>
    <cellStyle name="Input 2 2 3 2 3 2" xfId="504" xr:uid="{00000000-0005-0000-0000-0000A50C0000}"/>
    <cellStyle name="Input 2 2 3 2 3 2 2" xfId="1239" xr:uid="{00000000-0005-0000-0000-0000A60C0000}"/>
    <cellStyle name="Input 2 2 3 2 3 2 2 2" xfId="2755" xr:uid="{00000000-0005-0000-0000-0000A70C0000}"/>
    <cellStyle name="Input 2 2 3 2 3 2 2 2 2" xfId="8585" xr:uid="{00000000-0005-0000-0000-0000A80C0000}"/>
    <cellStyle name="Input 2 2 3 2 3 2 2 3" xfId="4178" xr:uid="{00000000-0005-0000-0000-0000A90C0000}"/>
    <cellStyle name="Input 2 2 3 2 3 2 2 3 2" xfId="10008" xr:uid="{00000000-0005-0000-0000-0000AA0C0000}"/>
    <cellStyle name="Input 2 2 3 2 3 2 2 4" xfId="5574" xr:uid="{00000000-0005-0000-0000-0000AB0C0000}"/>
    <cellStyle name="Input 2 2 3 2 3 2 2 4 2" xfId="11404" xr:uid="{00000000-0005-0000-0000-0000AC0C0000}"/>
    <cellStyle name="Input 2 2 3 2 3 2 2 5" xfId="7069" xr:uid="{00000000-0005-0000-0000-0000AD0C0000}"/>
    <cellStyle name="Input 2 2 3 2 3 2 3" xfId="2026" xr:uid="{00000000-0005-0000-0000-0000AE0C0000}"/>
    <cellStyle name="Input 2 2 3 2 3 2 3 2" xfId="7856" xr:uid="{00000000-0005-0000-0000-0000AF0C0000}"/>
    <cellStyle name="Input 2 2 3 2 3 2 4" xfId="3453" xr:uid="{00000000-0005-0000-0000-0000B00C0000}"/>
    <cellStyle name="Input 2 2 3 2 3 2 4 2" xfId="9283" xr:uid="{00000000-0005-0000-0000-0000B10C0000}"/>
    <cellStyle name="Input 2 2 3 2 3 2 5" xfId="4850" xr:uid="{00000000-0005-0000-0000-0000B20C0000}"/>
    <cellStyle name="Input 2 2 3 2 3 2 5 2" xfId="10680" xr:uid="{00000000-0005-0000-0000-0000B30C0000}"/>
    <cellStyle name="Input 2 2 3 2 3 2 6" xfId="6345" xr:uid="{00000000-0005-0000-0000-0000B40C0000}"/>
    <cellStyle name="Input 2 2 3 2 3 3" xfId="748" xr:uid="{00000000-0005-0000-0000-0000B50C0000}"/>
    <cellStyle name="Input 2 2 3 2 3 3 2" xfId="1479" xr:uid="{00000000-0005-0000-0000-0000B60C0000}"/>
    <cellStyle name="Input 2 2 3 2 3 3 2 2" xfId="2995" xr:uid="{00000000-0005-0000-0000-0000B70C0000}"/>
    <cellStyle name="Input 2 2 3 2 3 3 2 2 2" xfId="8825" xr:uid="{00000000-0005-0000-0000-0000B80C0000}"/>
    <cellStyle name="Input 2 2 3 2 3 3 2 3" xfId="4418" xr:uid="{00000000-0005-0000-0000-0000B90C0000}"/>
    <cellStyle name="Input 2 2 3 2 3 3 2 3 2" xfId="10248" xr:uid="{00000000-0005-0000-0000-0000BA0C0000}"/>
    <cellStyle name="Input 2 2 3 2 3 3 2 4" xfId="5814" xr:uid="{00000000-0005-0000-0000-0000BB0C0000}"/>
    <cellStyle name="Input 2 2 3 2 3 3 2 4 2" xfId="11644" xr:uid="{00000000-0005-0000-0000-0000BC0C0000}"/>
    <cellStyle name="Input 2 2 3 2 3 3 2 5" xfId="7309" xr:uid="{00000000-0005-0000-0000-0000BD0C0000}"/>
    <cellStyle name="Input 2 2 3 2 3 3 3" xfId="2268" xr:uid="{00000000-0005-0000-0000-0000BE0C0000}"/>
    <cellStyle name="Input 2 2 3 2 3 3 3 2" xfId="8098" xr:uid="{00000000-0005-0000-0000-0000BF0C0000}"/>
    <cellStyle name="Input 2 2 3 2 3 3 4" xfId="3694" xr:uid="{00000000-0005-0000-0000-0000C00C0000}"/>
    <cellStyle name="Input 2 2 3 2 3 3 4 2" xfId="9524" xr:uid="{00000000-0005-0000-0000-0000C10C0000}"/>
    <cellStyle name="Input 2 2 3 2 3 3 5" xfId="5090" xr:uid="{00000000-0005-0000-0000-0000C20C0000}"/>
    <cellStyle name="Input 2 2 3 2 3 3 5 2" xfId="10920" xr:uid="{00000000-0005-0000-0000-0000C30C0000}"/>
    <cellStyle name="Input 2 2 3 2 3 3 6" xfId="6585" xr:uid="{00000000-0005-0000-0000-0000C40C0000}"/>
    <cellStyle name="Input 2 2 3 2 3 4" xfId="992" xr:uid="{00000000-0005-0000-0000-0000C50C0000}"/>
    <cellStyle name="Input 2 2 3 2 3 4 2" xfId="2512" xr:uid="{00000000-0005-0000-0000-0000C60C0000}"/>
    <cellStyle name="Input 2 2 3 2 3 4 2 2" xfId="8342" xr:uid="{00000000-0005-0000-0000-0000C70C0000}"/>
    <cellStyle name="Input 2 2 3 2 3 4 3" xfId="3938" xr:uid="{00000000-0005-0000-0000-0000C80C0000}"/>
    <cellStyle name="Input 2 2 3 2 3 4 3 2" xfId="9768" xr:uid="{00000000-0005-0000-0000-0000C90C0000}"/>
    <cellStyle name="Input 2 2 3 2 3 4 4" xfId="5334" xr:uid="{00000000-0005-0000-0000-0000CA0C0000}"/>
    <cellStyle name="Input 2 2 3 2 3 4 4 2" xfId="11164" xr:uid="{00000000-0005-0000-0000-0000CB0C0000}"/>
    <cellStyle name="Input 2 2 3 2 3 4 5" xfId="6829" xr:uid="{00000000-0005-0000-0000-0000CC0C0000}"/>
    <cellStyle name="Input 2 2 3 2 3 5" xfId="1766" xr:uid="{00000000-0005-0000-0000-0000CD0C0000}"/>
    <cellStyle name="Input 2 2 3 2 3 5 2" xfId="7596" xr:uid="{00000000-0005-0000-0000-0000CE0C0000}"/>
    <cellStyle name="Input 2 2 3 2 3 6" xfId="3197" xr:uid="{00000000-0005-0000-0000-0000CF0C0000}"/>
    <cellStyle name="Input 2 2 3 2 3 6 2" xfId="9027" xr:uid="{00000000-0005-0000-0000-0000D00C0000}"/>
    <cellStyle name="Input 2 2 3 2 3 7" xfId="4609" xr:uid="{00000000-0005-0000-0000-0000D10C0000}"/>
    <cellStyle name="Input 2 2 3 2 3 7 2" xfId="10439" xr:uid="{00000000-0005-0000-0000-0000D20C0000}"/>
    <cellStyle name="Input 2 2 3 2 3 8" xfId="6104" xr:uid="{00000000-0005-0000-0000-0000D30C0000}"/>
    <cellStyle name="Input 2 2 3 2 4" xfId="305" xr:uid="{00000000-0005-0000-0000-0000D40C0000}"/>
    <cellStyle name="Input 2 2 3 2 4 2" xfId="584" xr:uid="{00000000-0005-0000-0000-0000D50C0000}"/>
    <cellStyle name="Input 2 2 3 2 4 2 2" xfId="1319" xr:uid="{00000000-0005-0000-0000-0000D60C0000}"/>
    <cellStyle name="Input 2 2 3 2 4 2 2 2" xfId="2835" xr:uid="{00000000-0005-0000-0000-0000D70C0000}"/>
    <cellStyle name="Input 2 2 3 2 4 2 2 2 2" xfId="8665" xr:uid="{00000000-0005-0000-0000-0000D80C0000}"/>
    <cellStyle name="Input 2 2 3 2 4 2 2 3" xfId="4258" xr:uid="{00000000-0005-0000-0000-0000D90C0000}"/>
    <cellStyle name="Input 2 2 3 2 4 2 2 3 2" xfId="10088" xr:uid="{00000000-0005-0000-0000-0000DA0C0000}"/>
    <cellStyle name="Input 2 2 3 2 4 2 2 4" xfId="5654" xr:uid="{00000000-0005-0000-0000-0000DB0C0000}"/>
    <cellStyle name="Input 2 2 3 2 4 2 2 4 2" xfId="11484" xr:uid="{00000000-0005-0000-0000-0000DC0C0000}"/>
    <cellStyle name="Input 2 2 3 2 4 2 2 5" xfId="7149" xr:uid="{00000000-0005-0000-0000-0000DD0C0000}"/>
    <cellStyle name="Input 2 2 3 2 4 2 3" xfId="2106" xr:uid="{00000000-0005-0000-0000-0000DE0C0000}"/>
    <cellStyle name="Input 2 2 3 2 4 2 3 2" xfId="7936" xr:uid="{00000000-0005-0000-0000-0000DF0C0000}"/>
    <cellStyle name="Input 2 2 3 2 4 2 4" xfId="3533" xr:uid="{00000000-0005-0000-0000-0000E00C0000}"/>
    <cellStyle name="Input 2 2 3 2 4 2 4 2" xfId="9363" xr:uid="{00000000-0005-0000-0000-0000E10C0000}"/>
    <cellStyle name="Input 2 2 3 2 4 2 5" xfId="4930" xr:uid="{00000000-0005-0000-0000-0000E20C0000}"/>
    <cellStyle name="Input 2 2 3 2 4 2 5 2" xfId="10760" xr:uid="{00000000-0005-0000-0000-0000E30C0000}"/>
    <cellStyle name="Input 2 2 3 2 4 2 6" xfId="6425" xr:uid="{00000000-0005-0000-0000-0000E40C0000}"/>
    <cellStyle name="Input 2 2 3 2 4 3" xfId="828" xr:uid="{00000000-0005-0000-0000-0000E50C0000}"/>
    <cellStyle name="Input 2 2 3 2 4 3 2" xfId="1559" xr:uid="{00000000-0005-0000-0000-0000E60C0000}"/>
    <cellStyle name="Input 2 2 3 2 4 3 2 2" xfId="3075" xr:uid="{00000000-0005-0000-0000-0000E70C0000}"/>
    <cellStyle name="Input 2 2 3 2 4 3 2 2 2" xfId="8905" xr:uid="{00000000-0005-0000-0000-0000E80C0000}"/>
    <cellStyle name="Input 2 2 3 2 4 3 2 3" xfId="4498" xr:uid="{00000000-0005-0000-0000-0000E90C0000}"/>
    <cellStyle name="Input 2 2 3 2 4 3 2 3 2" xfId="10328" xr:uid="{00000000-0005-0000-0000-0000EA0C0000}"/>
    <cellStyle name="Input 2 2 3 2 4 3 2 4" xfId="5894" xr:uid="{00000000-0005-0000-0000-0000EB0C0000}"/>
    <cellStyle name="Input 2 2 3 2 4 3 2 4 2" xfId="11724" xr:uid="{00000000-0005-0000-0000-0000EC0C0000}"/>
    <cellStyle name="Input 2 2 3 2 4 3 2 5" xfId="7389" xr:uid="{00000000-0005-0000-0000-0000ED0C0000}"/>
    <cellStyle name="Input 2 2 3 2 4 3 3" xfId="2348" xr:uid="{00000000-0005-0000-0000-0000EE0C0000}"/>
    <cellStyle name="Input 2 2 3 2 4 3 3 2" xfId="8178" xr:uid="{00000000-0005-0000-0000-0000EF0C0000}"/>
    <cellStyle name="Input 2 2 3 2 4 3 4" xfId="3774" xr:uid="{00000000-0005-0000-0000-0000F00C0000}"/>
    <cellStyle name="Input 2 2 3 2 4 3 4 2" xfId="9604" xr:uid="{00000000-0005-0000-0000-0000F10C0000}"/>
    <cellStyle name="Input 2 2 3 2 4 3 5" xfId="5170" xr:uid="{00000000-0005-0000-0000-0000F20C0000}"/>
    <cellStyle name="Input 2 2 3 2 4 3 5 2" xfId="11000" xr:uid="{00000000-0005-0000-0000-0000F30C0000}"/>
    <cellStyle name="Input 2 2 3 2 4 3 6" xfId="6665" xr:uid="{00000000-0005-0000-0000-0000F40C0000}"/>
    <cellStyle name="Input 2 2 3 2 4 4" xfId="1072" xr:uid="{00000000-0005-0000-0000-0000F50C0000}"/>
    <cellStyle name="Input 2 2 3 2 4 4 2" xfId="2592" xr:uid="{00000000-0005-0000-0000-0000F60C0000}"/>
    <cellStyle name="Input 2 2 3 2 4 4 2 2" xfId="8422" xr:uid="{00000000-0005-0000-0000-0000F70C0000}"/>
    <cellStyle name="Input 2 2 3 2 4 4 3" xfId="4018" xr:uid="{00000000-0005-0000-0000-0000F80C0000}"/>
    <cellStyle name="Input 2 2 3 2 4 4 3 2" xfId="9848" xr:uid="{00000000-0005-0000-0000-0000F90C0000}"/>
    <cellStyle name="Input 2 2 3 2 4 4 4" xfId="5414" xr:uid="{00000000-0005-0000-0000-0000FA0C0000}"/>
    <cellStyle name="Input 2 2 3 2 4 4 4 2" xfId="11244" xr:uid="{00000000-0005-0000-0000-0000FB0C0000}"/>
    <cellStyle name="Input 2 2 3 2 4 4 5" xfId="6909" xr:uid="{00000000-0005-0000-0000-0000FC0C0000}"/>
    <cellStyle name="Input 2 2 3 2 4 5" xfId="1846" xr:uid="{00000000-0005-0000-0000-0000FD0C0000}"/>
    <cellStyle name="Input 2 2 3 2 4 5 2" xfId="7676" xr:uid="{00000000-0005-0000-0000-0000FE0C0000}"/>
    <cellStyle name="Input 2 2 3 2 4 6" xfId="3277" xr:uid="{00000000-0005-0000-0000-0000FF0C0000}"/>
    <cellStyle name="Input 2 2 3 2 4 6 2" xfId="9107" xr:uid="{00000000-0005-0000-0000-0000000D0000}"/>
    <cellStyle name="Input 2 2 3 2 4 7" xfId="4689" xr:uid="{00000000-0005-0000-0000-0000010D0000}"/>
    <cellStyle name="Input 2 2 3 2 4 7 2" xfId="10519" xr:uid="{00000000-0005-0000-0000-0000020D0000}"/>
    <cellStyle name="Input 2 2 3 2 4 8" xfId="6184" xr:uid="{00000000-0005-0000-0000-0000030D0000}"/>
    <cellStyle name="Input 2 2 3 2 5" xfId="424" xr:uid="{00000000-0005-0000-0000-0000040D0000}"/>
    <cellStyle name="Input 2 2 3 2 5 2" xfId="1159" xr:uid="{00000000-0005-0000-0000-0000050D0000}"/>
    <cellStyle name="Input 2 2 3 2 5 2 2" xfId="2675" xr:uid="{00000000-0005-0000-0000-0000060D0000}"/>
    <cellStyle name="Input 2 2 3 2 5 2 2 2" xfId="8505" xr:uid="{00000000-0005-0000-0000-0000070D0000}"/>
    <cellStyle name="Input 2 2 3 2 5 2 3" xfId="4098" xr:uid="{00000000-0005-0000-0000-0000080D0000}"/>
    <cellStyle name="Input 2 2 3 2 5 2 3 2" xfId="9928" xr:uid="{00000000-0005-0000-0000-0000090D0000}"/>
    <cellStyle name="Input 2 2 3 2 5 2 4" xfId="5494" xr:uid="{00000000-0005-0000-0000-00000A0D0000}"/>
    <cellStyle name="Input 2 2 3 2 5 2 4 2" xfId="11324" xr:uid="{00000000-0005-0000-0000-00000B0D0000}"/>
    <cellStyle name="Input 2 2 3 2 5 2 5" xfId="6989" xr:uid="{00000000-0005-0000-0000-00000C0D0000}"/>
    <cellStyle name="Input 2 2 3 2 5 3" xfId="1946" xr:uid="{00000000-0005-0000-0000-00000D0D0000}"/>
    <cellStyle name="Input 2 2 3 2 5 3 2" xfId="7776" xr:uid="{00000000-0005-0000-0000-00000E0D0000}"/>
    <cellStyle name="Input 2 2 3 2 5 4" xfId="3373" xr:uid="{00000000-0005-0000-0000-00000F0D0000}"/>
    <cellStyle name="Input 2 2 3 2 5 4 2" xfId="9203" xr:uid="{00000000-0005-0000-0000-0000100D0000}"/>
    <cellStyle name="Input 2 2 3 2 5 5" xfId="4770" xr:uid="{00000000-0005-0000-0000-0000110D0000}"/>
    <cellStyle name="Input 2 2 3 2 5 5 2" xfId="10600" xr:uid="{00000000-0005-0000-0000-0000120D0000}"/>
    <cellStyle name="Input 2 2 3 2 5 6" xfId="6265" xr:uid="{00000000-0005-0000-0000-0000130D0000}"/>
    <cellStyle name="Input 2 2 3 2 6" xfId="668" xr:uid="{00000000-0005-0000-0000-0000140D0000}"/>
    <cellStyle name="Input 2 2 3 2 6 2" xfId="1399" xr:uid="{00000000-0005-0000-0000-0000150D0000}"/>
    <cellStyle name="Input 2 2 3 2 6 2 2" xfId="2915" xr:uid="{00000000-0005-0000-0000-0000160D0000}"/>
    <cellStyle name="Input 2 2 3 2 6 2 2 2" xfId="8745" xr:uid="{00000000-0005-0000-0000-0000170D0000}"/>
    <cellStyle name="Input 2 2 3 2 6 2 3" xfId="4338" xr:uid="{00000000-0005-0000-0000-0000180D0000}"/>
    <cellStyle name="Input 2 2 3 2 6 2 3 2" xfId="10168" xr:uid="{00000000-0005-0000-0000-0000190D0000}"/>
    <cellStyle name="Input 2 2 3 2 6 2 4" xfId="5734" xr:uid="{00000000-0005-0000-0000-00001A0D0000}"/>
    <cellStyle name="Input 2 2 3 2 6 2 4 2" xfId="11564" xr:uid="{00000000-0005-0000-0000-00001B0D0000}"/>
    <cellStyle name="Input 2 2 3 2 6 2 5" xfId="7229" xr:uid="{00000000-0005-0000-0000-00001C0D0000}"/>
    <cellStyle name="Input 2 2 3 2 6 3" xfId="2188" xr:uid="{00000000-0005-0000-0000-00001D0D0000}"/>
    <cellStyle name="Input 2 2 3 2 6 3 2" xfId="8018" xr:uid="{00000000-0005-0000-0000-00001E0D0000}"/>
    <cellStyle name="Input 2 2 3 2 6 4" xfId="3614" xr:uid="{00000000-0005-0000-0000-00001F0D0000}"/>
    <cellStyle name="Input 2 2 3 2 6 4 2" xfId="9444" xr:uid="{00000000-0005-0000-0000-0000200D0000}"/>
    <cellStyle name="Input 2 2 3 2 6 5" xfId="5010" xr:uid="{00000000-0005-0000-0000-0000210D0000}"/>
    <cellStyle name="Input 2 2 3 2 6 5 2" xfId="10840" xr:uid="{00000000-0005-0000-0000-0000220D0000}"/>
    <cellStyle name="Input 2 2 3 2 6 6" xfId="6505" xr:uid="{00000000-0005-0000-0000-0000230D0000}"/>
    <cellStyle name="Input 2 2 3 2 7" xfId="912" xr:uid="{00000000-0005-0000-0000-0000240D0000}"/>
    <cellStyle name="Input 2 2 3 2 7 2" xfId="2432" xr:uid="{00000000-0005-0000-0000-0000250D0000}"/>
    <cellStyle name="Input 2 2 3 2 7 2 2" xfId="8262" xr:uid="{00000000-0005-0000-0000-0000260D0000}"/>
    <cellStyle name="Input 2 2 3 2 7 3" xfId="3858" xr:uid="{00000000-0005-0000-0000-0000270D0000}"/>
    <cellStyle name="Input 2 2 3 2 7 3 2" xfId="9688" xr:uid="{00000000-0005-0000-0000-0000280D0000}"/>
    <cellStyle name="Input 2 2 3 2 7 4" xfId="5254" xr:uid="{00000000-0005-0000-0000-0000290D0000}"/>
    <cellStyle name="Input 2 2 3 2 7 4 2" xfId="11084" xr:uid="{00000000-0005-0000-0000-00002A0D0000}"/>
    <cellStyle name="Input 2 2 3 2 7 5" xfId="6749" xr:uid="{00000000-0005-0000-0000-00002B0D0000}"/>
    <cellStyle name="Input 2 2 3 2 8" xfId="1686" xr:uid="{00000000-0005-0000-0000-00002C0D0000}"/>
    <cellStyle name="Input 2 2 3 2 8 2" xfId="7516" xr:uid="{00000000-0005-0000-0000-00002D0D0000}"/>
    <cellStyle name="Input 2 2 3 2 9" xfId="1626" xr:uid="{00000000-0005-0000-0000-00002E0D0000}"/>
    <cellStyle name="Input 2 2 3 2 9 2" xfId="7456" xr:uid="{00000000-0005-0000-0000-00002F0D0000}"/>
    <cellStyle name="Input 2 2 3 3" xfId="164" xr:uid="{00000000-0005-0000-0000-0000300D0000}"/>
    <cellStyle name="Input 2 2 3 3 10" xfId="6044" xr:uid="{00000000-0005-0000-0000-0000310D0000}"/>
    <cellStyle name="Input 2 2 3 3 2" xfId="245" xr:uid="{00000000-0005-0000-0000-0000320D0000}"/>
    <cellStyle name="Input 2 2 3 3 2 2" xfId="524" xr:uid="{00000000-0005-0000-0000-0000330D0000}"/>
    <cellStyle name="Input 2 2 3 3 2 2 2" xfId="1259" xr:uid="{00000000-0005-0000-0000-0000340D0000}"/>
    <cellStyle name="Input 2 2 3 3 2 2 2 2" xfId="2775" xr:uid="{00000000-0005-0000-0000-0000350D0000}"/>
    <cellStyle name="Input 2 2 3 3 2 2 2 2 2" xfId="8605" xr:uid="{00000000-0005-0000-0000-0000360D0000}"/>
    <cellStyle name="Input 2 2 3 3 2 2 2 3" xfId="4198" xr:uid="{00000000-0005-0000-0000-0000370D0000}"/>
    <cellStyle name="Input 2 2 3 3 2 2 2 3 2" xfId="10028" xr:uid="{00000000-0005-0000-0000-0000380D0000}"/>
    <cellStyle name="Input 2 2 3 3 2 2 2 4" xfId="5594" xr:uid="{00000000-0005-0000-0000-0000390D0000}"/>
    <cellStyle name="Input 2 2 3 3 2 2 2 4 2" xfId="11424" xr:uid="{00000000-0005-0000-0000-00003A0D0000}"/>
    <cellStyle name="Input 2 2 3 3 2 2 2 5" xfId="7089" xr:uid="{00000000-0005-0000-0000-00003B0D0000}"/>
    <cellStyle name="Input 2 2 3 3 2 2 3" xfId="2046" xr:uid="{00000000-0005-0000-0000-00003C0D0000}"/>
    <cellStyle name="Input 2 2 3 3 2 2 3 2" xfId="7876" xr:uid="{00000000-0005-0000-0000-00003D0D0000}"/>
    <cellStyle name="Input 2 2 3 3 2 2 4" xfId="3473" xr:uid="{00000000-0005-0000-0000-00003E0D0000}"/>
    <cellStyle name="Input 2 2 3 3 2 2 4 2" xfId="9303" xr:uid="{00000000-0005-0000-0000-00003F0D0000}"/>
    <cellStyle name="Input 2 2 3 3 2 2 5" xfId="4870" xr:uid="{00000000-0005-0000-0000-0000400D0000}"/>
    <cellStyle name="Input 2 2 3 3 2 2 5 2" xfId="10700" xr:uid="{00000000-0005-0000-0000-0000410D0000}"/>
    <cellStyle name="Input 2 2 3 3 2 2 6" xfId="6365" xr:uid="{00000000-0005-0000-0000-0000420D0000}"/>
    <cellStyle name="Input 2 2 3 3 2 3" xfId="768" xr:uid="{00000000-0005-0000-0000-0000430D0000}"/>
    <cellStyle name="Input 2 2 3 3 2 3 2" xfId="1499" xr:uid="{00000000-0005-0000-0000-0000440D0000}"/>
    <cellStyle name="Input 2 2 3 3 2 3 2 2" xfId="3015" xr:uid="{00000000-0005-0000-0000-0000450D0000}"/>
    <cellStyle name="Input 2 2 3 3 2 3 2 2 2" xfId="8845" xr:uid="{00000000-0005-0000-0000-0000460D0000}"/>
    <cellStyle name="Input 2 2 3 3 2 3 2 3" xfId="4438" xr:uid="{00000000-0005-0000-0000-0000470D0000}"/>
    <cellStyle name="Input 2 2 3 3 2 3 2 3 2" xfId="10268" xr:uid="{00000000-0005-0000-0000-0000480D0000}"/>
    <cellStyle name="Input 2 2 3 3 2 3 2 4" xfId="5834" xr:uid="{00000000-0005-0000-0000-0000490D0000}"/>
    <cellStyle name="Input 2 2 3 3 2 3 2 4 2" xfId="11664" xr:uid="{00000000-0005-0000-0000-00004A0D0000}"/>
    <cellStyle name="Input 2 2 3 3 2 3 2 5" xfId="7329" xr:uid="{00000000-0005-0000-0000-00004B0D0000}"/>
    <cellStyle name="Input 2 2 3 3 2 3 3" xfId="2288" xr:uid="{00000000-0005-0000-0000-00004C0D0000}"/>
    <cellStyle name="Input 2 2 3 3 2 3 3 2" xfId="8118" xr:uid="{00000000-0005-0000-0000-00004D0D0000}"/>
    <cellStyle name="Input 2 2 3 3 2 3 4" xfId="3714" xr:uid="{00000000-0005-0000-0000-00004E0D0000}"/>
    <cellStyle name="Input 2 2 3 3 2 3 4 2" xfId="9544" xr:uid="{00000000-0005-0000-0000-00004F0D0000}"/>
    <cellStyle name="Input 2 2 3 3 2 3 5" xfId="5110" xr:uid="{00000000-0005-0000-0000-0000500D0000}"/>
    <cellStyle name="Input 2 2 3 3 2 3 5 2" xfId="10940" xr:uid="{00000000-0005-0000-0000-0000510D0000}"/>
    <cellStyle name="Input 2 2 3 3 2 3 6" xfId="6605" xr:uid="{00000000-0005-0000-0000-0000520D0000}"/>
    <cellStyle name="Input 2 2 3 3 2 4" xfId="1012" xr:uid="{00000000-0005-0000-0000-0000530D0000}"/>
    <cellStyle name="Input 2 2 3 3 2 4 2" xfId="2532" xr:uid="{00000000-0005-0000-0000-0000540D0000}"/>
    <cellStyle name="Input 2 2 3 3 2 4 2 2" xfId="8362" xr:uid="{00000000-0005-0000-0000-0000550D0000}"/>
    <cellStyle name="Input 2 2 3 3 2 4 3" xfId="3958" xr:uid="{00000000-0005-0000-0000-0000560D0000}"/>
    <cellStyle name="Input 2 2 3 3 2 4 3 2" xfId="9788" xr:uid="{00000000-0005-0000-0000-0000570D0000}"/>
    <cellStyle name="Input 2 2 3 3 2 4 4" xfId="5354" xr:uid="{00000000-0005-0000-0000-0000580D0000}"/>
    <cellStyle name="Input 2 2 3 3 2 4 4 2" xfId="11184" xr:uid="{00000000-0005-0000-0000-0000590D0000}"/>
    <cellStyle name="Input 2 2 3 3 2 4 5" xfId="6849" xr:uid="{00000000-0005-0000-0000-00005A0D0000}"/>
    <cellStyle name="Input 2 2 3 3 2 5" xfId="1786" xr:uid="{00000000-0005-0000-0000-00005B0D0000}"/>
    <cellStyle name="Input 2 2 3 3 2 5 2" xfId="7616" xr:uid="{00000000-0005-0000-0000-00005C0D0000}"/>
    <cellStyle name="Input 2 2 3 3 2 6" xfId="3217" xr:uid="{00000000-0005-0000-0000-00005D0D0000}"/>
    <cellStyle name="Input 2 2 3 3 2 6 2" xfId="9047" xr:uid="{00000000-0005-0000-0000-00005E0D0000}"/>
    <cellStyle name="Input 2 2 3 3 2 7" xfId="4629" xr:uid="{00000000-0005-0000-0000-00005F0D0000}"/>
    <cellStyle name="Input 2 2 3 3 2 7 2" xfId="10459" xr:uid="{00000000-0005-0000-0000-0000600D0000}"/>
    <cellStyle name="Input 2 2 3 3 2 8" xfId="6124" xr:uid="{00000000-0005-0000-0000-0000610D0000}"/>
    <cellStyle name="Input 2 2 3 3 3" xfId="325" xr:uid="{00000000-0005-0000-0000-0000620D0000}"/>
    <cellStyle name="Input 2 2 3 3 3 2" xfId="604" xr:uid="{00000000-0005-0000-0000-0000630D0000}"/>
    <cellStyle name="Input 2 2 3 3 3 2 2" xfId="1339" xr:uid="{00000000-0005-0000-0000-0000640D0000}"/>
    <cellStyle name="Input 2 2 3 3 3 2 2 2" xfId="2855" xr:uid="{00000000-0005-0000-0000-0000650D0000}"/>
    <cellStyle name="Input 2 2 3 3 3 2 2 2 2" xfId="8685" xr:uid="{00000000-0005-0000-0000-0000660D0000}"/>
    <cellStyle name="Input 2 2 3 3 3 2 2 3" xfId="4278" xr:uid="{00000000-0005-0000-0000-0000670D0000}"/>
    <cellStyle name="Input 2 2 3 3 3 2 2 3 2" xfId="10108" xr:uid="{00000000-0005-0000-0000-0000680D0000}"/>
    <cellStyle name="Input 2 2 3 3 3 2 2 4" xfId="5674" xr:uid="{00000000-0005-0000-0000-0000690D0000}"/>
    <cellStyle name="Input 2 2 3 3 3 2 2 4 2" xfId="11504" xr:uid="{00000000-0005-0000-0000-00006A0D0000}"/>
    <cellStyle name="Input 2 2 3 3 3 2 2 5" xfId="7169" xr:uid="{00000000-0005-0000-0000-00006B0D0000}"/>
    <cellStyle name="Input 2 2 3 3 3 2 3" xfId="2126" xr:uid="{00000000-0005-0000-0000-00006C0D0000}"/>
    <cellStyle name="Input 2 2 3 3 3 2 3 2" xfId="7956" xr:uid="{00000000-0005-0000-0000-00006D0D0000}"/>
    <cellStyle name="Input 2 2 3 3 3 2 4" xfId="3553" xr:uid="{00000000-0005-0000-0000-00006E0D0000}"/>
    <cellStyle name="Input 2 2 3 3 3 2 4 2" xfId="9383" xr:uid="{00000000-0005-0000-0000-00006F0D0000}"/>
    <cellStyle name="Input 2 2 3 3 3 2 5" xfId="4950" xr:uid="{00000000-0005-0000-0000-0000700D0000}"/>
    <cellStyle name="Input 2 2 3 3 3 2 5 2" xfId="10780" xr:uid="{00000000-0005-0000-0000-0000710D0000}"/>
    <cellStyle name="Input 2 2 3 3 3 2 6" xfId="6445" xr:uid="{00000000-0005-0000-0000-0000720D0000}"/>
    <cellStyle name="Input 2 2 3 3 3 3" xfId="848" xr:uid="{00000000-0005-0000-0000-0000730D0000}"/>
    <cellStyle name="Input 2 2 3 3 3 3 2" xfId="1579" xr:uid="{00000000-0005-0000-0000-0000740D0000}"/>
    <cellStyle name="Input 2 2 3 3 3 3 2 2" xfId="3095" xr:uid="{00000000-0005-0000-0000-0000750D0000}"/>
    <cellStyle name="Input 2 2 3 3 3 3 2 2 2" xfId="8925" xr:uid="{00000000-0005-0000-0000-0000760D0000}"/>
    <cellStyle name="Input 2 2 3 3 3 3 2 3" xfId="4518" xr:uid="{00000000-0005-0000-0000-0000770D0000}"/>
    <cellStyle name="Input 2 2 3 3 3 3 2 3 2" xfId="10348" xr:uid="{00000000-0005-0000-0000-0000780D0000}"/>
    <cellStyle name="Input 2 2 3 3 3 3 2 4" xfId="5914" xr:uid="{00000000-0005-0000-0000-0000790D0000}"/>
    <cellStyle name="Input 2 2 3 3 3 3 2 4 2" xfId="11744" xr:uid="{00000000-0005-0000-0000-00007A0D0000}"/>
    <cellStyle name="Input 2 2 3 3 3 3 2 5" xfId="7409" xr:uid="{00000000-0005-0000-0000-00007B0D0000}"/>
    <cellStyle name="Input 2 2 3 3 3 3 3" xfId="2368" xr:uid="{00000000-0005-0000-0000-00007C0D0000}"/>
    <cellStyle name="Input 2 2 3 3 3 3 3 2" xfId="8198" xr:uid="{00000000-0005-0000-0000-00007D0D0000}"/>
    <cellStyle name="Input 2 2 3 3 3 3 4" xfId="3794" xr:uid="{00000000-0005-0000-0000-00007E0D0000}"/>
    <cellStyle name="Input 2 2 3 3 3 3 4 2" xfId="9624" xr:uid="{00000000-0005-0000-0000-00007F0D0000}"/>
    <cellStyle name="Input 2 2 3 3 3 3 5" xfId="5190" xr:uid="{00000000-0005-0000-0000-0000800D0000}"/>
    <cellStyle name="Input 2 2 3 3 3 3 5 2" xfId="11020" xr:uid="{00000000-0005-0000-0000-0000810D0000}"/>
    <cellStyle name="Input 2 2 3 3 3 3 6" xfId="6685" xr:uid="{00000000-0005-0000-0000-0000820D0000}"/>
    <cellStyle name="Input 2 2 3 3 3 4" xfId="1092" xr:uid="{00000000-0005-0000-0000-0000830D0000}"/>
    <cellStyle name="Input 2 2 3 3 3 4 2" xfId="2612" xr:uid="{00000000-0005-0000-0000-0000840D0000}"/>
    <cellStyle name="Input 2 2 3 3 3 4 2 2" xfId="8442" xr:uid="{00000000-0005-0000-0000-0000850D0000}"/>
    <cellStyle name="Input 2 2 3 3 3 4 3" xfId="4038" xr:uid="{00000000-0005-0000-0000-0000860D0000}"/>
    <cellStyle name="Input 2 2 3 3 3 4 3 2" xfId="9868" xr:uid="{00000000-0005-0000-0000-0000870D0000}"/>
    <cellStyle name="Input 2 2 3 3 3 4 4" xfId="5434" xr:uid="{00000000-0005-0000-0000-0000880D0000}"/>
    <cellStyle name="Input 2 2 3 3 3 4 4 2" xfId="11264" xr:uid="{00000000-0005-0000-0000-0000890D0000}"/>
    <cellStyle name="Input 2 2 3 3 3 4 5" xfId="6929" xr:uid="{00000000-0005-0000-0000-00008A0D0000}"/>
    <cellStyle name="Input 2 2 3 3 3 5" xfId="1866" xr:uid="{00000000-0005-0000-0000-00008B0D0000}"/>
    <cellStyle name="Input 2 2 3 3 3 5 2" xfId="7696" xr:uid="{00000000-0005-0000-0000-00008C0D0000}"/>
    <cellStyle name="Input 2 2 3 3 3 6" xfId="3297" xr:uid="{00000000-0005-0000-0000-00008D0D0000}"/>
    <cellStyle name="Input 2 2 3 3 3 6 2" xfId="9127" xr:uid="{00000000-0005-0000-0000-00008E0D0000}"/>
    <cellStyle name="Input 2 2 3 3 3 7" xfId="4709" xr:uid="{00000000-0005-0000-0000-00008F0D0000}"/>
    <cellStyle name="Input 2 2 3 3 3 7 2" xfId="10539" xr:uid="{00000000-0005-0000-0000-0000900D0000}"/>
    <cellStyle name="Input 2 2 3 3 3 8" xfId="6204" xr:uid="{00000000-0005-0000-0000-0000910D0000}"/>
    <cellStyle name="Input 2 2 3 3 4" xfId="444" xr:uid="{00000000-0005-0000-0000-0000920D0000}"/>
    <cellStyle name="Input 2 2 3 3 4 2" xfId="1179" xr:uid="{00000000-0005-0000-0000-0000930D0000}"/>
    <cellStyle name="Input 2 2 3 3 4 2 2" xfId="2695" xr:uid="{00000000-0005-0000-0000-0000940D0000}"/>
    <cellStyle name="Input 2 2 3 3 4 2 2 2" xfId="8525" xr:uid="{00000000-0005-0000-0000-0000950D0000}"/>
    <cellStyle name="Input 2 2 3 3 4 2 3" xfId="4118" xr:uid="{00000000-0005-0000-0000-0000960D0000}"/>
    <cellStyle name="Input 2 2 3 3 4 2 3 2" xfId="9948" xr:uid="{00000000-0005-0000-0000-0000970D0000}"/>
    <cellStyle name="Input 2 2 3 3 4 2 4" xfId="5514" xr:uid="{00000000-0005-0000-0000-0000980D0000}"/>
    <cellStyle name="Input 2 2 3 3 4 2 4 2" xfId="11344" xr:uid="{00000000-0005-0000-0000-0000990D0000}"/>
    <cellStyle name="Input 2 2 3 3 4 2 5" xfId="7009" xr:uid="{00000000-0005-0000-0000-00009A0D0000}"/>
    <cellStyle name="Input 2 2 3 3 4 3" xfId="1966" xr:uid="{00000000-0005-0000-0000-00009B0D0000}"/>
    <cellStyle name="Input 2 2 3 3 4 3 2" xfId="7796" xr:uid="{00000000-0005-0000-0000-00009C0D0000}"/>
    <cellStyle name="Input 2 2 3 3 4 4" xfId="3393" xr:uid="{00000000-0005-0000-0000-00009D0D0000}"/>
    <cellStyle name="Input 2 2 3 3 4 4 2" xfId="9223" xr:uid="{00000000-0005-0000-0000-00009E0D0000}"/>
    <cellStyle name="Input 2 2 3 3 4 5" xfId="4790" xr:uid="{00000000-0005-0000-0000-00009F0D0000}"/>
    <cellStyle name="Input 2 2 3 3 4 5 2" xfId="10620" xr:uid="{00000000-0005-0000-0000-0000A00D0000}"/>
    <cellStyle name="Input 2 2 3 3 4 6" xfId="6285" xr:uid="{00000000-0005-0000-0000-0000A10D0000}"/>
    <cellStyle name="Input 2 2 3 3 5" xfId="688" xr:uid="{00000000-0005-0000-0000-0000A20D0000}"/>
    <cellStyle name="Input 2 2 3 3 5 2" xfId="1419" xr:uid="{00000000-0005-0000-0000-0000A30D0000}"/>
    <cellStyle name="Input 2 2 3 3 5 2 2" xfId="2935" xr:uid="{00000000-0005-0000-0000-0000A40D0000}"/>
    <cellStyle name="Input 2 2 3 3 5 2 2 2" xfId="8765" xr:uid="{00000000-0005-0000-0000-0000A50D0000}"/>
    <cellStyle name="Input 2 2 3 3 5 2 3" xfId="4358" xr:uid="{00000000-0005-0000-0000-0000A60D0000}"/>
    <cellStyle name="Input 2 2 3 3 5 2 3 2" xfId="10188" xr:uid="{00000000-0005-0000-0000-0000A70D0000}"/>
    <cellStyle name="Input 2 2 3 3 5 2 4" xfId="5754" xr:uid="{00000000-0005-0000-0000-0000A80D0000}"/>
    <cellStyle name="Input 2 2 3 3 5 2 4 2" xfId="11584" xr:uid="{00000000-0005-0000-0000-0000A90D0000}"/>
    <cellStyle name="Input 2 2 3 3 5 2 5" xfId="7249" xr:uid="{00000000-0005-0000-0000-0000AA0D0000}"/>
    <cellStyle name="Input 2 2 3 3 5 3" xfId="2208" xr:uid="{00000000-0005-0000-0000-0000AB0D0000}"/>
    <cellStyle name="Input 2 2 3 3 5 3 2" xfId="8038" xr:uid="{00000000-0005-0000-0000-0000AC0D0000}"/>
    <cellStyle name="Input 2 2 3 3 5 4" xfId="3634" xr:uid="{00000000-0005-0000-0000-0000AD0D0000}"/>
    <cellStyle name="Input 2 2 3 3 5 4 2" xfId="9464" xr:uid="{00000000-0005-0000-0000-0000AE0D0000}"/>
    <cellStyle name="Input 2 2 3 3 5 5" xfId="5030" xr:uid="{00000000-0005-0000-0000-0000AF0D0000}"/>
    <cellStyle name="Input 2 2 3 3 5 5 2" xfId="10860" xr:uid="{00000000-0005-0000-0000-0000B00D0000}"/>
    <cellStyle name="Input 2 2 3 3 5 6" xfId="6525" xr:uid="{00000000-0005-0000-0000-0000B10D0000}"/>
    <cellStyle name="Input 2 2 3 3 6" xfId="932" xr:uid="{00000000-0005-0000-0000-0000B20D0000}"/>
    <cellStyle name="Input 2 2 3 3 6 2" xfId="2452" xr:uid="{00000000-0005-0000-0000-0000B30D0000}"/>
    <cellStyle name="Input 2 2 3 3 6 2 2" xfId="8282" xr:uid="{00000000-0005-0000-0000-0000B40D0000}"/>
    <cellStyle name="Input 2 2 3 3 6 3" xfId="3878" xr:uid="{00000000-0005-0000-0000-0000B50D0000}"/>
    <cellStyle name="Input 2 2 3 3 6 3 2" xfId="9708" xr:uid="{00000000-0005-0000-0000-0000B60D0000}"/>
    <cellStyle name="Input 2 2 3 3 6 4" xfId="5274" xr:uid="{00000000-0005-0000-0000-0000B70D0000}"/>
    <cellStyle name="Input 2 2 3 3 6 4 2" xfId="11104" xr:uid="{00000000-0005-0000-0000-0000B80D0000}"/>
    <cellStyle name="Input 2 2 3 3 6 5" xfId="6769" xr:uid="{00000000-0005-0000-0000-0000B90D0000}"/>
    <cellStyle name="Input 2 2 3 3 7" xfId="1706" xr:uid="{00000000-0005-0000-0000-0000BA0D0000}"/>
    <cellStyle name="Input 2 2 3 3 7 2" xfId="7536" xr:uid="{00000000-0005-0000-0000-0000BB0D0000}"/>
    <cellStyle name="Input 2 2 3 3 8" xfId="3137" xr:uid="{00000000-0005-0000-0000-0000BC0D0000}"/>
    <cellStyle name="Input 2 2 3 3 8 2" xfId="8967" xr:uid="{00000000-0005-0000-0000-0000BD0D0000}"/>
    <cellStyle name="Input 2 2 3 3 9" xfId="4549" xr:uid="{00000000-0005-0000-0000-0000BE0D0000}"/>
    <cellStyle name="Input 2 2 3 3 9 2" xfId="10379" xr:uid="{00000000-0005-0000-0000-0000BF0D0000}"/>
    <cellStyle name="Input 2 2 3 4" xfId="204" xr:uid="{00000000-0005-0000-0000-0000C00D0000}"/>
    <cellStyle name="Input 2 2 3 4 2" xfId="484" xr:uid="{00000000-0005-0000-0000-0000C10D0000}"/>
    <cellStyle name="Input 2 2 3 4 2 2" xfId="1219" xr:uid="{00000000-0005-0000-0000-0000C20D0000}"/>
    <cellStyle name="Input 2 2 3 4 2 2 2" xfId="2735" xr:uid="{00000000-0005-0000-0000-0000C30D0000}"/>
    <cellStyle name="Input 2 2 3 4 2 2 2 2" xfId="8565" xr:uid="{00000000-0005-0000-0000-0000C40D0000}"/>
    <cellStyle name="Input 2 2 3 4 2 2 3" xfId="4158" xr:uid="{00000000-0005-0000-0000-0000C50D0000}"/>
    <cellStyle name="Input 2 2 3 4 2 2 3 2" xfId="9988" xr:uid="{00000000-0005-0000-0000-0000C60D0000}"/>
    <cellStyle name="Input 2 2 3 4 2 2 4" xfId="5554" xr:uid="{00000000-0005-0000-0000-0000C70D0000}"/>
    <cellStyle name="Input 2 2 3 4 2 2 4 2" xfId="11384" xr:uid="{00000000-0005-0000-0000-0000C80D0000}"/>
    <cellStyle name="Input 2 2 3 4 2 2 5" xfId="7049" xr:uid="{00000000-0005-0000-0000-0000C90D0000}"/>
    <cellStyle name="Input 2 2 3 4 2 3" xfId="2006" xr:uid="{00000000-0005-0000-0000-0000CA0D0000}"/>
    <cellStyle name="Input 2 2 3 4 2 3 2" xfId="7836" xr:uid="{00000000-0005-0000-0000-0000CB0D0000}"/>
    <cellStyle name="Input 2 2 3 4 2 4" xfId="3433" xr:uid="{00000000-0005-0000-0000-0000CC0D0000}"/>
    <cellStyle name="Input 2 2 3 4 2 4 2" xfId="9263" xr:uid="{00000000-0005-0000-0000-0000CD0D0000}"/>
    <cellStyle name="Input 2 2 3 4 2 5" xfId="4830" xr:uid="{00000000-0005-0000-0000-0000CE0D0000}"/>
    <cellStyle name="Input 2 2 3 4 2 5 2" xfId="10660" xr:uid="{00000000-0005-0000-0000-0000CF0D0000}"/>
    <cellStyle name="Input 2 2 3 4 2 6" xfId="6325" xr:uid="{00000000-0005-0000-0000-0000D00D0000}"/>
    <cellStyle name="Input 2 2 3 4 3" xfId="728" xr:uid="{00000000-0005-0000-0000-0000D10D0000}"/>
    <cellStyle name="Input 2 2 3 4 3 2" xfId="1459" xr:uid="{00000000-0005-0000-0000-0000D20D0000}"/>
    <cellStyle name="Input 2 2 3 4 3 2 2" xfId="2975" xr:uid="{00000000-0005-0000-0000-0000D30D0000}"/>
    <cellStyle name="Input 2 2 3 4 3 2 2 2" xfId="8805" xr:uid="{00000000-0005-0000-0000-0000D40D0000}"/>
    <cellStyle name="Input 2 2 3 4 3 2 3" xfId="4398" xr:uid="{00000000-0005-0000-0000-0000D50D0000}"/>
    <cellStyle name="Input 2 2 3 4 3 2 3 2" xfId="10228" xr:uid="{00000000-0005-0000-0000-0000D60D0000}"/>
    <cellStyle name="Input 2 2 3 4 3 2 4" xfId="5794" xr:uid="{00000000-0005-0000-0000-0000D70D0000}"/>
    <cellStyle name="Input 2 2 3 4 3 2 4 2" xfId="11624" xr:uid="{00000000-0005-0000-0000-0000D80D0000}"/>
    <cellStyle name="Input 2 2 3 4 3 2 5" xfId="7289" xr:uid="{00000000-0005-0000-0000-0000D90D0000}"/>
    <cellStyle name="Input 2 2 3 4 3 3" xfId="2248" xr:uid="{00000000-0005-0000-0000-0000DA0D0000}"/>
    <cellStyle name="Input 2 2 3 4 3 3 2" xfId="8078" xr:uid="{00000000-0005-0000-0000-0000DB0D0000}"/>
    <cellStyle name="Input 2 2 3 4 3 4" xfId="3674" xr:uid="{00000000-0005-0000-0000-0000DC0D0000}"/>
    <cellStyle name="Input 2 2 3 4 3 4 2" xfId="9504" xr:uid="{00000000-0005-0000-0000-0000DD0D0000}"/>
    <cellStyle name="Input 2 2 3 4 3 5" xfId="5070" xr:uid="{00000000-0005-0000-0000-0000DE0D0000}"/>
    <cellStyle name="Input 2 2 3 4 3 5 2" xfId="10900" xr:uid="{00000000-0005-0000-0000-0000DF0D0000}"/>
    <cellStyle name="Input 2 2 3 4 3 6" xfId="6565" xr:uid="{00000000-0005-0000-0000-0000E00D0000}"/>
    <cellStyle name="Input 2 2 3 4 4" xfId="972" xr:uid="{00000000-0005-0000-0000-0000E10D0000}"/>
    <cellStyle name="Input 2 2 3 4 4 2" xfId="2492" xr:uid="{00000000-0005-0000-0000-0000E20D0000}"/>
    <cellStyle name="Input 2 2 3 4 4 2 2" xfId="8322" xr:uid="{00000000-0005-0000-0000-0000E30D0000}"/>
    <cellStyle name="Input 2 2 3 4 4 3" xfId="3918" xr:uid="{00000000-0005-0000-0000-0000E40D0000}"/>
    <cellStyle name="Input 2 2 3 4 4 3 2" xfId="9748" xr:uid="{00000000-0005-0000-0000-0000E50D0000}"/>
    <cellStyle name="Input 2 2 3 4 4 4" xfId="5314" xr:uid="{00000000-0005-0000-0000-0000E60D0000}"/>
    <cellStyle name="Input 2 2 3 4 4 4 2" xfId="11144" xr:uid="{00000000-0005-0000-0000-0000E70D0000}"/>
    <cellStyle name="Input 2 2 3 4 4 5" xfId="6809" xr:uid="{00000000-0005-0000-0000-0000E80D0000}"/>
    <cellStyle name="Input 2 2 3 4 5" xfId="1746" xr:uid="{00000000-0005-0000-0000-0000E90D0000}"/>
    <cellStyle name="Input 2 2 3 4 5 2" xfId="7576" xr:uid="{00000000-0005-0000-0000-0000EA0D0000}"/>
    <cellStyle name="Input 2 2 3 4 6" xfId="3177" xr:uid="{00000000-0005-0000-0000-0000EB0D0000}"/>
    <cellStyle name="Input 2 2 3 4 6 2" xfId="9007" xr:uid="{00000000-0005-0000-0000-0000EC0D0000}"/>
    <cellStyle name="Input 2 2 3 4 7" xfId="4589" xr:uid="{00000000-0005-0000-0000-0000ED0D0000}"/>
    <cellStyle name="Input 2 2 3 4 7 2" xfId="10419" xr:uid="{00000000-0005-0000-0000-0000EE0D0000}"/>
    <cellStyle name="Input 2 2 3 4 8" xfId="6084" xr:uid="{00000000-0005-0000-0000-0000EF0D0000}"/>
    <cellStyle name="Input 2 2 3 5" xfId="285" xr:uid="{00000000-0005-0000-0000-0000F00D0000}"/>
    <cellStyle name="Input 2 2 3 5 2" xfId="564" xr:uid="{00000000-0005-0000-0000-0000F10D0000}"/>
    <cellStyle name="Input 2 2 3 5 2 2" xfId="1299" xr:uid="{00000000-0005-0000-0000-0000F20D0000}"/>
    <cellStyle name="Input 2 2 3 5 2 2 2" xfId="2815" xr:uid="{00000000-0005-0000-0000-0000F30D0000}"/>
    <cellStyle name="Input 2 2 3 5 2 2 2 2" xfId="8645" xr:uid="{00000000-0005-0000-0000-0000F40D0000}"/>
    <cellStyle name="Input 2 2 3 5 2 2 3" xfId="4238" xr:uid="{00000000-0005-0000-0000-0000F50D0000}"/>
    <cellStyle name="Input 2 2 3 5 2 2 3 2" xfId="10068" xr:uid="{00000000-0005-0000-0000-0000F60D0000}"/>
    <cellStyle name="Input 2 2 3 5 2 2 4" xfId="5634" xr:uid="{00000000-0005-0000-0000-0000F70D0000}"/>
    <cellStyle name="Input 2 2 3 5 2 2 4 2" xfId="11464" xr:uid="{00000000-0005-0000-0000-0000F80D0000}"/>
    <cellStyle name="Input 2 2 3 5 2 2 5" xfId="7129" xr:uid="{00000000-0005-0000-0000-0000F90D0000}"/>
    <cellStyle name="Input 2 2 3 5 2 3" xfId="2086" xr:uid="{00000000-0005-0000-0000-0000FA0D0000}"/>
    <cellStyle name="Input 2 2 3 5 2 3 2" xfId="7916" xr:uid="{00000000-0005-0000-0000-0000FB0D0000}"/>
    <cellStyle name="Input 2 2 3 5 2 4" xfId="3513" xr:uid="{00000000-0005-0000-0000-0000FC0D0000}"/>
    <cellStyle name="Input 2 2 3 5 2 4 2" xfId="9343" xr:uid="{00000000-0005-0000-0000-0000FD0D0000}"/>
    <cellStyle name="Input 2 2 3 5 2 5" xfId="4910" xr:uid="{00000000-0005-0000-0000-0000FE0D0000}"/>
    <cellStyle name="Input 2 2 3 5 2 5 2" xfId="10740" xr:uid="{00000000-0005-0000-0000-0000FF0D0000}"/>
    <cellStyle name="Input 2 2 3 5 2 6" xfId="6405" xr:uid="{00000000-0005-0000-0000-0000000E0000}"/>
    <cellStyle name="Input 2 2 3 5 3" xfId="808" xr:uid="{00000000-0005-0000-0000-0000010E0000}"/>
    <cellStyle name="Input 2 2 3 5 3 2" xfId="1539" xr:uid="{00000000-0005-0000-0000-0000020E0000}"/>
    <cellStyle name="Input 2 2 3 5 3 2 2" xfId="3055" xr:uid="{00000000-0005-0000-0000-0000030E0000}"/>
    <cellStyle name="Input 2 2 3 5 3 2 2 2" xfId="8885" xr:uid="{00000000-0005-0000-0000-0000040E0000}"/>
    <cellStyle name="Input 2 2 3 5 3 2 3" xfId="4478" xr:uid="{00000000-0005-0000-0000-0000050E0000}"/>
    <cellStyle name="Input 2 2 3 5 3 2 3 2" xfId="10308" xr:uid="{00000000-0005-0000-0000-0000060E0000}"/>
    <cellStyle name="Input 2 2 3 5 3 2 4" xfId="5874" xr:uid="{00000000-0005-0000-0000-0000070E0000}"/>
    <cellStyle name="Input 2 2 3 5 3 2 4 2" xfId="11704" xr:uid="{00000000-0005-0000-0000-0000080E0000}"/>
    <cellStyle name="Input 2 2 3 5 3 2 5" xfId="7369" xr:uid="{00000000-0005-0000-0000-0000090E0000}"/>
    <cellStyle name="Input 2 2 3 5 3 3" xfId="2328" xr:uid="{00000000-0005-0000-0000-00000A0E0000}"/>
    <cellStyle name="Input 2 2 3 5 3 3 2" xfId="8158" xr:uid="{00000000-0005-0000-0000-00000B0E0000}"/>
    <cellStyle name="Input 2 2 3 5 3 4" xfId="3754" xr:uid="{00000000-0005-0000-0000-00000C0E0000}"/>
    <cellStyle name="Input 2 2 3 5 3 4 2" xfId="9584" xr:uid="{00000000-0005-0000-0000-00000D0E0000}"/>
    <cellStyle name="Input 2 2 3 5 3 5" xfId="5150" xr:uid="{00000000-0005-0000-0000-00000E0E0000}"/>
    <cellStyle name="Input 2 2 3 5 3 5 2" xfId="10980" xr:uid="{00000000-0005-0000-0000-00000F0E0000}"/>
    <cellStyle name="Input 2 2 3 5 3 6" xfId="6645" xr:uid="{00000000-0005-0000-0000-0000100E0000}"/>
    <cellStyle name="Input 2 2 3 5 4" xfId="1052" xr:uid="{00000000-0005-0000-0000-0000110E0000}"/>
    <cellStyle name="Input 2 2 3 5 4 2" xfId="2572" xr:uid="{00000000-0005-0000-0000-0000120E0000}"/>
    <cellStyle name="Input 2 2 3 5 4 2 2" xfId="8402" xr:uid="{00000000-0005-0000-0000-0000130E0000}"/>
    <cellStyle name="Input 2 2 3 5 4 3" xfId="3998" xr:uid="{00000000-0005-0000-0000-0000140E0000}"/>
    <cellStyle name="Input 2 2 3 5 4 3 2" xfId="9828" xr:uid="{00000000-0005-0000-0000-0000150E0000}"/>
    <cellStyle name="Input 2 2 3 5 4 4" xfId="5394" xr:uid="{00000000-0005-0000-0000-0000160E0000}"/>
    <cellStyle name="Input 2 2 3 5 4 4 2" xfId="11224" xr:uid="{00000000-0005-0000-0000-0000170E0000}"/>
    <cellStyle name="Input 2 2 3 5 4 5" xfId="6889" xr:uid="{00000000-0005-0000-0000-0000180E0000}"/>
    <cellStyle name="Input 2 2 3 5 5" xfId="1826" xr:uid="{00000000-0005-0000-0000-0000190E0000}"/>
    <cellStyle name="Input 2 2 3 5 5 2" xfId="7656" xr:uid="{00000000-0005-0000-0000-00001A0E0000}"/>
    <cellStyle name="Input 2 2 3 5 6" xfId="3257" xr:uid="{00000000-0005-0000-0000-00001B0E0000}"/>
    <cellStyle name="Input 2 2 3 5 6 2" xfId="9087" xr:uid="{00000000-0005-0000-0000-00001C0E0000}"/>
    <cellStyle name="Input 2 2 3 5 7" xfId="4669" xr:uid="{00000000-0005-0000-0000-00001D0E0000}"/>
    <cellStyle name="Input 2 2 3 5 7 2" xfId="10499" xr:uid="{00000000-0005-0000-0000-00001E0E0000}"/>
    <cellStyle name="Input 2 2 3 5 8" xfId="6164" xr:uid="{00000000-0005-0000-0000-00001F0E0000}"/>
    <cellStyle name="Input 2 2 3 6" xfId="404" xr:uid="{00000000-0005-0000-0000-0000200E0000}"/>
    <cellStyle name="Input 2 2 3 6 2" xfId="1139" xr:uid="{00000000-0005-0000-0000-0000210E0000}"/>
    <cellStyle name="Input 2 2 3 6 2 2" xfId="2655" xr:uid="{00000000-0005-0000-0000-0000220E0000}"/>
    <cellStyle name="Input 2 2 3 6 2 2 2" xfId="8485" xr:uid="{00000000-0005-0000-0000-0000230E0000}"/>
    <cellStyle name="Input 2 2 3 6 2 3" xfId="4078" xr:uid="{00000000-0005-0000-0000-0000240E0000}"/>
    <cellStyle name="Input 2 2 3 6 2 3 2" xfId="9908" xr:uid="{00000000-0005-0000-0000-0000250E0000}"/>
    <cellStyle name="Input 2 2 3 6 2 4" xfId="5474" xr:uid="{00000000-0005-0000-0000-0000260E0000}"/>
    <cellStyle name="Input 2 2 3 6 2 4 2" xfId="11304" xr:uid="{00000000-0005-0000-0000-0000270E0000}"/>
    <cellStyle name="Input 2 2 3 6 2 5" xfId="6969" xr:uid="{00000000-0005-0000-0000-0000280E0000}"/>
    <cellStyle name="Input 2 2 3 6 3" xfId="1926" xr:uid="{00000000-0005-0000-0000-0000290E0000}"/>
    <cellStyle name="Input 2 2 3 6 3 2" xfId="7756" xr:uid="{00000000-0005-0000-0000-00002A0E0000}"/>
    <cellStyle name="Input 2 2 3 6 4" xfId="3353" xr:uid="{00000000-0005-0000-0000-00002B0E0000}"/>
    <cellStyle name="Input 2 2 3 6 4 2" xfId="9183" xr:uid="{00000000-0005-0000-0000-00002C0E0000}"/>
    <cellStyle name="Input 2 2 3 6 5" xfId="4750" xr:uid="{00000000-0005-0000-0000-00002D0E0000}"/>
    <cellStyle name="Input 2 2 3 6 5 2" xfId="10580" xr:uid="{00000000-0005-0000-0000-00002E0E0000}"/>
    <cellStyle name="Input 2 2 3 6 6" xfId="6245" xr:uid="{00000000-0005-0000-0000-00002F0E0000}"/>
    <cellStyle name="Input 2 2 3 7" xfId="648" xr:uid="{00000000-0005-0000-0000-0000300E0000}"/>
    <cellStyle name="Input 2 2 3 7 2" xfId="1379" xr:uid="{00000000-0005-0000-0000-0000310E0000}"/>
    <cellStyle name="Input 2 2 3 7 2 2" xfId="2895" xr:uid="{00000000-0005-0000-0000-0000320E0000}"/>
    <cellStyle name="Input 2 2 3 7 2 2 2" xfId="8725" xr:uid="{00000000-0005-0000-0000-0000330E0000}"/>
    <cellStyle name="Input 2 2 3 7 2 3" xfId="4318" xr:uid="{00000000-0005-0000-0000-0000340E0000}"/>
    <cellStyle name="Input 2 2 3 7 2 3 2" xfId="10148" xr:uid="{00000000-0005-0000-0000-0000350E0000}"/>
    <cellStyle name="Input 2 2 3 7 2 4" xfId="5714" xr:uid="{00000000-0005-0000-0000-0000360E0000}"/>
    <cellStyle name="Input 2 2 3 7 2 4 2" xfId="11544" xr:uid="{00000000-0005-0000-0000-0000370E0000}"/>
    <cellStyle name="Input 2 2 3 7 2 5" xfId="7209" xr:uid="{00000000-0005-0000-0000-0000380E0000}"/>
    <cellStyle name="Input 2 2 3 7 3" xfId="2168" xr:uid="{00000000-0005-0000-0000-0000390E0000}"/>
    <cellStyle name="Input 2 2 3 7 3 2" xfId="7998" xr:uid="{00000000-0005-0000-0000-00003A0E0000}"/>
    <cellStyle name="Input 2 2 3 7 4" xfId="3594" xr:uid="{00000000-0005-0000-0000-00003B0E0000}"/>
    <cellStyle name="Input 2 2 3 7 4 2" xfId="9424" xr:uid="{00000000-0005-0000-0000-00003C0E0000}"/>
    <cellStyle name="Input 2 2 3 7 5" xfId="4990" xr:uid="{00000000-0005-0000-0000-00003D0E0000}"/>
    <cellStyle name="Input 2 2 3 7 5 2" xfId="10820" xr:uid="{00000000-0005-0000-0000-00003E0E0000}"/>
    <cellStyle name="Input 2 2 3 7 6" xfId="6485" xr:uid="{00000000-0005-0000-0000-00003F0E0000}"/>
    <cellStyle name="Input 2 2 3 8" xfId="892" xr:uid="{00000000-0005-0000-0000-0000400E0000}"/>
    <cellStyle name="Input 2 2 3 8 2" xfId="2412" xr:uid="{00000000-0005-0000-0000-0000410E0000}"/>
    <cellStyle name="Input 2 2 3 8 2 2" xfId="8242" xr:uid="{00000000-0005-0000-0000-0000420E0000}"/>
    <cellStyle name="Input 2 2 3 8 3" xfId="3838" xr:uid="{00000000-0005-0000-0000-0000430E0000}"/>
    <cellStyle name="Input 2 2 3 8 3 2" xfId="9668" xr:uid="{00000000-0005-0000-0000-0000440E0000}"/>
    <cellStyle name="Input 2 2 3 8 4" xfId="5234" xr:uid="{00000000-0005-0000-0000-0000450E0000}"/>
    <cellStyle name="Input 2 2 3 8 4 2" xfId="11064" xr:uid="{00000000-0005-0000-0000-0000460E0000}"/>
    <cellStyle name="Input 2 2 3 8 5" xfId="6729" xr:uid="{00000000-0005-0000-0000-0000470E0000}"/>
    <cellStyle name="Input 2 2 3 9" xfId="1666" xr:uid="{00000000-0005-0000-0000-0000480E0000}"/>
    <cellStyle name="Input 2 2 3 9 2" xfId="7496" xr:uid="{00000000-0005-0000-0000-0000490E0000}"/>
    <cellStyle name="Input 2 2 4" xfId="128" xr:uid="{00000000-0005-0000-0000-00004A0E0000}"/>
    <cellStyle name="Input 2 2 4 10" xfId="1902" xr:uid="{00000000-0005-0000-0000-00004B0E0000}"/>
    <cellStyle name="Input 2 2 4 10 2" xfId="7732" xr:uid="{00000000-0005-0000-0000-00004C0E0000}"/>
    <cellStyle name="Input 2 2 4 11" xfId="1906" xr:uid="{00000000-0005-0000-0000-00004D0E0000}"/>
    <cellStyle name="Input 2 2 4 11 2" xfId="7736" xr:uid="{00000000-0005-0000-0000-00004E0E0000}"/>
    <cellStyle name="Input 2 2 4 12" xfId="6009" xr:uid="{00000000-0005-0000-0000-00004F0E0000}"/>
    <cellStyle name="Input 2 2 4 2" xfId="149" xr:uid="{00000000-0005-0000-0000-0000500E0000}"/>
    <cellStyle name="Input 2 2 4 2 10" xfId="1613" xr:uid="{00000000-0005-0000-0000-0000510E0000}"/>
    <cellStyle name="Input 2 2 4 2 10 2" xfId="7443" xr:uid="{00000000-0005-0000-0000-0000520E0000}"/>
    <cellStyle name="Input 2 2 4 2 11" xfId="6029" xr:uid="{00000000-0005-0000-0000-0000530E0000}"/>
    <cellStyle name="Input 2 2 4 2 2" xfId="189" xr:uid="{00000000-0005-0000-0000-0000540E0000}"/>
    <cellStyle name="Input 2 2 4 2 2 10" xfId="6069" xr:uid="{00000000-0005-0000-0000-0000550E0000}"/>
    <cellStyle name="Input 2 2 4 2 2 2" xfId="270" xr:uid="{00000000-0005-0000-0000-0000560E0000}"/>
    <cellStyle name="Input 2 2 4 2 2 2 2" xfId="549" xr:uid="{00000000-0005-0000-0000-0000570E0000}"/>
    <cellStyle name="Input 2 2 4 2 2 2 2 2" xfId="1284" xr:uid="{00000000-0005-0000-0000-0000580E0000}"/>
    <cellStyle name="Input 2 2 4 2 2 2 2 2 2" xfId="2800" xr:uid="{00000000-0005-0000-0000-0000590E0000}"/>
    <cellStyle name="Input 2 2 4 2 2 2 2 2 2 2" xfId="8630" xr:uid="{00000000-0005-0000-0000-00005A0E0000}"/>
    <cellStyle name="Input 2 2 4 2 2 2 2 2 3" xfId="4223" xr:uid="{00000000-0005-0000-0000-00005B0E0000}"/>
    <cellStyle name="Input 2 2 4 2 2 2 2 2 3 2" xfId="10053" xr:uid="{00000000-0005-0000-0000-00005C0E0000}"/>
    <cellStyle name="Input 2 2 4 2 2 2 2 2 4" xfId="5619" xr:uid="{00000000-0005-0000-0000-00005D0E0000}"/>
    <cellStyle name="Input 2 2 4 2 2 2 2 2 4 2" xfId="11449" xr:uid="{00000000-0005-0000-0000-00005E0E0000}"/>
    <cellStyle name="Input 2 2 4 2 2 2 2 2 5" xfId="7114" xr:uid="{00000000-0005-0000-0000-00005F0E0000}"/>
    <cellStyle name="Input 2 2 4 2 2 2 2 3" xfId="2071" xr:uid="{00000000-0005-0000-0000-0000600E0000}"/>
    <cellStyle name="Input 2 2 4 2 2 2 2 3 2" xfId="7901" xr:uid="{00000000-0005-0000-0000-0000610E0000}"/>
    <cellStyle name="Input 2 2 4 2 2 2 2 4" xfId="3498" xr:uid="{00000000-0005-0000-0000-0000620E0000}"/>
    <cellStyle name="Input 2 2 4 2 2 2 2 4 2" xfId="9328" xr:uid="{00000000-0005-0000-0000-0000630E0000}"/>
    <cellStyle name="Input 2 2 4 2 2 2 2 5" xfId="4895" xr:uid="{00000000-0005-0000-0000-0000640E0000}"/>
    <cellStyle name="Input 2 2 4 2 2 2 2 5 2" xfId="10725" xr:uid="{00000000-0005-0000-0000-0000650E0000}"/>
    <cellStyle name="Input 2 2 4 2 2 2 2 6" xfId="6390" xr:uid="{00000000-0005-0000-0000-0000660E0000}"/>
    <cellStyle name="Input 2 2 4 2 2 2 3" xfId="793" xr:uid="{00000000-0005-0000-0000-0000670E0000}"/>
    <cellStyle name="Input 2 2 4 2 2 2 3 2" xfId="1524" xr:uid="{00000000-0005-0000-0000-0000680E0000}"/>
    <cellStyle name="Input 2 2 4 2 2 2 3 2 2" xfId="3040" xr:uid="{00000000-0005-0000-0000-0000690E0000}"/>
    <cellStyle name="Input 2 2 4 2 2 2 3 2 2 2" xfId="8870" xr:uid="{00000000-0005-0000-0000-00006A0E0000}"/>
    <cellStyle name="Input 2 2 4 2 2 2 3 2 3" xfId="4463" xr:uid="{00000000-0005-0000-0000-00006B0E0000}"/>
    <cellStyle name="Input 2 2 4 2 2 2 3 2 3 2" xfId="10293" xr:uid="{00000000-0005-0000-0000-00006C0E0000}"/>
    <cellStyle name="Input 2 2 4 2 2 2 3 2 4" xfId="5859" xr:uid="{00000000-0005-0000-0000-00006D0E0000}"/>
    <cellStyle name="Input 2 2 4 2 2 2 3 2 4 2" xfId="11689" xr:uid="{00000000-0005-0000-0000-00006E0E0000}"/>
    <cellStyle name="Input 2 2 4 2 2 2 3 2 5" xfId="7354" xr:uid="{00000000-0005-0000-0000-00006F0E0000}"/>
    <cellStyle name="Input 2 2 4 2 2 2 3 3" xfId="2313" xr:uid="{00000000-0005-0000-0000-0000700E0000}"/>
    <cellStyle name="Input 2 2 4 2 2 2 3 3 2" xfId="8143" xr:uid="{00000000-0005-0000-0000-0000710E0000}"/>
    <cellStyle name="Input 2 2 4 2 2 2 3 4" xfId="3739" xr:uid="{00000000-0005-0000-0000-0000720E0000}"/>
    <cellStyle name="Input 2 2 4 2 2 2 3 4 2" xfId="9569" xr:uid="{00000000-0005-0000-0000-0000730E0000}"/>
    <cellStyle name="Input 2 2 4 2 2 2 3 5" xfId="5135" xr:uid="{00000000-0005-0000-0000-0000740E0000}"/>
    <cellStyle name="Input 2 2 4 2 2 2 3 5 2" xfId="10965" xr:uid="{00000000-0005-0000-0000-0000750E0000}"/>
    <cellStyle name="Input 2 2 4 2 2 2 3 6" xfId="6630" xr:uid="{00000000-0005-0000-0000-0000760E0000}"/>
    <cellStyle name="Input 2 2 4 2 2 2 4" xfId="1037" xr:uid="{00000000-0005-0000-0000-0000770E0000}"/>
    <cellStyle name="Input 2 2 4 2 2 2 4 2" xfId="2557" xr:uid="{00000000-0005-0000-0000-0000780E0000}"/>
    <cellStyle name="Input 2 2 4 2 2 2 4 2 2" xfId="8387" xr:uid="{00000000-0005-0000-0000-0000790E0000}"/>
    <cellStyle name="Input 2 2 4 2 2 2 4 3" xfId="3983" xr:uid="{00000000-0005-0000-0000-00007A0E0000}"/>
    <cellStyle name="Input 2 2 4 2 2 2 4 3 2" xfId="9813" xr:uid="{00000000-0005-0000-0000-00007B0E0000}"/>
    <cellStyle name="Input 2 2 4 2 2 2 4 4" xfId="5379" xr:uid="{00000000-0005-0000-0000-00007C0E0000}"/>
    <cellStyle name="Input 2 2 4 2 2 2 4 4 2" xfId="11209" xr:uid="{00000000-0005-0000-0000-00007D0E0000}"/>
    <cellStyle name="Input 2 2 4 2 2 2 4 5" xfId="6874" xr:uid="{00000000-0005-0000-0000-00007E0E0000}"/>
    <cellStyle name="Input 2 2 4 2 2 2 5" xfId="1811" xr:uid="{00000000-0005-0000-0000-00007F0E0000}"/>
    <cellStyle name="Input 2 2 4 2 2 2 5 2" xfId="7641" xr:uid="{00000000-0005-0000-0000-0000800E0000}"/>
    <cellStyle name="Input 2 2 4 2 2 2 6" xfId="3242" xr:uid="{00000000-0005-0000-0000-0000810E0000}"/>
    <cellStyle name="Input 2 2 4 2 2 2 6 2" xfId="9072" xr:uid="{00000000-0005-0000-0000-0000820E0000}"/>
    <cellStyle name="Input 2 2 4 2 2 2 7" xfId="4654" xr:uid="{00000000-0005-0000-0000-0000830E0000}"/>
    <cellStyle name="Input 2 2 4 2 2 2 7 2" xfId="10484" xr:uid="{00000000-0005-0000-0000-0000840E0000}"/>
    <cellStyle name="Input 2 2 4 2 2 2 8" xfId="6149" xr:uid="{00000000-0005-0000-0000-0000850E0000}"/>
    <cellStyle name="Input 2 2 4 2 2 3" xfId="350" xr:uid="{00000000-0005-0000-0000-0000860E0000}"/>
    <cellStyle name="Input 2 2 4 2 2 3 2" xfId="629" xr:uid="{00000000-0005-0000-0000-0000870E0000}"/>
    <cellStyle name="Input 2 2 4 2 2 3 2 2" xfId="1364" xr:uid="{00000000-0005-0000-0000-0000880E0000}"/>
    <cellStyle name="Input 2 2 4 2 2 3 2 2 2" xfId="2880" xr:uid="{00000000-0005-0000-0000-0000890E0000}"/>
    <cellStyle name="Input 2 2 4 2 2 3 2 2 2 2" xfId="8710" xr:uid="{00000000-0005-0000-0000-00008A0E0000}"/>
    <cellStyle name="Input 2 2 4 2 2 3 2 2 3" xfId="4303" xr:uid="{00000000-0005-0000-0000-00008B0E0000}"/>
    <cellStyle name="Input 2 2 4 2 2 3 2 2 3 2" xfId="10133" xr:uid="{00000000-0005-0000-0000-00008C0E0000}"/>
    <cellStyle name="Input 2 2 4 2 2 3 2 2 4" xfId="5699" xr:uid="{00000000-0005-0000-0000-00008D0E0000}"/>
    <cellStyle name="Input 2 2 4 2 2 3 2 2 4 2" xfId="11529" xr:uid="{00000000-0005-0000-0000-00008E0E0000}"/>
    <cellStyle name="Input 2 2 4 2 2 3 2 2 5" xfId="7194" xr:uid="{00000000-0005-0000-0000-00008F0E0000}"/>
    <cellStyle name="Input 2 2 4 2 2 3 2 3" xfId="2151" xr:uid="{00000000-0005-0000-0000-0000900E0000}"/>
    <cellStyle name="Input 2 2 4 2 2 3 2 3 2" xfId="7981" xr:uid="{00000000-0005-0000-0000-0000910E0000}"/>
    <cellStyle name="Input 2 2 4 2 2 3 2 4" xfId="3578" xr:uid="{00000000-0005-0000-0000-0000920E0000}"/>
    <cellStyle name="Input 2 2 4 2 2 3 2 4 2" xfId="9408" xr:uid="{00000000-0005-0000-0000-0000930E0000}"/>
    <cellStyle name="Input 2 2 4 2 2 3 2 5" xfId="4975" xr:uid="{00000000-0005-0000-0000-0000940E0000}"/>
    <cellStyle name="Input 2 2 4 2 2 3 2 5 2" xfId="10805" xr:uid="{00000000-0005-0000-0000-0000950E0000}"/>
    <cellStyle name="Input 2 2 4 2 2 3 2 6" xfId="6470" xr:uid="{00000000-0005-0000-0000-0000960E0000}"/>
    <cellStyle name="Input 2 2 4 2 2 3 3" xfId="873" xr:uid="{00000000-0005-0000-0000-0000970E0000}"/>
    <cellStyle name="Input 2 2 4 2 2 3 3 2" xfId="1604" xr:uid="{00000000-0005-0000-0000-0000980E0000}"/>
    <cellStyle name="Input 2 2 4 2 2 3 3 2 2" xfId="3120" xr:uid="{00000000-0005-0000-0000-0000990E0000}"/>
    <cellStyle name="Input 2 2 4 2 2 3 3 2 2 2" xfId="8950" xr:uid="{00000000-0005-0000-0000-00009A0E0000}"/>
    <cellStyle name="Input 2 2 4 2 2 3 3 2 3" xfId="4543" xr:uid="{00000000-0005-0000-0000-00009B0E0000}"/>
    <cellStyle name="Input 2 2 4 2 2 3 3 2 3 2" xfId="10373" xr:uid="{00000000-0005-0000-0000-00009C0E0000}"/>
    <cellStyle name="Input 2 2 4 2 2 3 3 2 4" xfId="5939" xr:uid="{00000000-0005-0000-0000-00009D0E0000}"/>
    <cellStyle name="Input 2 2 4 2 2 3 3 2 4 2" xfId="11769" xr:uid="{00000000-0005-0000-0000-00009E0E0000}"/>
    <cellStyle name="Input 2 2 4 2 2 3 3 2 5" xfId="7434" xr:uid="{00000000-0005-0000-0000-00009F0E0000}"/>
    <cellStyle name="Input 2 2 4 2 2 3 3 3" xfId="2393" xr:uid="{00000000-0005-0000-0000-0000A00E0000}"/>
    <cellStyle name="Input 2 2 4 2 2 3 3 3 2" xfId="8223" xr:uid="{00000000-0005-0000-0000-0000A10E0000}"/>
    <cellStyle name="Input 2 2 4 2 2 3 3 4" xfId="3819" xr:uid="{00000000-0005-0000-0000-0000A20E0000}"/>
    <cellStyle name="Input 2 2 4 2 2 3 3 4 2" xfId="9649" xr:uid="{00000000-0005-0000-0000-0000A30E0000}"/>
    <cellStyle name="Input 2 2 4 2 2 3 3 5" xfId="5215" xr:uid="{00000000-0005-0000-0000-0000A40E0000}"/>
    <cellStyle name="Input 2 2 4 2 2 3 3 5 2" xfId="11045" xr:uid="{00000000-0005-0000-0000-0000A50E0000}"/>
    <cellStyle name="Input 2 2 4 2 2 3 3 6" xfId="6710" xr:uid="{00000000-0005-0000-0000-0000A60E0000}"/>
    <cellStyle name="Input 2 2 4 2 2 3 4" xfId="1117" xr:uid="{00000000-0005-0000-0000-0000A70E0000}"/>
    <cellStyle name="Input 2 2 4 2 2 3 4 2" xfId="2637" xr:uid="{00000000-0005-0000-0000-0000A80E0000}"/>
    <cellStyle name="Input 2 2 4 2 2 3 4 2 2" xfId="8467" xr:uid="{00000000-0005-0000-0000-0000A90E0000}"/>
    <cellStyle name="Input 2 2 4 2 2 3 4 3" xfId="4063" xr:uid="{00000000-0005-0000-0000-0000AA0E0000}"/>
    <cellStyle name="Input 2 2 4 2 2 3 4 3 2" xfId="9893" xr:uid="{00000000-0005-0000-0000-0000AB0E0000}"/>
    <cellStyle name="Input 2 2 4 2 2 3 4 4" xfId="5459" xr:uid="{00000000-0005-0000-0000-0000AC0E0000}"/>
    <cellStyle name="Input 2 2 4 2 2 3 4 4 2" xfId="11289" xr:uid="{00000000-0005-0000-0000-0000AD0E0000}"/>
    <cellStyle name="Input 2 2 4 2 2 3 4 5" xfId="6954" xr:uid="{00000000-0005-0000-0000-0000AE0E0000}"/>
    <cellStyle name="Input 2 2 4 2 2 3 5" xfId="1891" xr:uid="{00000000-0005-0000-0000-0000AF0E0000}"/>
    <cellStyle name="Input 2 2 4 2 2 3 5 2" xfId="7721" xr:uid="{00000000-0005-0000-0000-0000B00E0000}"/>
    <cellStyle name="Input 2 2 4 2 2 3 6" xfId="3322" xr:uid="{00000000-0005-0000-0000-0000B10E0000}"/>
    <cellStyle name="Input 2 2 4 2 2 3 6 2" xfId="9152" xr:uid="{00000000-0005-0000-0000-0000B20E0000}"/>
    <cellStyle name="Input 2 2 4 2 2 3 7" xfId="4734" xr:uid="{00000000-0005-0000-0000-0000B30E0000}"/>
    <cellStyle name="Input 2 2 4 2 2 3 7 2" xfId="10564" xr:uid="{00000000-0005-0000-0000-0000B40E0000}"/>
    <cellStyle name="Input 2 2 4 2 2 3 8" xfId="6229" xr:uid="{00000000-0005-0000-0000-0000B50E0000}"/>
    <cellStyle name="Input 2 2 4 2 2 4" xfId="469" xr:uid="{00000000-0005-0000-0000-0000B60E0000}"/>
    <cellStyle name="Input 2 2 4 2 2 4 2" xfId="1204" xr:uid="{00000000-0005-0000-0000-0000B70E0000}"/>
    <cellStyle name="Input 2 2 4 2 2 4 2 2" xfId="2720" xr:uid="{00000000-0005-0000-0000-0000B80E0000}"/>
    <cellStyle name="Input 2 2 4 2 2 4 2 2 2" xfId="8550" xr:uid="{00000000-0005-0000-0000-0000B90E0000}"/>
    <cellStyle name="Input 2 2 4 2 2 4 2 3" xfId="4143" xr:uid="{00000000-0005-0000-0000-0000BA0E0000}"/>
    <cellStyle name="Input 2 2 4 2 2 4 2 3 2" xfId="9973" xr:uid="{00000000-0005-0000-0000-0000BB0E0000}"/>
    <cellStyle name="Input 2 2 4 2 2 4 2 4" xfId="5539" xr:uid="{00000000-0005-0000-0000-0000BC0E0000}"/>
    <cellStyle name="Input 2 2 4 2 2 4 2 4 2" xfId="11369" xr:uid="{00000000-0005-0000-0000-0000BD0E0000}"/>
    <cellStyle name="Input 2 2 4 2 2 4 2 5" xfId="7034" xr:uid="{00000000-0005-0000-0000-0000BE0E0000}"/>
    <cellStyle name="Input 2 2 4 2 2 4 3" xfId="1991" xr:uid="{00000000-0005-0000-0000-0000BF0E0000}"/>
    <cellStyle name="Input 2 2 4 2 2 4 3 2" xfId="7821" xr:uid="{00000000-0005-0000-0000-0000C00E0000}"/>
    <cellStyle name="Input 2 2 4 2 2 4 4" xfId="3418" xr:uid="{00000000-0005-0000-0000-0000C10E0000}"/>
    <cellStyle name="Input 2 2 4 2 2 4 4 2" xfId="9248" xr:uid="{00000000-0005-0000-0000-0000C20E0000}"/>
    <cellStyle name="Input 2 2 4 2 2 4 5" xfId="4815" xr:uid="{00000000-0005-0000-0000-0000C30E0000}"/>
    <cellStyle name="Input 2 2 4 2 2 4 5 2" xfId="10645" xr:uid="{00000000-0005-0000-0000-0000C40E0000}"/>
    <cellStyle name="Input 2 2 4 2 2 4 6" xfId="6310" xr:uid="{00000000-0005-0000-0000-0000C50E0000}"/>
    <cellStyle name="Input 2 2 4 2 2 5" xfId="713" xr:uid="{00000000-0005-0000-0000-0000C60E0000}"/>
    <cellStyle name="Input 2 2 4 2 2 5 2" xfId="1444" xr:uid="{00000000-0005-0000-0000-0000C70E0000}"/>
    <cellStyle name="Input 2 2 4 2 2 5 2 2" xfId="2960" xr:uid="{00000000-0005-0000-0000-0000C80E0000}"/>
    <cellStyle name="Input 2 2 4 2 2 5 2 2 2" xfId="8790" xr:uid="{00000000-0005-0000-0000-0000C90E0000}"/>
    <cellStyle name="Input 2 2 4 2 2 5 2 3" xfId="4383" xr:uid="{00000000-0005-0000-0000-0000CA0E0000}"/>
    <cellStyle name="Input 2 2 4 2 2 5 2 3 2" xfId="10213" xr:uid="{00000000-0005-0000-0000-0000CB0E0000}"/>
    <cellStyle name="Input 2 2 4 2 2 5 2 4" xfId="5779" xr:uid="{00000000-0005-0000-0000-0000CC0E0000}"/>
    <cellStyle name="Input 2 2 4 2 2 5 2 4 2" xfId="11609" xr:uid="{00000000-0005-0000-0000-0000CD0E0000}"/>
    <cellStyle name="Input 2 2 4 2 2 5 2 5" xfId="7274" xr:uid="{00000000-0005-0000-0000-0000CE0E0000}"/>
    <cellStyle name="Input 2 2 4 2 2 5 3" xfId="2233" xr:uid="{00000000-0005-0000-0000-0000CF0E0000}"/>
    <cellStyle name="Input 2 2 4 2 2 5 3 2" xfId="8063" xr:uid="{00000000-0005-0000-0000-0000D00E0000}"/>
    <cellStyle name="Input 2 2 4 2 2 5 4" xfId="3659" xr:uid="{00000000-0005-0000-0000-0000D10E0000}"/>
    <cellStyle name="Input 2 2 4 2 2 5 4 2" xfId="9489" xr:uid="{00000000-0005-0000-0000-0000D20E0000}"/>
    <cellStyle name="Input 2 2 4 2 2 5 5" xfId="5055" xr:uid="{00000000-0005-0000-0000-0000D30E0000}"/>
    <cellStyle name="Input 2 2 4 2 2 5 5 2" xfId="10885" xr:uid="{00000000-0005-0000-0000-0000D40E0000}"/>
    <cellStyle name="Input 2 2 4 2 2 5 6" xfId="6550" xr:uid="{00000000-0005-0000-0000-0000D50E0000}"/>
    <cellStyle name="Input 2 2 4 2 2 6" xfId="957" xr:uid="{00000000-0005-0000-0000-0000D60E0000}"/>
    <cellStyle name="Input 2 2 4 2 2 6 2" xfId="2477" xr:uid="{00000000-0005-0000-0000-0000D70E0000}"/>
    <cellStyle name="Input 2 2 4 2 2 6 2 2" xfId="8307" xr:uid="{00000000-0005-0000-0000-0000D80E0000}"/>
    <cellStyle name="Input 2 2 4 2 2 6 3" xfId="3903" xr:uid="{00000000-0005-0000-0000-0000D90E0000}"/>
    <cellStyle name="Input 2 2 4 2 2 6 3 2" xfId="9733" xr:uid="{00000000-0005-0000-0000-0000DA0E0000}"/>
    <cellStyle name="Input 2 2 4 2 2 6 4" xfId="5299" xr:uid="{00000000-0005-0000-0000-0000DB0E0000}"/>
    <cellStyle name="Input 2 2 4 2 2 6 4 2" xfId="11129" xr:uid="{00000000-0005-0000-0000-0000DC0E0000}"/>
    <cellStyle name="Input 2 2 4 2 2 6 5" xfId="6794" xr:uid="{00000000-0005-0000-0000-0000DD0E0000}"/>
    <cellStyle name="Input 2 2 4 2 2 7" xfId="1731" xr:uid="{00000000-0005-0000-0000-0000DE0E0000}"/>
    <cellStyle name="Input 2 2 4 2 2 7 2" xfId="7561" xr:uid="{00000000-0005-0000-0000-0000DF0E0000}"/>
    <cellStyle name="Input 2 2 4 2 2 8" xfId="3162" xr:uid="{00000000-0005-0000-0000-0000E00E0000}"/>
    <cellStyle name="Input 2 2 4 2 2 8 2" xfId="8992" xr:uid="{00000000-0005-0000-0000-0000E10E0000}"/>
    <cellStyle name="Input 2 2 4 2 2 9" xfId="4574" xr:uid="{00000000-0005-0000-0000-0000E20E0000}"/>
    <cellStyle name="Input 2 2 4 2 2 9 2" xfId="10404" xr:uid="{00000000-0005-0000-0000-0000E30E0000}"/>
    <cellStyle name="Input 2 2 4 2 3" xfId="230" xr:uid="{00000000-0005-0000-0000-0000E40E0000}"/>
    <cellStyle name="Input 2 2 4 2 3 2" xfId="509" xr:uid="{00000000-0005-0000-0000-0000E50E0000}"/>
    <cellStyle name="Input 2 2 4 2 3 2 2" xfId="1244" xr:uid="{00000000-0005-0000-0000-0000E60E0000}"/>
    <cellStyle name="Input 2 2 4 2 3 2 2 2" xfId="2760" xr:uid="{00000000-0005-0000-0000-0000E70E0000}"/>
    <cellStyle name="Input 2 2 4 2 3 2 2 2 2" xfId="8590" xr:uid="{00000000-0005-0000-0000-0000E80E0000}"/>
    <cellStyle name="Input 2 2 4 2 3 2 2 3" xfId="4183" xr:uid="{00000000-0005-0000-0000-0000E90E0000}"/>
    <cellStyle name="Input 2 2 4 2 3 2 2 3 2" xfId="10013" xr:uid="{00000000-0005-0000-0000-0000EA0E0000}"/>
    <cellStyle name="Input 2 2 4 2 3 2 2 4" xfId="5579" xr:uid="{00000000-0005-0000-0000-0000EB0E0000}"/>
    <cellStyle name="Input 2 2 4 2 3 2 2 4 2" xfId="11409" xr:uid="{00000000-0005-0000-0000-0000EC0E0000}"/>
    <cellStyle name="Input 2 2 4 2 3 2 2 5" xfId="7074" xr:uid="{00000000-0005-0000-0000-0000ED0E0000}"/>
    <cellStyle name="Input 2 2 4 2 3 2 3" xfId="2031" xr:uid="{00000000-0005-0000-0000-0000EE0E0000}"/>
    <cellStyle name="Input 2 2 4 2 3 2 3 2" xfId="7861" xr:uid="{00000000-0005-0000-0000-0000EF0E0000}"/>
    <cellStyle name="Input 2 2 4 2 3 2 4" xfId="3458" xr:uid="{00000000-0005-0000-0000-0000F00E0000}"/>
    <cellStyle name="Input 2 2 4 2 3 2 4 2" xfId="9288" xr:uid="{00000000-0005-0000-0000-0000F10E0000}"/>
    <cellStyle name="Input 2 2 4 2 3 2 5" xfId="4855" xr:uid="{00000000-0005-0000-0000-0000F20E0000}"/>
    <cellStyle name="Input 2 2 4 2 3 2 5 2" xfId="10685" xr:uid="{00000000-0005-0000-0000-0000F30E0000}"/>
    <cellStyle name="Input 2 2 4 2 3 2 6" xfId="6350" xr:uid="{00000000-0005-0000-0000-0000F40E0000}"/>
    <cellStyle name="Input 2 2 4 2 3 3" xfId="753" xr:uid="{00000000-0005-0000-0000-0000F50E0000}"/>
    <cellStyle name="Input 2 2 4 2 3 3 2" xfId="1484" xr:uid="{00000000-0005-0000-0000-0000F60E0000}"/>
    <cellStyle name="Input 2 2 4 2 3 3 2 2" xfId="3000" xr:uid="{00000000-0005-0000-0000-0000F70E0000}"/>
    <cellStyle name="Input 2 2 4 2 3 3 2 2 2" xfId="8830" xr:uid="{00000000-0005-0000-0000-0000F80E0000}"/>
    <cellStyle name="Input 2 2 4 2 3 3 2 3" xfId="4423" xr:uid="{00000000-0005-0000-0000-0000F90E0000}"/>
    <cellStyle name="Input 2 2 4 2 3 3 2 3 2" xfId="10253" xr:uid="{00000000-0005-0000-0000-0000FA0E0000}"/>
    <cellStyle name="Input 2 2 4 2 3 3 2 4" xfId="5819" xr:uid="{00000000-0005-0000-0000-0000FB0E0000}"/>
    <cellStyle name="Input 2 2 4 2 3 3 2 4 2" xfId="11649" xr:uid="{00000000-0005-0000-0000-0000FC0E0000}"/>
    <cellStyle name="Input 2 2 4 2 3 3 2 5" xfId="7314" xr:uid="{00000000-0005-0000-0000-0000FD0E0000}"/>
    <cellStyle name="Input 2 2 4 2 3 3 3" xfId="2273" xr:uid="{00000000-0005-0000-0000-0000FE0E0000}"/>
    <cellStyle name="Input 2 2 4 2 3 3 3 2" xfId="8103" xr:uid="{00000000-0005-0000-0000-0000FF0E0000}"/>
    <cellStyle name="Input 2 2 4 2 3 3 4" xfId="3699" xr:uid="{00000000-0005-0000-0000-0000000F0000}"/>
    <cellStyle name="Input 2 2 4 2 3 3 4 2" xfId="9529" xr:uid="{00000000-0005-0000-0000-0000010F0000}"/>
    <cellStyle name="Input 2 2 4 2 3 3 5" xfId="5095" xr:uid="{00000000-0005-0000-0000-0000020F0000}"/>
    <cellStyle name="Input 2 2 4 2 3 3 5 2" xfId="10925" xr:uid="{00000000-0005-0000-0000-0000030F0000}"/>
    <cellStyle name="Input 2 2 4 2 3 3 6" xfId="6590" xr:uid="{00000000-0005-0000-0000-0000040F0000}"/>
    <cellStyle name="Input 2 2 4 2 3 4" xfId="997" xr:uid="{00000000-0005-0000-0000-0000050F0000}"/>
    <cellStyle name="Input 2 2 4 2 3 4 2" xfId="2517" xr:uid="{00000000-0005-0000-0000-0000060F0000}"/>
    <cellStyle name="Input 2 2 4 2 3 4 2 2" xfId="8347" xr:uid="{00000000-0005-0000-0000-0000070F0000}"/>
    <cellStyle name="Input 2 2 4 2 3 4 3" xfId="3943" xr:uid="{00000000-0005-0000-0000-0000080F0000}"/>
    <cellStyle name="Input 2 2 4 2 3 4 3 2" xfId="9773" xr:uid="{00000000-0005-0000-0000-0000090F0000}"/>
    <cellStyle name="Input 2 2 4 2 3 4 4" xfId="5339" xr:uid="{00000000-0005-0000-0000-00000A0F0000}"/>
    <cellStyle name="Input 2 2 4 2 3 4 4 2" xfId="11169" xr:uid="{00000000-0005-0000-0000-00000B0F0000}"/>
    <cellStyle name="Input 2 2 4 2 3 4 5" xfId="6834" xr:uid="{00000000-0005-0000-0000-00000C0F0000}"/>
    <cellStyle name="Input 2 2 4 2 3 5" xfId="1771" xr:uid="{00000000-0005-0000-0000-00000D0F0000}"/>
    <cellStyle name="Input 2 2 4 2 3 5 2" xfId="7601" xr:uid="{00000000-0005-0000-0000-00000E0F0000}"/>
    <cellStyle name="Input 2 2 4 2 3 6" xfId="3202" xr:uid="{00000000-0005-0000-0000-00000F0F0000}"/>
    <cellStyle name="Input 2 2 4 2 3 6 2" xfId="9032" xr:uid="{00000000-0005-0000-0000-0000100F0000}"/>
    <cellStyle name="Input 2 2 4 2 3 7" xfId="4614" xr:uid="{00000000-0005-0000-0000-0000110F0000}"/>
    <cellStyle name="Input 2 2 4 2 3 7 2" xfId="10444" xr:uid="{00000000-0005-0000-0000-0000120F0000}"/>
    <cellStyle name="Input 2 2 4 2 3 8" xfId="6109" xr:uid="{00000000-0005-0000-0000-0000130F0000}"/>
    <cellStyle name="Input 2 2 4 2 4" xfId="310" xr:uid="{00000000-0005-0000-0000-0000140F0000}"/>
    <cellStyle name="Input 2 2 4 2 4 2" xfId="589" xr:uid="{00000000-0005-0000-0000-0000150F0000}"/>
    <cellStyle name="Input 2 2 4 2 4 2 2" xfId="1324" xr:uid="{00000000-0005-0000-0000-0000160F0000}"/>
    <cellStyle name="Input 2 2 4 2 4 2 2 2" xfId="2840" xr:uid="{00000000-0005-0000-0000-0000170F0000}"/>
    <cellStyle name="Input 2 2 4 2 4 2 2 2 2" xfId="8670" xr:uid="{00000000-0005-0000-0000-0000180F0000}"/>
    <cellStyle name="Input 2 2 4 2 4 2 2 3" xfId="4263" xr:uid="{00000000-0005-0000-0000-0000190F0000}"/>
    <cellStyle name="Input 2 2 4 2 4 2 2 3 2" xfId="10093" xr:uid="{00000000-0005-0000-0000-00001A0F0000}"/>
    <cellStyle name="Input 2 2 4 2 4 2 2 4" xfId="5659" xr:uid="{00000000-0005-0000-0000-00001B0F0000}"/>
    <cellStyle name="Input 2 2 4 2 4 2 2 4 2" xfId="11489" xr:uid="{00000000-0005-0000-0000-00001C0F0000}"/>
    <cellStyle name="Input 2 2 4 2 4 2 2 5" xfId="7154" xr:uid="{00000000-0005-0000-0000-00001D0F0000}"/>
    <cellStyle name="Input 2 2 4 2 4 2 3" xfId="2111" xr:uid="{00000000-0005-0000-0000-00001E0F0000}"/>
    <cellStyle name="Input 2 2 4 2 4 2 3 2" xfId="7941" xr:uid="{00000000-0005-0000-0000-00001F0F0000}"/>
    <cellStyle name="Input 2 2 4 2 4 2 4" xfId="3538" xr:uid="{00000000-0005-0000-0000-0000200F0000}"/>
    <cellStyle name="Input 2 2 4 2 4 2 4 2" xfId="9368" xr:uid="{00000000-0005-0000-0000-0000210F0000}"/>
    <cellStyle name="Input 2 2 4 2 4 2 5" xfId="4935" xr:uid="{00000000-0005-0000-0000-0000220F0000}"/>
    <cellStyle name="Input 2 2 4 2 4 2 5 2" xfId="10765" xr:uid="{00000000-0005-0000-0000-0000230F0000}"/>
    <cellStyle name="Input 2 2 4 2 4 2 6" xfId="6430" xr:uid="{00000000-0005-0000-0000-0000240F0000}"/>
    <cellStyle name="Input 2 2 4 2 4 3" xfId="833" xr:uid="{00000000-0005-0000-0000-0000250F0000}"/>
    <cellStyle name="Input 2 2 4 2 4 3 2" xfId="1564" xr:uid="{00000000-0005-0000-0000-0000260F0000}"/>
    <cellStyle name="Input 2 2 4 2 4 3 2 2" xfId="3080" xr:uid="{00000000-0005-0000-0000-0000270F0000}"/>
    <cellStyle name="Input 2 2 4 2 4 3 2 2 2" xfId="8910" xr:uid="{00000000-0005-0000-0000-0000280F0000}"/>
    <cellStyle name="Input 2 2 4 2 4 3 2 3" xfId="4503" xr:uid="{00000000-0005-0000-0000-0000290F0000}"/>
    <cellStyle name="Input 2 2 4 2 4 3 2 3 2" xfId="10333" xr:uid="{00000000-0005-0000-0000-00002A0F0000}"/>
    <cellStyle name="Input 2 2 4 2 4 3 2 4" xfId="5899" xr:uid="{00000000-0005-0000-0000-00002B0F0000}"/>
    <cellStyle name="Input 2 2 4 2 4 3 2 4 2" xfId="11729" xr:uid="{00000000-0005-0000-0000-00002C0F0000}"/>
    <cellStyle name="Input 2 2 4 2 4 3 2 5" xfId="7394" xr:uid="{00000000-0005-0000-0000-00002D0F0000}"/>
    <cellStyle name="Input 2 2 4 2 4 3 3" xfId="2353" xr:uid="{00000000-0005-0000-0000-00002E0F0000}"/>
    <cellStyle name="Input 2 2 4 2 4 3 3 2" xfId="8183" xr:uid="{00000000-0005-0000-0000-00002F0F0000}"/>
    <cellStyle name="Input 2 2 4 2 4 3 4" xfId="3779" xr:uid="{00000000-0005-0000-0000-0000300F0000}"/>
    <cellStyle name="Input 2 2 4 2 4 3 4 2" xfId="9609" xr:uid="{00000000-0005-0000-0000-0000310F0000}"/>
    <cellStyle name="Input 2 2 4 2 4 3 5" xfId="5175" xr:uid="{00000000-0005-0000-0000-0000320F0000}"/>
    <cellStyle name="Input 2 2 4 2 4 3 5 2" xfId="11005" xr:uid="{00000000-0005-0000-0000-0000330F0000}"/>
    <cellStyle name="Input 2 2 4 2 4 3 6" xfId="6670" xr:uid="{00000000-0005-0000-0000-0000340F0000}"/>
    <cellStyle name="Input 2 2 4 2 4 4" xfId="1077" xr:uid="{00000000-0005-0000-0000-0000350F0000}"/>
    <cellStyle name="Input 2 2 4 2 4 4 2" xfId="2597" xr:uid="{00000000-0005-0000-0000-0000360F0000}"/>
    <cellStyle name="Input 2 2 4 2 4 4 2 2" xfId="8427" xr:uid="{00000000-0005-0000-0000-0000370F0000}"/>
    <cellStyle name="Input 2 2 4 2 4 4 3" xfId="4023" xr:uid="{00000000-0005-0000-0000-0000380F0000}"/>
    <cellStyle name="Input 2 2 4 2 4 4 3 2" xfId="9853" xr:uid="{00000000-0005-0000-0000-0000390F0000}"/>
    <cellStyle name="Input 2 2 4 2 4 4 4" xfId="5419" xr:uid="{00000000-0005-0000-0000-00003A0F0000}"/>
    <cellStyle name="Input 2 2 4 2 4 4 4 2" xfId="11249" xr:uid="{00000000-0005-0000-0000-00003B0F0000}"/>
    <cellStyle name="Input 2 2 4 2 4 4 5" xfId="6914" xr:uid="{00000000-0005-0000-0000-00003C0F0000}"/>
    <cellStyle name="Input 2 2 4 2 4 5" xfId="1851" xr:uid="{00000000-0005-0000-0000-00003D0F0000}"/>
    <cellStyle name="Input 2 2 4 2 4 5 2" xfId="7681" xr:uid="{00000000-0005-0000-0000-00003E0F0000}"/>
    <cellStyle name="Input 2 2 4 2 4 6" xfId="3282" xr:uid="{00000000-0005-0000-0000-00003F0F0000}"/>
    <cellStyle name="Input 2 2 4 2 4 6 2" xfId="9112" xr:uid="{00000000-0005-0000-0000-0000400F0000}"/>
    <cellStyle name="Input 2 2 4 2 4 7" xfId="4694" xr:uid="{00000000-0005-0000-0000-0000410F0000}"/>
    <cellStyle name="Input 2 2 4 2 4 7 2" xfId="10524" xr:uid="{00000000-0005-0000-0000-0000420F0000}"/>
    <cellStyle name="Input 2 2 4 2 4 8" xfId="6189" xr:uid="{00000000-0005-0000-0000-0000430F0000}"/>
    <cellStyle name="Input 2 2 4 2 5" xfId="429" xr:uid="{00000000-0005-0000-0000-0000440F0000}"/>
    <cellStyle name="Input 2 2 4 2 5 2" xfId="1164" xr:uid="{00000000-0005-0000-0000-0000450F0000}"/>
    <cellStyle name="Input 2 2 4 2 5 2 2" xfId="2680" xr:uid="{00000000-0005-0000-0000-0000460F0000}"/>
    <cellStyle name="Input 2 2 4 2 5 2 2 2" xfId="8510" xr:uid="{00000000-0005-0000-0000-0000470F0000}"/>
    <cellStyle name="Input 2 2 4 2 5 2 3" xfId="4103" xr:uid="{00000000-0005-0000-0000-0000480F0000}"/>
    <cellStyle name="Input 2 2 4 2 5 2 3 2" xfId="9933" xr:uid="{00000000-0005-0000-0000-0000490F0000}"/>
    <cellStyle name="Input 2 2 4 2 5 2 4" xfId="5499" xr:uid="{00000000-0005-0000-0000-00004A0F0000}"/>
    <cellStyle name="Input 2 2 4 2 5 2 4 2" xfId="11329" xr:uid="{00000000-0005-0000-0000-00004B0F0000}"/>
    <cellStyle name="Input 2 2 4 2 5 2 5" xfId="6994" xr:uid="{00000000-0005-0000-0000-00004C0F0000}"/>
    <cellStyle name="Input 2 2 4 2 5 3" xfId="1951" xr:uid="{00000000-0005-0000-0000-00004D0F0000}"/>
    <cellStyle name="Input 2 2 4 2 5 3 2" xfId="7781" xr:uid="{00000000-0005-0000-0000-00004E0F0000}"/>
    <cellStyle name="Input 2 2 4 2 5 4" xfId="3378" xr:uid="{00000000-0005-0000-0000-00004F0F0000}"/>
    <cellStyle name="Input 2 2 4 2 5 4 2" xfId="9208" xr:uid="{00000000-0005-0000-0000-0000500F0000}"/>
    <cellStyle name="Input 2 2 4 2 5 5" xfId="4775" xr:uid="{00000000-0005-0000-0000-0000510F0000}"/>
    <cellStyle name="Input 2 2 4 2 5 5 2" xfId="10605" xr:uid="{00000000-0005-0000-0000-0000520F0000}"/>
    <cellStyle name="Input 2 2 4 2 5 6" xfId="6270" xr:uid="{00000000-0005-0000-0000-0000530F0000}"/>
    <cellStyle name="Input 2 2 4 2 6" xfId="673" xr:uid="{00000000-0005-0000-0000-0000540F0000}"/>
    <cellStyle name="Input 2 2 4 2 6 2" xfId="1404" xr:uid="{00000000-0005-0000-0000-0000550F0000}"/>
    <cellStyle name="Input 2 2 4 2 6 2 2" xfId="2920" xr:uid="{00000000-0005-0000-0000-0000560F0000}"/>
    <cellStyle name="Input 2 2 4 2 6 2 2 2" xfId="8750" xr:uid="{00000000-0005-0000-0000-0000570F0000}"/>
    <cellStyle name="Input 2 2 4 2 6 2 3" xfId="4343" xr:uid="{00000000-0005-0000-0000-0000580F0000}"/>
    <cellStyle name="Input 2 2 4 2 6 2 3 2" xfId="10173" xr:uid="{00000000-0005-0000-0000-0000590F0000}"/>
    <cellStyle name="Input 2 2 4 2 6 2 4" xfId="5739" xr:uid="{00000000-0005-0000-0000-00005A0F0000}"/>
    <cellStyle name="Input 2 2 4 2 6 2 4 2" xfId="11569" xr:uid="{00000000-0005-0000-0000-00005B0F0000}"/>
    <cellStyle name="Input 2 2 4 2 6 2 5" xfId="7234" xr:uid="{00000000-0005-0000-0000-00005C0F0000}"/>
    <cellStyle name="Input 2 2 4 2 6 3" xfId="2193" xr:uid="{00000000-0005-0000-0000-00005D0F0000}"/>
    <cellStyle name="Input 2 2 4 2 6 3 2" xfId="8023" xr:uid="{00000000-0005-0000-0000-00005E0F0000}"/>
    <cellStyle name="Input 2 2 4 2 6 4" xfId="3619" xr:uid="{00000000-0005-0000-0000-00005F0F0000}"/>
    <cellStyle name="Input 2 2 4 2 6 4 2" xfId="9449" xr:uid="{00000000-0005-0000-0000-0000600F0000}"/>
    <cellStyle name="Input 2 2 4 2 6 5" xfId="5015" xr:uid="{00000000-0005-0000-0000-0000610F0000}"/>
    <cellStyle name="Input 2 2 4 2 6 5 2" xfId="10845" xr:uid="{00000000-0005-0000-0000-0000620F0000}"/>
    <cellStyle name="Input 2 2 4 2 6 6" xfId="6510" xr:uid="{00000000-0005-0000-0000-0000630F0000}"/>
    <cellStyle name="Input 2 2 4 2 7" xfId="917" xr:uid="{00000000-0005-0000-0000-0000640F0000}"/>
    <cellStyle name="Input 2 2 4 2 7 2" xfId="2437" xr:uid="{00000000-0005-0000-0000-0000650F0000}"/>
    <cellStyle name="Input 2 2 4 2 7 2 2" xfId="8267" xr:uid="{00000000-0005-0000-0000-0000660F0000}"/>
    <cellStyle name="Input 2 2 4 2 7 3" xfId="3863" xr:uid="{00000000-0005-0000-0000-0000670F0000}"/>
    <cellStyle name="Input 2 2 4 2 7 3 2" xfId="9693" xr:uid="{00000000-0005-0000-0000-0000680F0000}"/>
    <cellStyle name="Input 2 2 4 2 7 4" xfId="5259" xr:uid="{00000000-0005-0000-0000-0000690F0000}"/>
    <cellStyle name="Input 2 2 4 2 7 4 2" xfId="11089" xr:uid="{00000000-0005-0000-0000-00006A0F0000}"/>
    <cellStyle name="Input 2 2 4 2 7 5" xfId="6754" xr:uid="{00000000-0005-0000-0000-00006B0F0000}"/>
    <cellStyle name="Input 2 2 4 2 8" xfId="1691" xr:uid="{00000000-0005-0000-0000-00006C0F0000}"/>
    <cellStyle name="Input 2 2 4 2 8 2" xfId="7521" xr:uid="{00000000-0005-0000-0000-00006D0F0000}"/>
    <cellStyle name="Input 2 2 4 2 9" xfId="1644" xr:uid="{00000000-0005-0000-0000-00006E0F0000}"/>
    <cellStyle name="Input 2 2 4 2 9 2" xfId="7474" xr:uid="{00000000-0005-0000-0000-00006F0F0000}"/>
    <cellStyle name="Input 2 2 4 3" xfId="169" xr:uid="{00000000-0005-0000-0000-0000700F0000}"/>
    <cellStyle name="Input 2 2 4 3 10" xfId="6049" xr:uid="{00000000-0005-0000-0000-0000710F0000}"/>
    <cellStyle name="Input 2 2 4 3 2" xfId="250" xr:uid="{00000000-0005-0000-0000-0000720F0000}"/>
    <cellStyle name="Input 2 2 4 3 2 2" xfId="529" xr:uid="{00000000-0005-0000-0000-0000730F0000}"/>
    <cellStyle name="Input 2 2 4 3 2 2 2" xfId="1264" xr:uid="{00000000-0005-0000-0000-0000740F0000}"/>
    <cellStyle name="Input 2 2 4 3 2 2 2 2" xfId="2780" xr:uid="{00000000-0005-0000-0000-0000750F0000}"/>
    <cellStyle name="Input 2 2 4 3 2 2 2 2 2" xfId="8610" xr:uid="{00000000-0005-0000-0000-0000760F0000}"/>
    <cellStyle name="Input 2 2 4 3 2 2 2 3" xfId="4203" xr:uid="{00000000-0005-0000-0000-0000770F0000}"/>
    <cellStyle name="Input 2 2 4 3 2 2 2 3 2" xfId="10033" xr:uid="{00000000-0005-0000-0000-0000780F0000}"/>
    <cellStyle name="Input 2 2 4 3 2 2 2 4" xfId="5599" xr:uid="{00000000-0005-0000-0000-0000790F0000}"/>
    <cellStyle name="Input 2 2 4 3 2 2 2 4 2" xfId="11429" xr:uid="{00000000-0005-0000-0000-00007A0F0000}"/>
    <cellStyle name="Input 2 2 4 3 2 2 2 5" xfId="7094" xr:uid="{00000000-0005-0000-0000-00007B0F0000}"/>
    <cellStyle name="Input 2 2 4 3 2 2 3" xfId="2051" xr:uid="{00000000-0005-0000-0000-00007C0F0000}"/>
    <cellStyle name="Input 2 2 4 3 2 2 3 2" xfId="7881" xr:uid="{00000000-0005-0000-0000-00007D0F0000}"/>
    <cellStyle name="Input 2 2 4 3 2 2 4" xfId="3478" xr:uid="{00000000-0005-0000-0000-00007E0F0000}"/>
    <cellStyle name="Input 2 2 4 3 2 2 4 2" xfId="9308" xr:uid="{00000000-0005-0000-0000-00007F0F0000}"/>
    <cellStyle name="Input 2 2 4 3 2 2 5" xfId="4875" xr:uid="{00000000-0005-0000-0000-0000800F0000}"/>
    <cellStyle name="Input 2 2 4 3 2 2 5 2" xfId="10705" xr:uid="{00000000-0005-0000-0000-0000810F0000}"/>
    <cellStyle name="Input 2 2 4 3 2 2 6" xfId="6370" xr:uid="{00000000-0005-0000-0000-0000820F0000}"/>
    <cellStyle name="Input 2 2 4 3 2 3" xfId="773" xr:uid="{00000000-0005-0000-0000-0000830F0000}"/>
    <cellStyle name="Input 2 2 4 3 2 3 2" xfId="1504" xr:uid="{00000000-0005-0000-0000-0000840F0000}"/>
    <cellStyle name="Input 2 2 4 3 2 3 2 2" xfId="3020" xr:uid="{00000000-0005-0000-0000-0000850F0000}"/>
    <cellStyle name="Input 2 2 4 3 2 3 2 2 2" xfId="8850" xr:uid="{00000000-0005-0000-0000-0000860F0000}"/>
    <cellStyle name="Input 2 2 4 3 2 3 2 3" xfId="4443" xr:uid="{00000000-0005-0000-0000-0000870F0000}"/>
    <cellStyle name="Input 2 2 4 3 2 3 2 3 2" xfId="10273" xr:uid="{00000000-0005-0000-0000-0000880F0000}"/>
    <cellStyle name="Input 2 2 4 3 2 3 2 4" xfId="5839" xr:uid="{00000000-0005-0000-0000-0000890F0000}"/>
    <cellStyle name="Input 2 2 4 3 2 3 2 4 2" xfId="11669" xr:uid="{00000000-0005-0000-0000-00008A0F0000}"/>
    <cellStyle name="Input 2 2 4 3 2 3 2 5" xfId="7334" xr:uid="{00000000-0005-0000-0000-00008B0F0000}"/>
    <cellStyle name="Input 2 2 4 3 2 3 3" xfId="2293" xr:uid="{00000000-0005-0000-0000-00008C0F0000}"/>
    <cellStyle name="Input 2 2 4 3 2 3 3 2" xfId="8123" xr:uid="{00000000-0005-0000-0000-00008D0F0000}"/>
    <cellStyle name="Input 2 2 4 3 2 3 4" xfId="3719" xr:uid="{00000000-0005-0000-0000-00008E0F0000}"/>
    <cellStyle name="Input 2 2 4 3 2 3 4 2" xfId="9549" xr:uid="{00000000-0005-0000-0000-00008F0F0000}"/>
    <cellStyle name="Input 2 2 4 3 2 3 5" xfId="5115" xr:uid="{00000000-0005-0000-0000-0000900F0000}"/>
    <cellStyle name="Input 2 2 4 3 2 3 5 2" xfId="10945" xr:uid="{00000000-0005-0000-0000-0000910F0000}"/>
    <cellStyle name="Input 2 2 4 3 2 3 6" xfId="6610" xr:uid="{00000000-0005-0000-0000-0000920F0000}"/>
    <cellStyle name="Input 2 2 4 3 2 4" xfId="1017" xr:uid="{00000000-0005-0000-0000-0000930F0000}"/>
    <cellStyle name="Input 2 2 4 3 2 4 2" xfId="2537" xr:uid="{00000000-0005-0000-0000-0000940F0000}"/>
    <cellStyle name="Input 2 2 4 3 2 4 2 2" xfId="8367" xr:uid="{00000000-0005-0000-0000-0000950F0000}"/>
    <cellStyle name="Input 2 2 4 3 2 4 3" xfId="3963" xr:uid="{00000000-0005-0000-0000-0000960F0000}"/>
    <cellStyle name="Input 2 2 4 3 2 4 3 2" xfId="9793" xr:uid="{00000000-0005-0000-0000-0000970F0000}"/>
    <cellStyle name="Input 2 2 4 3 2 4 4" xfId="5359" xr:uid="{00000000-0005-0000-0000-0000980F0000}"/>
    <cellStyle name="Input 2 2 4 3 2 4 4 2" xfId="11189" xr:uid="{00000000-0005-0000-0000-0000990F0000}"/>
    <cellStyle name="Input 2 2 4 3 2 4 5" xfId="6854" xr:uid="{00000000-0005-0000-0000-00009A0F0000}"/>
    <cellStyle name="Input 2 2 4 3 2 5" xfId="1791" xr:uid="{00000000-0005-0000-0000-00009B0F0000}"/>
    <cellStyle name="Input 2 2 4 3 2 5 2" xfId="7621" xr:uid="{00000000-0005-0000-0000-00009C0F0000}"/>
    <cellStyle name="Input 2 2 4 3 2 6" xfId="3222" xr:uid="{00000000-0005-0000-0000-00009D0F0000}"/>
    <cellStyle name="Input 2 2 4 3 2 6 2" xfId="9052" xr:uid="{00000000-0005-0000-0000-00009E0F0000}"/>
    <cellStyle name="Input 2 2 4 3 2 7" xfId="4634" xr:uid="{00000000-0005-0000-0000-00009F0F0000}"/>
    <cellStyle name="Input 2 2 4 3 2 7 2" xfId="10464" xr:uid="{00000000-0005-0000-0000-0000A00F0000}"/>
    <cellStyle name="Input 2 2 4 3 2 8" xfId="6129" xr:uid="{00000000-0005-0000-0000-0000A10F0000}"/>
    <cellStyle name="Input 2 2 4 3 3" xfId="330" xr:uid="{00000000-0005-0000-0000-0000A20F0000}"/>
    <cellStyle name="Input 2 2 4 3 3 2" xfId="609" xr:uid="{00000000-0005-0000-0000-0000A30F0000}"/>
    <cellStyle name="Input 2 2 4 3 3 2 2" xfId="1344" xr:uid="{00000000-0005-0000-0000-0000A40F0000}"/>
    <cellStyle name="Input 2 2 4 3 3 2 2 2" xfId="2860" xr:uid="{00000000-0005-0000-0000-0000A50F0000}"/>
    <cellStyle name="Input 2 2 4 3 3 2 2 2 2" xfId="8690" xr:uid="{00000000-0005-0000-0000-0000A60F0000}"/>
    <cellStyle name="Input 2 2 4 3 3 2 2 3" xfId="4283" xr:uid="{00000000-0005-0000-0000-0000A70F0000}"/>
    <cellStyle name="Input 2 2 4 3 3 2 2 3 2" xfId="10113" xr:uid="{00000000-0005-0000-0000-0000A80F0000}"/>
    <cellStyle name="Input 2 2 4 3 3 2 2 4" xfId="5679" xr:uid="{00000000-0005-0000-0000-0000A90F0000}"/>
    <cellStyle name="Input 2 2 4 3 3 2 2 4 2" xfId="11509" xr:uid="{00000000-0005-0000-0000-0000AA0F0000}"/>
    <cellStyle name="Input 2 2 4 3 3 2 2 5" xfId="7174" xr:uid="{00000000-0005-0000-0000-0000AB0F0000}"/>
    <cellStyle name="Input 2 2 4 3 3 2 3" xfId="2131" xr:uid="{00000000-0005-0000-0000-0000AC0F0000}"/>
    <cellStyle name="Input 2 2 4 3 3 2 3 2" xfId="7961" xr:uid="{00000000-0005-0000-0000-0000AD0F0000}"/>
    <cellStyle name="Input 2 2 4 3 3 2 4" xfId="3558" xr:uid="{00000000-0005-0000-0000-0000AE0F0000}"/>
    <cellStyle name="Input 2 2 4 3 3 2 4 2" xfId="9388" xr:uid="{00000000-0005-0000-0000-0000AF0F0000}"/>
    <cellStyle name="Input 2 2 4 3 3 2 5" xfId="4955" xr:uid="{00000000-0005-0000-0000-0000B00F0000}"/>
    <cellStyle name="Input 2 2 4 3 3 2 5 2" xfId="10785" xr:uid="{00000000-0005-0000-0000-0000B10F0000}"/>
    <cellStyle name="Input 2 2 4 3 3 2 6" xfId="6450" xr:uid="{00000000-0005-0000-0000-0000B20F0000}"/>
    <cellStyle name="Input 2 2 4 3 3 3" xfId="853" xr:uid="{00000000-0005-0000-0000-0000B30F0000}"/>
    <cellStyle name="Input 2 2 4 3 3 3 2" xfId="1584" xr:uid="{00000000-0005-0000-0000-0000B40F0000}"/>
    <cellStyle name="Input 2 2 4 3 3 3 2 2" xfId="3100" xr:uid="{00000000-0005-0000-0000-0000B50F0000}"/>
    <cellStyle name="Input 2 2 4 3 3 3 2 2 2" xfId="8930" xr:uid="{00000000-0005-0000-0000-0000B60F0000}"/>
    <cellStyle name="Input 2 2 4 3 3 3 2 3" xfId="4523" xr:uid="{00000000-0005-0000-0000-0000B70F0000}"/>
    <cellStyle name="Input 2 2 4 3 3 3 2 3 2" xfId="10353" xr:uid="{00000000-0005-0000-0000-0000B80F0000}"/>
    <cellStyle name="Input 2 2 4 3 3 3 2 4" xfId="5919" xr:uid="{00000000-0005-0000-0000-0000B90F0000}"/>
    <cellStyle name="Input 2 2 4 3 3 3 2 4 2" xfId="11749" xr:uid="{00000000-0005-0000-0000-0000BA0F0000}"/>
    <cellStyle name="Input 2 2 4 3 3 3 2 5" xfId="7414" xr:uid="{00000000-0005-0000-0000-0000BB0F0000}"/>
    <cellStyle name="Input 2 2 4 3 3 3 3" xfId="2373" xr:uid="{00000000-0005-0000-0000-0000BC0F0000}"/>
    <cellStyle name="Input 2 2 4 3 3 3 3 2" xfId="8203" xr:uid="{00000000-0005-0000-0000-0000BD0F0000}"/>
    <cellStyle name="Input 2 2 4 3 3 3 4" xfId="3799" xr:uid="{00000000-0005-0000-0000-0000BE0F0000}"/>
    <cellStyle name="Input 2 2 4 3 3 3 4 2" xfId="9629" xr:uid="{00000000-0005-0000-0000-0000BF0F0000}"/>
    <cellStyle name="Input 2 2 4 3 3 3 5" xfId="5195" xr:uid="{00000000-0005-0000-0000-0000C00F0000}"/>
    <cellStyle name="Input 2 2 4 3 3 3 5 2" xfId="11025" xr:uid="{00000000-0005-0000-0000-0000C10F0000}"/>
    <cellStyle name="Input 2 2 4 3 3 3 6" xfId="6690" xr:uid="{00000000-0005-0000-0000-0000C20F0000}"/>
    <cellStyle name="Input 2 2 4 3 3 4" xfId="1097" xr:uid="{00000000-0005-0000-0000-0000C30F0000}"/>
    <cellStyle name="Input 2 2 4 3 3 4 2" xfId="2617" xr:uid="{00000000-0005-0000-0000-0000C40F0000}"/>
    <cellStyle name="Input 2 2 4 3 3 4 2 2" xfId="8447" xr:uid="{00000000-0005-0000-0000-0000C50F0000}"/>
    <cellStyle name="Input 2 2 4 3 3 4 3" xfId="4043" xr:uid="{00000000-0005-0000-0000-0000C60F0000}"/>
    <cellStyle name="Input 2 2 4 3 3 4 3 2" xfId="9873" xr:uid="{00000000-0005-0000-0000-0000C70F0000}"/>
    <cellStyle name="Input 2 2 4 3 3 4 4" xfId="5439" xr:uid="{00000000-0005-0000-0000-0000C80F0000}"/>
    <cellStyle name="Input 2 2 4 3 3 4 4 2" xfId="11269" xr:uid="{00000000-0005-0000-0000-0000C90F0000}"/>
    <cellStyle name="Input 2 2 4 3 3 4 5" xfId="6934" xr:uid="{00000000-0005-0000-0000-0000CA0F0000}"/>
    <cellStyle name="Input 2 2 4 3 3 5" xfId="1871" xr:uid="{00000000-0005-0000-0000-0000CB0F0000}"/>
    <cellStyle name="Input 2 2 4 3 3 5 2" xfId="7701" xr:uid="{00000000-0005-0000-0000-0000CC0F0000}"/>
    <cellStyle name="Input 2 2 4 3 3 6" xfId="3302" xr:uid="{00000000-0005-0000-0000-0000CD0F0000}"/>
    <cellStyle name="Input 2 2 4 3 3 6 2" xfId="9132" xr:uid="{00000000-0005-0000-0000-0000CE0F0000}"/>
    <cellStyle name="Input 2 2 4 3 3 7" xfId="4714" xr:uid="{00000000-0005-0000-0000-0000CF0F0000}"/>
    <cellStyle name="Input 2 2 4 3 3 7 2" xfId="10544" xr:uid="{00000000-0005-0000-0000-0000D00F0000}"/>
    <cellStyle name="Input 2 2 4 3 3 8" xfId="6209" xr:uid="{00000000-0005-0000-0000-0000D10F0000}"/>
    <cellStyle name="Input 2 2 4 3 4" xfId="449" xr:uid="{00000000-0005-0000-0000-0000D20F0000}"/>
    <cellStyle name="Input 2 2 4 3 4 2" xfId="1184" xr:uid="{00000000-0005-0000-0000-0000D30F0000}"/>
    <cellStyle name="Input 2 2 4 3 4 2 2" xfId="2700" xr:uid="{00000000-0005-0000-0000-0000D40F0000}"/>
    <cellStyle name="Input 2 2 4 3 4 2 2 2" xfId="8530" xr:uid="{00000000-0005-0000-0000-0000D50F0000}"/>
    <cellStyle name="Input 2 2 4 3 4 2 3" xfId="4123" xr:uid="{00000000-0005-0000-0000-0000D60F0000}"/>
    <cellStyle name="Input 2 2 4 3 4 2 3 2" xfId="9953" xr:uid="{00000000-0005-0000-0000-0000D70F0000}"/>
    <cellStyle name="Input 2 2 4 3 4 2 4" xfId="5519" xr:uid="{00000000-0005-0000-0000-0000D80F0000}"/>
    <cellStyle name="Input 2 2 4 3 4 2 4 2" xfId="11349" xr:uid="{00000000-0005-0000-0000-0000D90F0000}"/>
    <cellStyle name="Input 2 2 4 3 4 2 5" xfId="7014" xr:uid="{00000000-0005-0000-0000-0000DA0F0000}"/>
    <cellStyle name="Input 2 2 4 3 4 3" xfId="1971" xr:uid="{00000000-0005-0000-0000-0000DB0F0000}"/>
    <cellStyle name="Input 2 2 4 3 4 3 2" xfId="7801" xr:uid="{00000000-0005-0000-0000-0000DC0F0000}"/>
    <cellStyle name="Input 2 2 4 3 4 4" xfId="3398" xr:uid="{00000000-0005-0000-0000-0000DD0F0000}"/>
    <cellStyle name="Input 2 2 4 3 4 4 2" xfId="9228" xr:uid="{00000000-0005-0000-0000-0000DE0F0000}"/>
    <cellStyle name="Input 2 2 4 3 4 5" xfId="4795" xr:uid="{00000000-0005-0000-0000-0000DF0F0000}"/>
    <cellStyle name="Input 2 2 4 3 4 5 2" xfId="10625" xr:uid="{00000000-0005-0000-0000-0000E00F0000}"/>
    <cellStyle name="Input 2 2 4 3 4 6" xfId="6290" xr:uid="{00000000-0005-0000-0000-0000E10F0000}"/>
    <cellStyle name="Input 2 2 4 3 5" xfId="693" xr:uid="{00000000-0005-0000-0000-0000E20F0000}"/>
    <cellStyle name="Input 2 2 4 3 5 2" xfId="1424" xr:uid="{00000000-0005-0000-0000-0000E30F0000}"/>
    <cellStyle name="Input 2 2 4 3 5 2 2" xfId="2940" xr:uid="{00000000-0005-0000-0000-0000E40F0000}"/>
    <cellStyle name="Input 2 2 4 3 5 2 2 2" xfId="8770" xr:uid="{00000000-0005-0000-0000-0000E50F0000}"/>
    <cellStyle name="Input 2 2 4 3 5 2 3" xfId="4363" xr:uid="{00000000-0005-0000-0000-0000E60F0000}"/>
    <cellStyle name="Input 2 2 4 3 5 2 3 2" xfId="10193" xr:uid="{00000000-0005-0000-0000-0000E70F0000}"/>
    <cellStyle name="Input 2 2 4 3 5 2 4" xfId="5759" xr:uid="{00000000-0005-0000-0000-0000E80F0000}"/>
    <cellStyle name="Input 2 2 4 3 5 2 4 2" xfId="11589" xr:uid="{00000000-0005-0000-0000-0000E90F0000}"/>
    <cellStyle name="Input 2 2 4 3 5 2 5" xfId="7254" xr:uid="{00000000-0005-0000-0000-0000EA0F0000}"/>
    <cellStyle name="Input 2 2 4 3 5 3" xfId="2213" xr:uid="{00000000-0005-0000-0000-0000EB0F0000}"/>
    <cellStyle name="Input 2 2 4 3 5 3 2" xfId="8043" xr:uid="{00000000-0005-0000-0000-0000EC0F0000}"/>
    <cellStyle name="Input 2 2 4 3 5 4" xfId="3639" xr:uid="{00000000-0005-0000-0000-0000ED0F0000}"/>
    <cellStyle name="Input 2 2 4 3 5 4 2" xfId="9469" xr:uid="{00000000-0005-0000-0000-0000EE0F0000}"/>
    <cellStyle name="Input 2 2 4 3 5 5" xfId="5035" xr:uid="{00000000-0005-0000-0000-0000EF0F0000}"/>
    <cellStyle name="Input 2 2 4 3 5 5 2" xfId="10865" xr:uid="{00000000-0005-0000-0000-0000F00F0000}"/>
    <cellStyle name="Input 2 2 4 3 5 6" xfId="6530" xr:uid="{00000000-0005-0000-0000-0000F10F0000}"/>
    <cellStyle name="Input 2 2 4 3 6" xfId="937" xr:uid="{00000000-0005-0000-0000-0000F20F0000}"/>
    <cellStyle name="Input 2 2 4 3 6 2" xfId="2457" xr:uid="{00000000-0005-0000-0000-0000F30F0000}"/>
    <cellStyle name="Input 2 2 4 3 6 2 2" xfId="8287" xr:uid="{00000000-0005-0000-0000-0000F40F0000}"/>
    <cellStyle name="Input 2 2 4 3 6 3" xfId="3883" xr:uid="{00000000-0005-0000-0000-0000F50F0000}"/>
    <cellStyle name="Input 2 2 4 3 6 3 2" xfId="9713" xr:uid="{00000000-0005-0000-0000-0000F60F0000}"/>
    <cellStyle name="Input 2 2 4 3 6 4" xfId="5279" xr:uid="{00000000-0005-0000-0000-0000F70F0000}"/>
    <cellStyle name="Input 2 2 4 3 6 4 2" xfId="11109" xr:uid="{00000000-0005-0000-0000-0000F80F0000}"/>
    <cellStyle name="Input 2 2 4 3 6 5" xfId="6774" xr:uid="{00000000-0005-0000-0000-0000F90F0000}"/>
    <cellStyle name="Input 2 2 4 3 7" xfId="1711" xr:uid="{00000000-0005-0000-0000-0000FA0F0000}"/>
    <cellStyle name="Input 2 2 4 3 7 2" xfId="7541" xr:uid="{00000000-0005-0000-0000-0000FB0F0000}"/>
    <cellStyle name="Input 2 2 4 3 8" xfId="3142" xr:uid="{00000000-0005-0000-0000-0000FC0F0000}"/>
    <cellStyle name="Input 2 2 4 3 8 2" xfId="8972" xr:uid="{00000000-0005-0000-0000-0000FD0F0000}"/>
    <cellStyle name="Input 2 2 4 3 9" xfId="4554" xr:uid="{00000000-0005-0000-0000-0000FE0F0000}"/>
    <cellStyle name="Input 2 2 4 3 9 2" xfId="10384" xr:uid="{00000000-0005-0000-0000-0000FF0F0000}"/>
    <cellStyle name="Input 2 2 4 4" xfId="209" xr:uid="{00000000-0005-0000-0000-000000100000}"/>
    <cellStyle name="Input 2 2 4 4 2" xfId="489" xr:uid="{00000000-0005-0000-0000-000001100000}"/>
    <cellStyle name="Input 2 2 4 4 2 2" xfId="1224" xr:uid="{00000000-0005-0000-0000-000002100000}"/>
    <cellStyle name="Input 2 2 4 4 2 2 2" xfId="2740" xr:uid="{00000000-0005-0000-0000-000003100000}"/>
    <cellStyle name="Input 2 2 4 4 2 2 2 2" xfId="8570" xr:uid="{00000000-0005-0000-0000-000004100000}"/>
    <cellStyle name="Input 2 2 4 4 2 2 3" xfId="4163" xr:uid="{00000000-0005-0000-0000-000005100000}"/>
    <cellStyle name="Input 2 2 4 4 2 2 3 2" xfId="9993" xr:uid="{00000000-0005-0000-0000-000006100000}"/>
    <cellStyle name="Input 2 2 4 4 2 2 4" xfId="5559" xr:uid="{00000000-0005-0000-0000-000007100000}"/>
    <cellStyle name="Input 2 2 4 4 2 2 4 2" xfId="11389" xr:uid="{00000000-0005-0000-0000-000008100000}"/>
    <cellStyle name="Input 2 2 4 4 2 2 5" xfId="7054" xr:uid="{00000000-0005-0000-0000-000009100000}"/>
    <cellStyle name="Input 2 2 4 4 2 3" xfId="2011" xr:uid="{00000000-0005-0000-0000-00000A100000}"/>
    <cellStyle name="Input 2 2 4 4 2 3 2" xfId="7841" xr:uid="{00000000-0005-0000-0000-00000B100000}"/>
    <cellStyle name="Input 2 2 4 4 2 4" xfId="3438" xr:uid="{00000000-0005-0000-0000-00000C100000}"/>
    <cellStyle name="Input 2 2 4 4 2 4 2" xfId="9268" xr:uid="{00000000-0005-0000-0000-00000D100000}"/>
    <cellStyle name="Input 2 2 4 4 2 5" xfId="4835" xr:uid="{00000000-0005-0000-0000-00000E100000}"/>
    <cellStyle name="Input 2 2 4 4 2 5 2" xfId="10665" xr:uid="{00000000-0005-0000-0000-00000F100000}"/>
    <cellStyle name="Input 2 2 4 4 2 6" xfId="6330" xr:uid="{00000000-0005-0000-0000-000010100000}"/>
    <cellStyle name="Input 2 2 4 4 3" xfId="733" xr:uid="{00000000-0005-0000-0000-000011100000}"/>
    <cellStyle name="Input 2 2 4 4 3 2" xfId="1464" xr:uid="{00000000-0005-0000-0000-000012100000}"/>
    <cellStyle name="Input 2 2 4 4 3 2 2" xfId="2980" xr:uid="{00000000-0005-0000-0000-000013100000}"/>
    <cellStyle name="Input 2 2 4 4 3 2 2 2" xfId="8810" xr:uid="{00000000-0005-0000-0000-000014100000}"/>
    <cellStyle name="Input 2 2 4 4 3 2 3" xfId="4403" xr:uid="{00000000-0005-0000-0000-000015100000}"/>
    <cellStyle name="Input 2 2 4 4 3 2 3 2" xfId="10233" xr:uid="{00000000-0005-0000-0000-000016100000}"/>
    <cellStyle name="Input 2 2 4 4 3 2 4" xfId="5799" xr:uid="{00000000-0005-0000-0000-000017100000}"/>
    <cellStyle name="Input 2 2 4 4 3 2 4 2" xfId="11629" xr:uid="{00000000-0005-0000-0000-000018100000}"/>
    <cellStyle name="Input 2 2 4 4 3 2 5" xfId="7294" xr:uid="{00000000-0005-0000-0000-000019100000}"/>
    <cellStyle name="Input 2 2 4 4 3 3" xfId="2253" xr:uid="{00000000-0005-0000-0000-00001A100000}"/>
    <cellStyle name="Input 2 2 4 4 3 3 2" xfId="8083" xr:uid="{00000000-0005-0000-0000-00001B100000}"/>
    <cellStyle name="Input 2 2 4 4 3 4" xfId="3679" xr:uid="{00000000-0005-0000-0000-00001C100000}"/>
    <cellStyle name="Input 2 2 4 4 3 4 2" xfId="9509" xr:uid="{00000000-0005-0000-0000-00001D100000}"/>
    <cellStyle name="Input 2 2 4 4 3 5" xfId="5075" xr:uid="{00000000-0005-0000-0000-00001E100000}"/>
    <cellStyle name="Input 2 2 4 4 3 5 2" xfId="10905" xr:uid="{00000000-0005-0000-0000-00001F100000}"/>
    <cellStyle name="Input 2 2 4 4 3 6" xfId="6570" xr:uid="{00000000-0005-0000-0000-000020100000}"/>
    <cellStyle name="Input 2 2 4 4 4" xfId="977" xr:uid="{00000000-0005-0000-0000-000021100000}"/>
    <cellStyle name="Input 2 2 4 4 4 2" xfId="2497" xr:uid="{00000000-0005-0000-0000-000022100000}"/>
    <cellStyle name="Input 2 2 4 4 4 2 2" xfId="8327" xr:uid="{00000000-0005-0000-0000-000023100000}"/>
    <cellStyle name="Input 2 2 4 4 4 3" xfId="3923" xr:uid="{00000000-0005-0000-0000-000024100000}"/>
    <cellStyle name="Input 2 2 4 4 4 3 2" xfId="9753" xr:uid="{00000000-0005-0000-0000-000025100000}"/>
    <cellStyle name="Input 2 2 4 4 4 4" xfId="5319" xr:uid="{00000000-0005-0000-0000-000026100000}"/>
    <cellStyle name="Input 2 2 4 4 4 4 2" xfId="11149" xr:uid="{00000000-0005-0000-0000-000027100000}"/>
    <cellStyle name="Input 2 2 4 4 4 5" xfId="6814" xr:uid="{00000000-0005-0000-0000-000028100000}"/>
    <cellStyle name="Input 2 2 4 4 5" xfId="1751" xr:uid="{00000000-0005-0000-0000-000029100000}"/>
    <cellStyle name="Input 2 2 4 4 5 2" xfId="7581" xr:uid="{00000000-0005-0000-0000-00002A100000}"/>
    <cellStyle name="Input 2 2 4 4 6" xfId="3182" xr:uid="{00000000-0005-0000-0000-00002B100000}"/>
    <cellStyle name="Input 2 2 4 4 6 2" xfId="9012" xr:uid="{00000000-0005-0000-0000-00002C100000}"/>
    <cellStyle name="Input 2 2 4 4 7" xfId="4594" xr:uid="{00000000-0005-0000-0000-00002D100000}"/>
    <cellStyle name="Input 2 2 4 4 7 2" xfId="10424" xr:uid="{00000000-0005-0000-0000-00002E100000}"/>
    <cellStyle name="Input 2 2 4 4 8" xfId="6089" xr:uid="{00000000-0005-0000-0000-00002F100000}"/>
    <cellStyle name="Input 2 2 4 5" xfId="290" xr:uid="{00000000-0005-0000-0000-000030100000}"/>
    <cellStyle name="Input 2 2 4 5 2" xfId="569" xr:uid="{00000000-0005-0000-0000-000031100000}"/>
    <cellStyle name="Input 2 2 4 5 2 2" xfId="1304" xr:uid="{00000000-0005-0000-0000-000032100000}"/>
    <cellStyle name="Input 2 2 4 5 2 2 2" xfId="2820" xr:uid="{00000000-0005-0000-0000-000033100000}"/>
    <cellStyle name="Input 2 2 4 5 2 2 2 2" xfId="8650" xr:uid="{00000000-0005-0000-0000-000034100000}"/>
    <cellStyle name="Input 2 2 4 5 2 2 3" xfId="4243" xr:uid="{00000000-0005-0000-0000-000035100000}"/>
    <cellStyle name="Input 2 2 4 5 2 2 3 2" xfId="10073" xr:uid="{00000000-0005-0000-0000-000036100000}"/>
    <cellStyle name="Input 2 2 4 5 2 2 4" xfId="5639" xr:uid="{00000000-0005-0000-0000-000037100000}"/>
    <cellStyle name="Input 2 2 4 5 2 2 4 2" xfId="11469" xr:uid="{00000000-0005-0000-0000-000038100000}"/>
    <cellStyle name="Input 2 2 4 5 2 2 5" xfId="7134" xr:uid="{00000000-0005-0000-0000-000039100000}"/>
    <cellStyle name="Input 2 2 4 5 2 3" xfId="2091" xr:uid="{00000000-0005-0000-0000-00003A100000}"/>
    <cellStyle name="Input 2 2 4 5 2 3 2" xfId="7921" xr:uid="{00000000-0005-0000-0000-00003B100000}"/>
    <cellStyle name="Input 2 2 4 5 2 4" xfId="3518" xr:uid="{00000000-0005-0000-0000-00003C100000}"/>
    <cellStyle name="Input 2 2 4 5 2 4 2" xfId="9348" xr:uid="{00000000-0005-0000-0000-00003D100000}"/>
    <cellStyle name="Input 2 2 4 5 2 5" xfId="4915" xr:uid="{00000000-0005-0000-0000-00003E100000}"/>
    <cellStyle name="Input 2 2 4 5 2 5 2" xfId="10745" xr:uid="{00000000-0005-0000-0000-00003F100000}"/>
    <cellStyle name="Input 2 2 4 5 2 6" xfId="6410" xr:uid="{00000000-0005-0000-0000-000040100000}"/>
    <cellStyle name="Input 2 2 4 5 3" xfId="813" xr:uid="{00000000-0005-0000-0000-000041100000}"/>
    <cellStyle name="Input 2 2 4 5 3 2" xfId="1544" xr:uid="{00000000-0005-0000-0000-000042100000}"/>
    <cellStyle name="Input 2 2 4 5 3 2 2" xfId="3060" xr:uid="{00000000-0005-0000-0000-000043100000}"/>
    <cellStyle name="Input 2 2 4 5 3 2 2 2" xfId="8890" xr:uid="{00000000-0005-0000-0000-000044100000}"/>
    <cellStyle name="Input 2 2 4 5 3 2 3" xfId="4483" xr:uid="{00000000-0005-0000-0000-000045100000}"/>
    <cellStyle name="Input 2 2 4 5 3 2 3 2" xfId="10313" xr:uid="{00000000-0005-0000-0000-000046100000}"/>
    <cellStyle name="Input 2 2 4 5 3 2 4" xfId="5879" xr:uid="{00000000-0005-0000-0000-000047100000}"/>
    <cellStyle name="Input 2 2 4 5 3 2 4 2" xfId="11709" xr:uid="{00000000-0005-0000-0000-000048100000}"/>
    <cellStyle name="Input 2 2 4 5 3 2 5" xfId="7374" xr:uid="{00000000-0005-0000-0000-000049100000}"/>
    <cellStyle name="Input 2 2 4 5 3 3" xfId="2333" xr:uid="{00000000-0005-0000-0000-00004A100000}"/>
    <cellStyle name="Input 2 2 4 5 3 3 2" xfId="8163" xr:uid="{00000000-0005-0000-0000-00004B100000}"/>
    <cellStyle name="Input 2 2 4 5 3 4" xfId="3759" xr:uid="{00000000-0005-0000-0000-00004C100000}"/>
    <cellStyle name="Input 2 2 4 5 3 4 2" xfId="9589" xr:uid="{00000000-0005-0000-0000-00004D100000}"/>
    <cellStyle name="Input 2 2 4 5 3 5" xfId="5155" xr:uid="{00000000-0005-0000-0000-00004E100000}"/>
    <cellStyle name="Input 2 2 4 5 3 5 2" xfId="10985" xr:uid="{00000000-0005-0000-0000-00004F100000}"/>
    <cellStyle name="Input 2 2 4 5 3 6" xfId="6650" xr:uid="{00000000-0005-0000-0000-000050100000}"/>
    <cellStyle name="Input 2 2 4 5 4" xfId="1057" xr:uid="{00000000-0005-0000-0000-000051100000}"/>
    <cellStyle name="Input 2 2 4 5 4 2" xfId="2577" xr:uid="{00000000-0005-0000-0000-000052100000}"/>
    <cellStyle name="Input 2 2 4 5 4 2 2" xfId="8407" xr:uid="{00000000-0005-0000-0000-000053100000}"/>
    <cellStyle name="Input 2 2 4 5 4 3" xfId="4003" xr:uid="{00000000-0005-0000-0000-000054100000}"/>
    <cellStyle name="Input 2 2 4 5 4 3 2" xfId="9833" xr:uid="{00000000-0005-0000-0000-000055100000}"/>
    <cellStyle name="Input 2 2 4 5 4 4" xfId="5399" xr:uid="{00000000-0005-0000-0000-000056100000}"/>
    <cellStyle name="Input 2 2 4 5 4 4 2" xfId="11229" xr:uid="{00000000-0005-0000-0000-000057100000}"/>
    <cellStyle name="Input 2 2 4 5 4 5" xfId="6894" xr:uid="{00000000-0005-0000-0000-000058100000}"/>
    <cellStyle name="Input 2 2 4 5 5" xfId="1831" xr:uid="{00000000-0005-0000-0000-000059100000}"/>
    <cellStyle name="Input 2 2 4 5 5 2" xfId="7661" xr:uid="{00000000-0005-0000-0000-00005A100000}"/>
    <cellStyle name="Input 2 2 4 5 6" xfId="3262" xr:uid="{00000000-0005-0000-0000-00005B100000}"/>
    <cellStyle name="Input 2 2 4 5 6 2" xfId="9092" xr:uid="{00000000-0005-0000-0000-00005C100000}"/>
    <cellStyle name="Input 2 2 4 5 7" xfId="4674" xr:uid="{00000000-0005-0000-0000-00005D100000}"/>
    <cellStyle name="Input 2 2 4 5 7 2" xfId="10504" xr:uid="{00000000-0005-0000-0000-00005E100000}"/>
    <cellStyle name="Input 2 2 4 5 8" xfId="6169" xr:uid="{00000000-0005-0000-0000-00005F100000}"/>
    <cellStyle name="Input 2 2 4 6" xfId="409" xr:uid="{00000000-0005-0000-0000-000060100000}"/>
    <cellStyle name="Input 2 2 4 6 2" xfId="1144" xr:uid="{00000000-0005-0000-0000-000061100000}"/>
    <cellStyle name="Input 2 2 4 6 2 2" xfId="2660" xr:uid="{00000000-0005-0000-0000-000062100000}"/>
    <cellStyle name="Input 2 2 4 6 2 2 2" xfId="8490" xr:uid="{00000000-0005-0000-0000-000063100000}"/>
    <cellStyle name="Input 2 2 4 6 2 3" xfId="4083" xr:uid="{00000000-0005-0000-0000-000064100000}"/>
    <cellStyle name="Input 2 2 4 6 2 3 2" xfId="9913" xr:uid="{00000000-0005-0000-0000-000065100000}"/>
    <cellStyle name="Input 2 2 4 6 2 4" xfId="5479" xr:uid="{00000000-0005-0000-0000-000066100000}"/>
    <cellStyle name="Input 2 2 4 6 2 4 2" xfId="11309" xr:uid="{00000000-0005-0000-0000-000067100000}"/>
    <cellStyle name="Input 2 2 4 6 2 5" xfId="6974" xr:uid="{00000000-0005-0000-0000-000068100000}"/>
    <cellStyle name="Input 2 2 4 6 3" xfId="1931" xr:uid="{00000000-0005-0000-0000-000069100000}"/>
    <cellStyle name="Input 2 2 4 6 3 2" xfId="7761" xr:uid="{00000000-0005-0000-0000-00006A100000}"/>
    <cellStyle name="Input 2 2 4 6 4" xfId="3358" xr:uid="{00000000-0005-0000-0000-00006B100000}"/>
    <cellStyle name="Input 2 2 4 6 4 2" xfId="9188" xr:uid="{00000000-0005-0000-0000-00006C100000}"/>
    <cellStyle name="Input 2 2 4 6 5" xfId="4755" xr:uid="{00000000-0005-0000-0000-00006D100000}"/>
    <cellStyle name="Input 2 2 4 6 5 2" xfId="10585" xr:uid="{00000000-0005-0000-0000-00006E100000}"/>
    <cellStyle name="Input 2 2 4 6 6" xfId="6250" xr:uid="{00000000-0005-0000-0000-00006F100000}"/>
    <cellStyle name="Input 2 2 4 7" xfId="653" xr:uid="{00000000-0005-0000-0000-000070100000}"/>
    <cellStyle name="Input 2 2 4 7 2" xfId="1384" xr:uid="{00000000-0005-0000-0000-000071100000}"/>
    <cellStyle name="Input 2 2 4 7 2 2" xfId="2900" xr:uid="{00000000-0005-0000-0000-000072100000}"/>
    <cellStyle name="Input 2 2 4 7 2 2 2" xfId="8730" xr:uid="{00000000-0005-0000-0000-000073100000}"/>
    <cellStyle name="Input 2 2 4 7 2 3" xfId="4323" xr:uid="{00000000-0005-0000-0000-000074100000}"/>
    <cellStyle name="Input 2 2 4 7 2 3 2" xfId="10153" xr:uid="{00000000-0005-0000-0000-000075100000}"/>
    <cellStyle name="Input 2 2 4 7 2 4" xfId="5719" xr:uid="{00000000-0005-0000-0000-000076100000}"/>
    <cellStyle name="Input 2 2 4 7 2 4 2" xfId="11549" xr:uid="{00000000-0005-0000-0000-000077100000}"/>
    <cellStyle name="Input 2 2 4 7 2 5" xfId="7214" xr:uid="{00000000-0005-0000-0000-000078100000}"/>
    <cellStyle name="Input 2 2 4 7 3" xfId="2173" xr:uid="{00000000-0005-0000-0000-000079100000}"/>
    <cellStyle name="Input 2 2 4 7 3 2" xfId="8003" xr:uid="{00000000-0005-0000-0000-00007A100000}"/>
    <cellStyle name="Input 2 2 4 7 4" xfId="3599" xr:uid="{00000000-0005-0000-0000-00007B100000}"/>
    <cellStyle name="Input 2 2 4 7 4 2" xfId="9429" xr:uid="{00000000-0005-0000-0000-00007C100000}"/>
    <cellStyle name="Input 2 2 4 7 5" xfId="4995" xr:uid="{00000000-0005-0000-0000-00007D100000}"/>
    <cellStyle name="Input 2 2 4 7 5 2" xfId="10825" xr:uid="{00000000-0005-0000-0000-00007E100000}"/>
    <cellStyle name="Input 2 2 4 7 6" xfId="6490" xr:uid="{00000000-0005-0000-0000-00007F100000}"/>
    <cellStyle name="Input 2 2 4 8" xfId="897" xr:uid="{00000000-0005-0000-0000-000080100000}"/>
    <cellStyle name="Input 2 2 4 8 2" xfId="2417" xr:uid="{00000000-0005-0000-0000-000081100000}"/>
    <cellStyle name="Input 2 2 4 8 2 2" xfId="8247" xr:uid="{00000000-0005-0000-0000-000082100000}"/>
    <cellStyle name="Input 2 2 4 8 3" xfId="3843" xr:uid="{00000000-0005-0000-0000-000083100000}"/>
    <cellStyle name="Input 2 2 4 8 3 2" xfId="9673" xr:uid="{00000000-0005-0000-0000-000084100000}"/>
    <cellStyle name="Input 2 2 4 8 4" xfId="5239" xr:uid="{00000000-0005-0000-0000-000085100000}"/>
    <cellStyle name="Input 2 2 4 8 4 2" xfId="11069" xr:uid="{00000000-0005-0000-0000-000086100000}"/>
    <cellStyle name="Input 2 2 4 8 5" xfId="6734" xr:uid="{00000000-0005-0000-0000-000087100000}"/>
    <cellStyle name="Input 2 2 4 9" xfId="1671" xr:uid="{00000000-0005-0000-0000-000088100000}"/>
    <cellStyle name="Input 2 2 4 9 2" xfId="7501" xr:uid="{00000000-0005-0000-0000-000089100000}"/>
    <cellStyle name="Input 2 2 5" xfId="133" xr:uid="{00000000-0005-0000-0000-00008A100000}"/>
    <cellStyle name="Input 2 2 5 10" xfId="1654" xr:uid="{00000000-0005-0000-0000-00008B100000}"/>
    <cellStyle name="Input 2 2 5 10 2" xfId="7484" xr:uid="{00000000-0005-0000-0000-00008C100000}"/>
    <cellStyle name="Input 2 2 5 11" xfId="6014" xr:uid="{00000000-0005-0000-0000-00008D100000}"/>
    <cellStyle name="Input 2 2 5 2" xfId="174" xr:uid="{00000000-0005-0000-0000-00008E100000}"/>
    <cellStyle name="Input 2 2 5 2 10" xfId="6054" xr:uid="{00000000-0005-0000-0000-00008F100000}"/>
    <cellStyle name="Input 2 2 5 2 2" xfId="255" xr:uid="{00000000-0005-0000-0000-000090100000}"/>
    <cellStyle name="Input 2 2 5 2 2 2" xfId="534" xr:uid="{00000000-0005-0000-0000-000091100000}"/>
    <cellStyle name="Input 2 2 5 2 2 2 2" xfId="1269" xr:uid="{00000000-0005-0000-0000-000092100000}"/>
    <cellStyle name="Input 2 2 5 2 2 2 2 2" xfId="2785" xr:uid="{00000000-0005-0000-0000-000093100000}"/>
    <cellStyle name="Input 2 2 5 2 2 2 2 2 2" xfId="8615" xr:uid="{00000000-0005-0000-0000-000094100000}"/>
    <cellStyle name="Input 2 2 5 2 2 2 2 3" xfId="4208" xr:uid="{00000000-0005-0000-0000-000095100000}"/>
    <cellStyle name="Input 2 2 5 2 2 2 2 3 2" xfId="10038" xr:uid="{00000000-0005-0000-0000-000096100000}"/>
    <cellStyle name="Input 2 2 5 2 2 2 2 4" xfId="5604" xr:uid="{00000000-0005-0000-0000-000097100000}"/>
    <cellStyle name="Input 2 2 5 2 2 2 2 4 2" xfId="11434" xr:uid="{00000000-0005-0000-0000-000098100000}"/>
    <cellStyle name="Input 2 2 5 2 2 2 2 5" xfId="7099" xr:uid="{00000000-0005-0000-0000-000099100000}"/>
    <cellStyle name="Input 2 2 5 2 2 2 3" xfId="2056" xr:uid="{00000000-0005-0000-0000-00009A100000}"/>
    <cellStyle name="Input 2 2 5 2 2 2 3 2" xfId="7886" xr:uid="{00000000-0005-0000-0000-00009B100000}"/>
    <cellStyle name="Input 2 2 5 2 2 2 4" xfId="3483" xr:uid="{00000000-0005-0000-0000-00009C100000}"/>
    <cellStyle name="Input 2 2 5 2 2 2 4 2" xfId="9313" xr:uid="{00000000-0005-0000-0000-00009D100000}"/>
    <cellStyle name="Input 2 2 5 2 2 2 5" xfId="4880" xr:uid="{00000000-0005-0000-0000-00009E100000}"/>
    <cellStyle name="Input 2 2 5 2 2 2 5 2" xfId="10710" xr:uid="{00000000-0005-0000-0000-00009F100000}"/>
    <cellStyle name="Input 2 2 5 2 2 2 6" xfId="6375" xr:uid="{00000000-0005-0000-0000-0000A0100000}"/>
    <cellStyle name="Input 2 2 5 2 2 3" xfId="778" xr:uid="{00000000-0005-0000-0000-0000A1100000}"/>
    <cellStyle name="Input 2 2 5 2 2 3 2" xfId="1509" xr:uid="{00000000-0005-0000-0000-0000A2100000}"/>
    <cellStyle name="Input 2 2 5 2 2 3 2 2" xfId="3025" xr:uid="{00000000-0005-0000-0000-0000A3100000}"/>
    <cellStyle name="Input 2 2 5 2 2 3 2 2 2" xfId="8855" xr:uid="{00000000-0005-0000-0000-0000A4100000}"/>
    <cellStyle name="Input 2 2 5 2 2 3 2 3" xfId="4448" xr:uid="{00000000-0005-0000-0000-0000A5100000}"/>
    <cellStyle name="Input 2 2 5 2 2 3 2 3 2" xfId="10278" xr:uid="{00000000-0005-0000-0000-0000A6100000}"/>
    <cellStyle name="Input 2 2 5 2 2 3 2 4" xfId="5844" xr:uid="{00000000-0005-0000-0000-0000A7100000}"/>
    <cellStyle name="Input 2 2 5 2 2 3 2 4 2" xfId="11674" xr:uid="{00000000-0005-0000-0000-0000A8100000}"/>
    <cellStyle name="Input 2 2 5 2 2 3 2 5" xfId="7339" xr:uid="{00000000-0005-0000-0000-0000A9100000}"/>
    <cellStyle name="Input 2 2 5 2 2 3 3" xfId="2298" xr:uid="{00000000-0005-0000-0000-0000AA100000}"/>
    <cellStyle name="Input 2 2 5 2 2 3 3 2" xfId="8128" xr:uid="{00000000-0005-0000-0000-0000AB100000}"/>
    <cellStyle name="Input 2 2 5 2 2 3 4" xfId="3724" xr:uid="{00000000-0005-0000-0000-0000AC100000}"/>
    <cellStyle name="Input 2 2 5 2 2 3 4 2" xfId="9554" xr:uid="{00000000-0005-0000-0000-0000AD100000}"/>
    <cellStyle name="Input 2 2 5 2 2 3 5" xfId="5120" xr:uid="{00000000-0005-0000-0000-0000AE100000}"/>
    <cellStyle name="Input 2 2 5 2 2 3 5 2" xfId="10950" xr:uid="{00000000-0005-0000-0000-0000AF100000}"/>
    <cellStyle name="Input 2 2 5 2 2 3 6" xfId="6615" xr:uid="{00000000-0005-0000-0000-0000B0100000}"/>
    <cellStyle name="Input 2 2 5 2 2 4" xfId="1022" xr:uid="{00000000-0005-0000-0000-0000B1100000}"/>
    <cellStyle name="Input 2 2 5 2 2 4 2" xfId="2542" xr:uid="{00000000-0005-0000-0000-0000B2100000}"/>
    <cellStyle name="Input 2 2 5 2 2 4 2 2" xfId="8372" xr:uid="{00000000-0005-0000-0000-0000B3100000}"/>
    <cellStyle name="Input 2 2 5 2 2 4 3" xfId="3968" xr:uid="{00000000-0005-0000-0000-0000B4100000}"/>
    <cellStyle name="Input 2 2 5 2 2 4 3 2" xfId="9798" xr:uid="{00000000-0005-0000-0000-0000B5100000}"/>
    <cellStyle name="Input 2 2 5 2 2 4 4" xfId="5364" xr:uid="{00000000-0005-0000-0000-0000B6100000}"/>
    <cellStyle name="Input 2 2 5 2 2 4 4 2" xfId="11194" xr:uid="{00000000-0005-0000-0000-0000B7100000}"/>
    <cellStyle name="Input 2 2 5 2 2 4 5" xfId="6859" xr:uid="{00000000-0005-0000-0000-0000B8100000}"/>
    <cellStyle name="Input 2 2 5 2 2 5" xfId="1796" xr:uid="{00000000-0005-0000-0000-0000B9100000}"/>
    <cellStyle name="Input 2 2 5 2 2 5 2" xfId="7626" xr:uid="{00000000-0005-0000-0000-0000BA100000}"/>
    <cellStyle name="Input 2 2 5 2 2 6" xfId="3227" xr:uid="{00000000-0005-0000-0000-0000BB100000}"/>
    <cellStyle name="Input 2 2 5 2 2 6 2" xfId="9057" xr:uid="{00000000-0005-0000-0000-0000BC100000}"/>
    <cellStyle name="Input 2 2 5 2 2 7" xfId="4639" xr:uid="{00000000-0005-0000-0000-0000BD100000}"/>
    <cellStyle name="Input 2 2 5 2 2 7 2" xfId="10469" xr:uid="{00000000-0005-0000-0000-0000BE100000}"/>
    <cellStyle name="Input 2 2 5 2 2 8" xfId="6134" xr:uid="{00000000-0005-0000-0000-0000BF100000}"/>
    <cellStyle name="Input 2 2 5 2 3" xfId="335" xr:uid="{00000000-0005-0000-0000-0000C0100000}"/>
    <cellStyle name="Input 2 2 5 2 3 2" xfId="614" xr:uid="{00000000-0005-0000-0000-0000C1100000}"/>
    <cellStyle name="Input 2 2 5 2 3 2 2" xfId="1349" xr:uid="{00000000-0005-0000-0000-0000C2100000}"/>
    <cellStyle name="Input 2 2 5 2 3 2 2 2" xfId="2865" xr:uid="{00000000-0005-0000-0000-0000C3100000}"/>
    <cellStyle name="Input 2 2 5 2 3 2 2 2 2" xfId="8695" xr:uid="{00000000-0005-0000-0000-0000C4100000}"/>
    <cellStyle name="Input 2 2 5 2 3 2 2 3" xfId="4288" xr:uid="{00000000-0005-0000-0000-0000C5100000}"/>
    <cellStyle name="Input 2 2 5 2 3 2 2 3 2" xfId="10118" xr:uid="{00000000-0005-0000-0000-0000C6100000}"/>
    <cellStyle name="Input 2 2 5 2 3 2 2 4" xfId="5684" xr:uid="{00000000-0005-0000-0000-0000C7100000}"/>
    <cellStyle name="Input 2 2 5 2 3 2 2 4 2" xfId="11514" xr:uid="{00000000-0005-0000-0000-0000C8100000}"/>
    <cellStyle name="Input 2 2 5 2 3 2 2 5" xfId="7179" xr:uid="{00000000-0005-0000-0000-0000C9100000}"/>
    <cellStyle name="Input 2 2 5 2 3 2 3" xfId="2136" xr:uid="{00000000-0005-0000-0000-0000CA100000}"/>
    <cellStyle name="Input 2 2 5 2 3 2 3 2" xfId="7966" xr:uid="{00000000-0005-0000-0000-0000CB100000}"/>
    <cellStyle name="Input 2 2 5 2 3 2 4" xfId="3563" xr:uid="{00000000-0005-0000-0000-0000CC100000}"/>
    <cellStyle name="Input 2 2 5 2 3 2 4 2" xfId="9393" xr:uid="{00000000-0005-0000-0000-0000CD100000}"/>
    <cellStyle name="Input 2 2 5 2 3 2 5" xfId="4960" xr:uid="{00000000-0005-0000-0000-0000CE100000}"/>
    <cellStyle name="Input 2 2 5 2 3 2 5 2" xfId="10790" xr:uid="{00000000-0005-0000-0000-0000CF100000}"/>
    <cellStyle name="Input 2 2 5 2 3 2 6" xfId="6455" xr:uid="{00000000-0005-0000-0000-0000D0100000}"/>
    <cellStyle name="Input 2 2 5 2 3 3" xfId="858" xr:uid="{00000000-0005-0000-0000-0000D1100000}"/>
    <cellStyle name="Input 2 2 5 2 3 3 2" xfId="1589" xr:uid="{00000000-0005-0000-0000-0000D2100000}"/>
    <cellStyle name="Input 2 2 5 2 3 3 2 2" xfId="3105" xr:uid="{00000000-0005-0000-0000-0000D3100000}"/>
    <cellStyle name="Input 2 2 5 2 3 3 2 2 2" xfId="8935" xr:uid="{00000000-0005-0000-0000-0000D4100000}"/>
    <cellStyle name="Input 2 2 5 2 3 3 2 3" xfId="4528" xr:uid="{00000000-0005-0000-0000-0000D5100000}"/>
    <cellStyle name="Input 2 2 5 2 3 3 2 3 2" xfId="10358" xr:uid="{00000000-0005-0000-0000-0000D6100000}"/>
    <cellStyle name="Input 2 2 5 2 3 3 2 4" xfId="5924" xr:uid="{00000000-0005-0000-0000-0000D7100000}"/>
    <cellStyle name="Input 2 2 5 2 3 3 2 4 2" xfId="11754" xr:uid="{00000000-0005-0000-0000-0000D8100000}"/>
    <cellStyle name="Input 2 2 5 2 3 3 2 5" xfId="7419" xr:uid="{00000000-0005-0000-0000-0000D9100000}"/>
    <cellStyle name="Input 2 2 5 2 3 3 3" xfId="2378" xr:uid="{00000000-0005-0000-0000-0000DA100000}"/>
    <cellStyle name="Input 2 2 5 2 3 3 3 2" xfId="8208" xr:uid="{00000000-0005-0000-0000-0000DB100000}"/>
    <cellStyle name="Input 2 2 5 2 3 3 4" xfId="3804" xr:uid="{00000000-0005-0000-0000-0000DC100000}"/>
    <cellStyle name="Input 2 2 5 2 3 3 4 2" xfId="9634" xr:uid="{00000000-0005-0000-0000-0000DD100000}"/>
    <cellStyle name="Input 2 2 5 2 3 3 5" xfId="5200" xr:uid="{00000000-0005-0000-0000-0000DE100000}"/>
    <cellStyle name="Input 2 2 5 2 3 3 5 2" xfId="11030" xr:uid="{00000000-0005-0000-0000-0000DF100000}"/>
    <cellStyle name="Input 2 2 5 2 3 3 6" xfId="6695" xr:uid="{00000000-0005-0000-0000-0000E0100000}"/>
    <cellStyle name="Input 2 2 5 2 3 4" xfId="1102" xr:uid="{00000000-0005-0000-0000-0000E1100000}"/>
    <cellStyle name="Input 2 2 5 2 3 4 2" xfId="2622" xr:uid="{00000000-0005-0000-0000-0000E2100000}"/>
    <cellStyle name="Input 2 2 5 2 3 4 2 2" xfId="8452" xr:uid="{00000000-0005-0000-0000-0000E3100000}"/>
    <cellStyle name="Input 2 2 5 2 3 4 3" xfId="4048" xr:uid="{00000000-0005-0000-0000-0000E4100000}"/>
    <cellStyle name="Input 2 2 5 2 3 4 3 2" xfId="9878" xr:uid="{00000000-0005-0000-0000-0000E5100000}"/>
    <cellStyle name="Input 2 2 5 2 3 4 4" xfId="5444" xr:uid="{00000000-0005-0000-0000-0000E6100000}"/>
    <cellStyle name="Input 2 2 5 2 3 4 4 2" xfId="11274" xr:uid="{00000000-0005-0000-0000-0000E7100000}"/>
    <cellStyle name="Input 2 2 5 2 3 4 5" xfId="6939" xr:uid="{00000000-0005-0000-0000-0000E8100000}"/>
    <cellStyle name="Input 2 2 5 2 3 5" xfId="1876" xr:uid="{00000000-0005-0000-0000-0000E9100000}"/>
    <cellStyle name="Input 2 2 5 2 3 5 2" xfId="7706" xr:uid="{00000000-0005-0000-0000-0000EA100000}"/>
    <cellStyle name="Input 2 2 5 2 3 6" xfId="3307" xr:uid="{00000000-0005-0000-0000-0000EB100000}"/>
    <cellStyle name="Input 2 2 5 2 3 6 2" xfId="9137" xr:uid="{00000000-0005-0000-0000-0000EC100000}"/>
    <cellStyle name="Input 2 2 5 2 3 7" xfId="4719" xr:uid="{00000000-0005-0000-0000-0000ED100000}"/>
    <cellStyle name="Input 2 2 5 2 3 7 2" xfId="10549" xr:uid="{00000000-0005-0000-0000-0000EE100000}"/>
    <cellStyle name="Input 2 2 5 2 3 8" xfId="6214" xr:uid="{00000000-0005-0000-0000-0000EF100000}"/>
    <cellStyle name="Input 2 2 5 2 4" xfId="454" xr:uid="{00000000-0005-0000-0000-0000F0100000}"/>
    <cellStyle name="Input 2 2 5 2 4 2" xfId="1189" xr:uid="{00000000-0005-0000-0000-0000F1100000}"/>
    <cellStyle name="Input 2 2 5 2 4 2 2" xfId="2705" xr:uid="{00000000-0005-0000-0000-0000F2100000}"/>
    <cellStyle name="Input 2 2 5 2 4 2 2 2" xfId="8535" xr:uid="{00000000-0005-0000-0000-0000F3100000}"/>
    <cellStyle name="Input 2 2 5 2 4 2 3" xfId="4128" xr:uid="{00000000-0005-0000-0000-0000F4100000}"/>
    <cellStyle name="Input 2 2 5 2 4 2 3 2" xfId="9958" xr:uid="{00000000-0005-0000-0000-0000F5100000}"/>
    <cellStyle name="Input 2 2 5 2 4 2 4" xfId="5524" xr:uid="{00000000-0005-0000-0000-0000F6100000}"/>
    <cellStyle name="Input 2 2 5 2 4 2 4 2" xfId="11354" xr:uid="{00000000-0005-0000-0000-0000F7100000}"/>
    <cellStyle name="Input 2 2 5 2 4 2 5" xfId="7019" xr:uid="{00000000-0005-0000-0000-0000F8100000}"/>
    <cellStyle name="Input 2 2 5 2 4 3" xfId="1976" xr:uid="{00000000-0005-0000-0000-0000F9100000}"/>
    <cellStyle name="Input 2 2 5 2 4 3 2" xfId="7806" xr:uid="{00000000-0005-0000-0000-0000FA100000}"/>
    <cellStyle name="Input 2 2 5 2 4 4" xfId="3403" xr:uid="{00000000-0005-0000-0000-0000FB100000}"/>
    <cellStyle name="Input 2 2 5 2 4 4 2" xfId="9233" xr:uid="{00000000-0005-0000-0000-0000FC100000}"/>
    <cellStyle name="Input 2 2 5 2 4 5" xfId="4800" xr:uid="{00000000-0005-0000-0000-0000FD100000}"/>
    <cellStyle name="Input 2 2 5 2 4 5 2" xfId="10630" xr:uid="{00000000-0005-0000-0000-0000FE100000}"/>
    <cellStyle name="Input 2 2 5 2 4 6" xfId="6295" xr:uid="{00000000-0005-0000-0000-0000FF100000}"/>
    <cellStyle name="Input 2 2 5 2 5" xfId="698" xr:uid="{00000000-0005-0000-0000-000000110000}"/>
    <cellStyle name="Input 2 2 5 2 5 2" xfId="1429" xr:uid="{00000000-0005-0000-0000-000001110000}"/>
    <cellStyle name="Input 2 2 5 2 5 2 2" xfId="2945" xr:uid="{00000000-0005-0000-0000-000002110000}"/>
    <cellStyle name="Input 2 2 5 2 5 2 2 2" xfId="8775" xr:uid="{00000000-0005-0000-0000-000003110000}"/>
    <cellStyle name="Input 2 2 5 2 5 2 3" xfId="4368" xr:uid="{00000000-0005-0000-0000-000004110000}"/>
    <cellStyle name="Input 2 2 5 2 5 2 3 2" xfId="10198" xr:uid="{00000000-0005-0000-0000-000005110000}"/>
    <cellStyle name="Input 2 2 5 2 5 2 4" xfId="5764" xr:uid="{00000000-0005-0000-0000-000006110000}"/>
    <cellStyle name="Input 2 2 5 2 5 2 4 2" xfId="11594" xr:uid="{00000000-0005-0000-0000-000007110000}"/>
    <cellStyle name="Input 2 2 5 2 5 2 5" xfId="7259" xr:uid="{00000000-0005-0000-0000-000008110000}"/>
    <cellStyle name="Input 2 2 5 2 5 3" xfId="2218" xr:uid="{00000000-0005-0000-0000-000009110000}"/>
    <cellStyle name="Input 2 2 5 2 5 3 2" xfId="8048" xr:uid="{00000000-0005-0000-0000-00000A110000}"/>
    <cellStyle name="Input 2 2 5 2 5 4" xfId="3644" xr:uid="{00000000-0005-0000-0000-00000B110000}"/>
    <cellStyle name="Input 2 2 5 2 5 4 2" xfId="9474" xr:uid="{00000000-0005-0000-0000-00000C110000}"/>
    <cellStyle name="Input 2 2 5 2 5 5" xfId="5040" xr:uid="{00000000-0005-0000-0000-00000D110000}"/>
    <cellStyle name="Input 2 2 5 2 5 5 2" xfId="10870" xr:uid="{00000000-0005-0000-0000-00000E110000}"/>
    <cellStyle name="Input 2 2 5 2 5 6" xfId="6535" xr:uid="{00000000-0005-0000-0000-00000F110000}"/>
    <cellStyle name="Input 2 2 5 2 6" xfId="942" xr:uid="{00000000-0005-0000-0000-000010110000}"/>
    <cellStyle name="Input 2 2 5 2 6 2" xfId="2462" xr:uid="{00000000-0005-0000-0000-000011110000}"/>
    <cellStyle name="Input 2 2 5 2 6 2 2" xfId="8292" xr:uid="{00000000-0005-0000-0000-000012110000}"/>
    <cellStyle name="Input 2 2 5 2 6 3" xfId="3888" xr:uid="{00000000-0005-0000-0000-000013110000}"/>
    <cellStyle name="Input 2 2 5 2 6 3 2" xfId="9718" xr:uid="{00000000-0005-0000-0000-000014110000}"/>
    <cellStyle name="Input 2 2 5 2 6 4" xfId="5284" xr:uid="{00000000-0005-0000-0000-000015110000}"/>
    <cellStyle name="Input 2 2 5 2 6 4 2" xfId="11114" xr:uid="{00000000-0005-0000-0000-000016110000}"/>
    <cellStyle name="Input 2 2 5 2 6 5" xfId="6779" xr:uid="{00000000-0005-0000-0000-000017110000}"/>
    <cellStyle name="Input 2 2 5 2 7" xfId="1716" xr:uid="{00000000-0005-0000-0000-000018110000}"/>
    <cellStyle name="Input 2 2 5 2 7 2" xfId="7546" xr:uid="{00000000-0005-0000-0000-000019110000}"/>
    <cellStyle name="Input 2 2 5 2 8" xfId="3147" xr:uid="{00000000-0005-0000-0000-00001A110000}"/>
    <cellStyle name="Input 2 2 5 2 8 2" xfId="8977" xr:uid="{00000000-0005-0000-0000-00001B110000}"/>
    <cellStyle name="Input 2 2 5 2 9" xfId="4559" xr:uid="{00000000-0005-0000-0000-00001C110000}"/>
    <cellStyle name="Input 2 2 5 2 9 2" xfId="10389" xr:uid="{00000000-0005-0000-0000-00001D110000}"/>
    <cellStyle name="Input 2 2 5 3" xfId="215" xr:uid="{00000000-0005-0000-0000-00001E110000}"/>
    <cellStyle name="Input 2 2 5 3 2" xfId="494" xr:uid="{00000000-0005-0000-0000-00001F110000}"/>
    <cellStyle name="Input 2 2 5 3 2 2" xfId="1229" xr:uid="{00000000-0005-0000-0000-000020110000}"/>
    <cellStyle name="Input 2 2 5 3 2 2 2" xfId="2745" xr:uid="{00000000-0005-0000-0000-000021110000}"/>
    <cellStyle name="Input 2 2 5 3 2 2 2 2" xfId="8575" xr:uid="{00000000-0005-0000-0000-000022110000}"/>
    <cellStyle name="Input 2 2 5 3 2 2 3" xfId="4168" xr:uid="{00000000-0005-0000-0000-000023110000}"/>
    <cellStyle name="Input 2 2 5 3 2 2 3 2" xfId="9998" xr:uid="{00000000-0005-0000-0000-000024110000}"/>
    <cellStyle name="Input 2 2 5 3 2 2 4" xfId="5564" xr:uid="{00000000-0005-0000-0000-000025110000}"/>
    <cellStyle name="Input 2 2 5 3 2 2 4 2" xfId="11394" xr:uid="{00000000-0005-0000-0000-000026110000}"/>
    <cellStyle name="Input 2 2 5 3 2 2 5" xfId="7059" xr:uid="{00000000-0005-0000-0000-000027110000}"/>
    <cellStyle name="Input 2 2 5 3 2 3" xfId="2016" xr:uid="{00000000-0005-0000-0000-000028110000}"/>
    <cellStyle name="Input 2 2 5 3 2 3 2" xfId="7846" xr:uid="{00000000-0005-0000-0000-000029110000}"/>
    <cellStyle name="Input 2 2 5 3 2 4" xfId="3443" xr:uid="{00000000-0005-0000-0000-00002A110000}"/>
    <cellStyle name="Input 2 2 5 3 2 4 2" xfId="9273" xr:uid="{00000000-0005-0000-0000-00002B110000}"/>
    <cellStyle name="Input 2 2 5 3 2 5" xfId="4840" xr:uid="{00000000-0005-0000-0000-00002C110000}"/>
    <cellStyle name="Input 2 2 5 3 2 5 2" xfId="10670" xr:uid="{00000000-0005-0000-0000-00002D110000}"/>
    <cellStyle name="Input 2 2 5 3 2 6" xfId="6335" xr:uid="{00000000-0005-0000-0000-00002E110000}"/>
    <cellStyle name="Input 2 2 5 3 3" xfId="738" xr:uid="{00000000-0005-0000-0000-00002F110000}"/>
    <cellStyle name="Input 2 2 5 3 3 2" xfId="1469" xr:uid="{00000000-0005-0000-0000-000030110000}"/>
    <cellStyle name="Input 2 2 5 3 3 2 2" xfId="2985" xr:uid="{00000000-0005-0000-0000-000031110000}"/>
    <cellStyle name="Input 2 2 5 3 3 2 2 2" xfId="8815" xr:uid="{00000000-0005-0000-0000-000032110000}"/>
    <cellStyle name="Input 2 2 5 3 3 2 3" xfId="4408" xr:uid="{00000000-0005-0000-0000-000033110000}"/>
    <cellStyle name="Input 2 2 5 3 3 2 3 2" xfId="10238" xr:uid="{00000000-0005-0000-0000-000034110000}"/>
    <cellStyle name="Input 2 2 5 3 3 2 4" xfId="5804" xr:uid="{00000000-0005-0000-0000-000035110000}"/>
    <cellStyle name="Input 2 2 5 3 3 2 4 2" xfId="11634" xr:uid="{00000000-0005-0000-0000-000036110000}"/>
    <cellStyle name="Input 2 2 5 3 3 2 5" xfId="7299" xr:uid="{00000000-0005-0000-0000-000037110000}"/>
    <cellStyle name="Input 2 2 5 3 3 3" xfId="2258" xr:uid="{00000000-0005-0000-0000-000038110000}"/>
    <cellStyle name="Input 2 2 5 3 3 3 2" xfId="8088" xr:uid="{00000000-0005-0000-0000-000039110000}"/>
    <cellStyle name="Input 2 2 5 3 3 4" xfId="3684" xr:uid="{00000000-0005-0000-0000-00003A110000}"/>
    <cellStyle name="Input 2 2 5 3 3 4 2" xfId="9514" xr:uid="{00000000-0005-0000-0000-00003B110000}"/>
    <cellStyle name="Input 2 2 5 3 3 5" xfId="5080" xr:uid="{00000000-0005-0000-0000-00003C110000}"/>
    <cellStyle name="Input 2 2 5 3 3 5 2" xfId="10910" xr:uid="{00000000-0005-0000-0000-00003D110000}"/>
    <cellStyle name="Input 2 2 5 3 3 6" xfId="6575" xr:uid="{00000000-0005-0000-0000-00003E110000}"/>
    <cellStyle name="Input 2 2 5 3 4" xfId="982" xr:uid="{00000000-0005-0000-0000-00003F110000}"/>
    <cellStyle name="Input 2 2 5 3 4 2" xfId="2502" xr:uid="{00000000-0005-0000-0000-000040110000}"/>
    <cellStyle name="Input 2 2 5 3 4 2 2" xfId="8332" xr:uid="{00000000-0005-0000-0000-000041110000}"/>
    <cellStyle name="Input 2 2 5 3 4 3" xfId="3928" xr:uid="{00000000-0005-0000-0000-000042110000}"/>
    <cellStyle name="Input 2 2 5 3 4 3 2" xfId="9758" xr:uid="{00000000-0005-0000-0000-000043110000}"/>
    <cellStyle name="Input 2 2 5 3 4 4" xfId="5324" xr:uid="{00000000-0005-0000-0000-000044110000}"/>
    <cellStyle name="Input 2 2 5 3 4 4 2" xfId="11154" xr:uid="{00000000-0005-0000-0000-000045110000}"/>
    <cellStyle name="Input 2 2 5 3 4 5" xfId="6819" xr:uid="{00000000-0005-0000-0000-000046110000}"/>
    <cellStyle name="Input 2 2 5 3 5" xfId="1756" xr:uid="{00000000-0005-0000-0000-000047110000}"/>
    <cellStyle name="Input 2 2 5 3 5 2" xfId="7586" xr:uid="{00000000-0005-0000-0000-000048110000}"/>
    <cellStyle name="Input 2 2 5 3 6" xfId="3187" xr:uid="{00000000-0005-0000-0000-000049110000}"/>
    <cellStyle name="Input 2 2 5 3 6 2" xfId="9017" xr:uid="{00000000-0005-0000-0000-00004A110000}"/>
    <cellStyle name="Input 2 2 5 3 7" xfId="4599" xr:uid="{00000000-0005-0000-0000-00004B110000}"/>
    <cellStyle name="Input 2 2 5 3 7 2" xfId="10429" xr:uid="{00000000-0005-0000-0000-00004C110000}"/>
    <cellStyle name="Input 2 2 5 3 8" xfId="6094" xr:uid="{00000000-0005-0000-0000-00004D110000}"/>
    <cellStyle name="Input 2 2 5 4" xfId="295" xr:uid="{00000000-0005-0000-0000-00004E110000}"/>
    <cellStyle name="Input 2 2 5 4 2" xfId="574" xr:uid="{00000000-0005-0000-0000-00004F110000}"/>
    <cellStyle name="Input 2 2 5 4 2 2" xfId="1309" xr:uid="{00000000-0005-0000-0000-000050110000}"/>
    <cellStyle name="Input 2 2 5 4 2 2 2" xfId="2825" xr:uid="{00000000-0005-0000-0000-000051110000}"/>
    <cellStyle name="Input 2 2 5 4 2 2 2 2" xfId="8655" xr:uid="{00000000-0005-0000-0000-000052110000}"/>
    <cellStyle name="Input 2 2 5 4 2 2 3" xfId="4248" xr:uid="{00000000-0005-0000-0000-000053110000}"/>
    <cellStyle name="Input 2 2 5 4 2 2 3 2" xfId="10078" xr:uid="{00000000-0005-0000-0000-000054110000}"/>
    <cellStyle name="Input 2 2 5 4 2 2 4" xfId="5644" xr:uid="{00000000-0005-0000-0000-000055110000}"/>
    <cellStyle name="Input 2 2 5 4 2 2 4 2" xfId="11474" xr:uid="{00000000-0005-0000-0000-000056110000}"/>
    <cellStyle name="Input 2 2 5 4 2 2 5" xfId="7139" xr:uid="{00000000-0005-0000-0000-000057110000}"/>
    <cellStyle name="Input 2 2 5 4 2 3" xfId="2096" xr:uid="{00000000-0005-0000-0000-000058110000}"/>
    <cellStyle name="Input 2 2 5 4 2 3 2" xfId="7926" xr:uid="{00000000-0005-0000-0000-000059110000}"/>
    <cellStyle name="Input 2 2 5 4 2 4" xfId="3523" xr:uid="{00000000-0005-0000-0000-00005A110000}"/>
    <cellStyle name="Input 2 2 5 4 2 4 2" xfId="9353" xr:uid="{00000000-0005-0000-0000-00005B110000}"/>
    <cellStyle name="Input 2 2 5 4 2 5" xfId="4920" xr:uid="{00000000-0005-0000-0000-00005C110000}"/>
    <cellStyle name="Input 2 2 5 4 2 5 2" xfId="10750" xr:uid="{00000000-0005-0000-0000-00005D110000}"/>
    <cellStyle name="Input 2 2 5 4 2 6" xfId="6415" xr:uid="{00000000-0005-0000-0000-00005E110000}"/>
    <cellStyle name="Input 2 2 5 4 3" xfId="818" xr:uid="{00000000-0005-0000-0000-00005F110000}"/>
    <cellStyle name="Input 2 2 5 4 3 2" xfId="1549" xr:uid="{00000000-0005-0000-0000-000060110000}"/>
    <cellStyle name="Input 2 2 5 4 3 2 2" xfId="3065" xr:uid="{00000000-0005-0000-0000-000061110000}"/>
    <cellStyle name="Input 2 2 5 4 3 2 2 2" xfId="8895" xr:uid="{00000000-0005-0000-0000-000062110000}"/>
    <cellStyle name="Input 2 2 5 4 3 2 3" xfId="4488" xr:uid="{00000000-0005-0000-0000-000063110000}"/>
    <cellStyle name="Input 2 2 5 4 3 2 3 2" xfId="10318" xr:uid="{00000000-0005-0000-0000-000064110000}"/>
    <cellStyle name="Input 2 2 5 4 3 2 4" xfId="5884" xr:uid="{00000000-0005-0000-0000-000065110000}"/>
    <cellStyle name="Input 2 2 5 4 3 2 4 2" xfId="11714" xr:uid="{00000000-0005-0000-0000-000066110000}"/>
    <cellStyle name="Input 2 2 5 4 3 2 5" xfId="7379" xr:uid="{00000000-0005-0000-0000-000067110000}"/>
    <cellStyle name="Input 2 2 5 4 3 3" xfId="2338" xr:uid="{00000000-0005-0000-0000-000068110000}"/>
    <cellStyle name="Input 2 2 5 4 3 3 2" xfId="8168" xr:uid="{00000000-0005-0000-0000-000069110000}"/>
    <cellStyle name="Input 2 2 5 4 3 4" xfId="3764" xr:uid="{00000000-0005-0000-0000-00006A110000}"/>
    <cellStyle name="Input 2 2 5 4 3 4 2" xfId="9594" xr:uid="{00000000-0005-0000-0000-00006B110000}"/>
    <cellStyle name="Input 2 2 5 4 3 5" xfId="5160" xr:uid="{00000000-0005-0000-0000-00006C110000}"/>
    <cellStyle name="Input 2 2 5 4 3 5 2" xfId="10990" xr:uid="{00000000-0005-0000-0000-00006D110000}"/>
    <cellStyle name="Input 2 2 5 4 3 6" xfId="6655" xr:uid="{00000000-0005-0000-0000-00006E110000}"/>
    <cellStyle name="Input 2 2 5 4 4" xfId="1062" xr:uid="{00000000-0005-0000-0000-00006F110000}"/>
    <cellStyle name="Input 2 2 5 4 4 2" xfId="2582" xr:uid="{00000000-0005-0000-0000-000070110000}"/>
    <cellStyle name="Input 2 2 5 4 4 2 2" xfId="8412" xr:uid="{00000000-0005-0000-0000-000071110000}"/>
    <cellStyle name="Input 2 2 5 4 4 3" xfId="4008" xr:uid="{00000000-0005-0000-0000-000072110000}"/>
    <cellStyle name="Input 2 2 5 4 4 3 2" xfId="9838" xr:uid="{00000000-0005-0000-0000-000073110000}"/>
    <cellStyle name="Input 2 2 5 4 4 4" xfId="5404" xr:uid="{00000000-0005-0000-0000-000074110000}"/>
    <cellStyle name="Input 2 2 5 4 4 4 2" xfId="11234" xr:uid="{00000000-0005-0000-0000-000075110000}"/>
    <cellStyle name="Input 2 2 5 4 4 5" xfId="6899" xr:uid="{00000000-0005-0000-0000-000076110000}"/>
    <cellStyle name="Input 2 2 5 4 5" xfId="1836" xr:uid="{00000000-0005-0000-0000-000077110000}"/>
    <cellStyle name="Input 2 2 5 4 5 2" xfId="7666" xr:uid="{00000000-0005-0000-0000-000078110000}"/>
    <cellStyle name="Input 2 2 5 4 6" xfId="3267" xr:uid="{00000000-0005-0000-0000-000079110000}"/>
    <cellStyle name="Input 2 2 5 4 6 2" xfId="9097" xr:uid="{00000000-0005-0000-0000-00007A110000}"/>
    <cellStyle name="Input 2 2 5 4 7" xfId="4679" xr:uid="{00000000-0005-0000-0000-00007B110000}"/>
    <cellStyle name="Input 2 2 5 4 7 2" xfId="10509" xr:uid="{00000000-0005-0000-0000-00007C110000}"/>
    <cellStyle name="Input 2 2 5 4 8" xfId="6174" xr:uid="{00000000-0005-0000-0000-00007D110000}"/>
    <cellStyle name="Input 2 2 5 5" xfId="414" xr:uid="{00000000-0005-0000-0000-00007E110000}"/>
    <cellStyle name="Input 2 2 5 5 2" xfId="1149" xr:uid="{00000000-0005-0000-0000-00007F110000}"/>
    <cellStyle name="Input 2 2 5 5 2 2" xfId="2665" xr:uid="{00000000-0005-0000-0000-000080110000}"/>
    <cellStyle name="Input 2 2 5 5 2 2 2" xfId="8495" xr:uid="{00000000-0005-0000-0000-000081110000}"/>
    <cellStyle name="Input 2 2 5 5 2 3" xfId="4088" xr:uid="{00000000-0005-0000-0000-000082110000}"/>
    <cellStyle name="Input 2 2 5 5 2 3 2" xfId="9918" xr:uid="{00000000-0005-0000-0000-000083110000}"/>
    <cellStyle name="Input 2 2 5 5 2 4" xfId="5484" xr:uid="{00000000-0005-0000-0000-000084110000}"/>
    <cellStyle name="Input 2 2 5 5 2 4 2" xfId="11314" xr:uid="{00000000-0005-0000-0000-000085110000}"/>
    <cellStyle name="Input 2 2 5 5 2 5" xfId="6979" xr:uid="{00000000-0005-0000-0000-000086110000}"/>
    <cellStyle name="Input 2 2 5 5 3" xfId="1936" xr:uid="{00000000-0005-0000-0000-000087110000}"/>
    <cellStyle name="Input 2 2 5 5 3 2" xfId="7766" xr:uid="{00000000-0005-0000-0000-000088110000}"/>
    <cellStyle name="Input 2 2 5 5 4" xfId="3363" xr:uid="{00000000-0005-0000-0000-000089110000}"/>
    <cellStyle name="Input 2 2 5 5 4 2" xfId="9193" xr:uid="{00000000-0005-0000-0000-00008A110000}"/>
    <cellStyle name="Input 2 2 5 5 5" xfId="4760" xr:uid="{00000000-0005-0000-0000-00008B110000}"/>
    <cellStyle name="Input 2 2 5 5 5 2" xfId="10590" xr:uid="{00000000-0005-0000-0000-00008C110000}"/>
    <cellStyle name="Input 2 2 5 5 6" xfId="6255" xr:uid="{00000000-0005-0000-0000-00008D110000}"/>
    <cellStyle name="Input 2 2 5 6" xfId="658" xr:uid="{00000000-0005-0000-0000-00008E110000}"/>
    <cellStyle name="Input 2 2 5 6 2" xfId="1389" xr:uid="{00000000-0005-0000-0000-00008F110000}"/>
    <cellStyle name="Input 2 2 5 6 2 2" xfId="2905" xr:uid="{00000000-0005-0000-0000-000090110000}"/>
    <cellStyle name="Input 2 2 5 6 2 2 2" xfId="8735" xr:uid="{00000000-0005-0000-0000-000091110000}"/>
    <cellStyle name="Input 2 2 5 6 2 3" xfId="4328" xr:uid="{00000000-0005-0000-0000-000092110000}"/>
    <cellStyle name="Input 2 2 5 6 2 3 2" xfId="10158" xr:uid="{00000000-0005-0000-0000-000093110000}"/>
    <cellStyle name="Input 2 2 5 6 2 4" xfId="5724" xr:uid="{00000000-0005-0000-0000-000094110000}"/>
    <cellStyle name="Input 2 2 5 6 2 4 2" xfId="11554" xr:uid="{00000000-0005-0000-0000-000095110000}"/>
    <cellStyle name="Input 2 2 5 6 2 5" xfId="7219" xr:uid="{00000000-0005-0000-0000-000096110000}"/>
    <cellStyle name="Input 2 2 5 6 3" xfId="2178" xr:uid="{00000000-0005-0000-0000-000097110000}"/>
    <cellStyle name="Input 2 2 5 6 3 2" xfId="8008" xr:uid="{00000000-0005-0000-0000-000098110000}"/>
    <cellStyle name="Input 2 2 5 6 4" xfId="3604" xr:uid="{00000000-0005-0000-0000-000099110000}"/>
    <cellStyle name="Input 2 2 5 6 4 2" xfId="9434" xr:uid="{00000000-0005-0000-0000-00009A110000}"/>
    <cellStyle name="Input 2 2 5 6 5" xfId="5000" xr:uid="{00000000-0005-0000-0000-00009B110000}"/>
    <cellStyle name="Input 2 2 5 6 5 2" xfId="10830" xr:uid="{00000000-0005-0000-0000-00009C110000}"/>
    <cellStyle name="Input 2 2 5 6 6" xfId="6495" xr:uid="{00000000-0005-0000-0000-00009D110000}"/>
    <cellStyle name="Input 2 2 5 7" xfId="902" xr:uid="{00000000-0005-0000-0000-00009E110000}"/>
    <cellStyle name="Input 2 2 5 7 2" xfId="2422" xr:uid="{00000000-0005-0000-0000-00009F110000}"/>
    <cellStyle name="Input 2 2 5 7 2 2" xfId="8252" xr:uid="{00000000-0005-0000-0000-0000A0110000}"/>
    <cellStyle name="Input 2 2 5 7 3" xfId="3848" xr:uid="{00000000-0005-0000-0000-0000A1110000}"/>
    <cellStyle name="Input 2 2 5 7 3 2" xfId="9678" xr:uid="{00000000-0005-0000-0000-0000A2110000}"/>
    <cellStyle name="Input 2 2 5 7 4" xfId="5244" xr:uid="{00000000-0005-0000-0000-0000A3110000}"/>
    <cellStyle name="Input 2 2 5 7 4 2" xfId="11074" xr:uid="{00000000-0005-0000-0000-0000A4110000}"/>
    <cellStyle name="Input 2 2 5 7 5" xfId="6739" xr:uid="{00000000-0005-0000-0000-0000A5110000}"/>
    <cellStyle name="Input 2 2 5 8" xfId="1676" xr:uid="{00000000-0005-0000-0000-0000A6110000}"/>
    <cellStyle name="Input 2 2 5 8 2" xfId="7506" xr:uid="{00000000-0005-0000-0000-0000A7110000}"/>
    <cellStyle name="Input 2 2 5 9" xfId="1903" xr:uid="{00000000-0005-0000-0000-0000A8110000}"/>
    <cellStyle name="Input 2 2 5 9 2" xfId="7733" xr:uid="{00000000-0005-0000-0000-0000A9110000}"/>
    <cellStyle name="Input 2 2 6" xfId="154" xr:uid="{00000000-0005-0000-0000-0000AA110000}"/>
    <cellStyle name="Input 2 2 6 10" xfId="6034" xr:uid="{00000000-0005-0000-0000-0000AB110000}"/>
    <cellStyle name="Input 2 2 6 2" xfId="235" xr:uid="{00000000-0005-0000-0000-0000AC110000}"/>
    <cellStyle name="Input 2 2 6 2 2" xfId="514" xr:uid="{00000000-0005-0000-0000-0000AD110000}"/>
    <cellStyle name="Input 2 2 6 2 2 2" xfId="1249" xr:uid="{00000000-0005-0000-0000-0000AE110000}"/>
    <cellStyle name="Input 2 2 6 2 2 2 2" xfId="2765" xr:uid="{00000000-0005-0000-0000-0000AF110000}"/>
    <cellStyle name="Input 2 2 6 2 2 2 2 2" xfId="8595" xr:uid="{00000000-0005-0000-0000-0000B0110000}"/>
    <cellStyle name="Input 2 2 6 2 2 2 3" xfId="4188" xr:uid="{00000000-0005-0000-0000-0000B1110000}"/>
    <cellStyle name="Input 2 2 6 2 2 2 3 2" xfId="10018" xr:uid="{00000000-0005-0000-0000-0000B2110000}"/>
    <cellStyle name="Input 2 2 6 2 2 2 4" xfId="5584" xr:uid="{00000000-0005-0000-0000-0000B3110000}"/>
    <cellStyle name="Input 2 2 6 2 2 2 4 2" xfId="11414" xr:uid="{00000000-0005-0000-0000-0000B4110000}"/>
    <cellStyle name="Input 2 2 6 2 2 2 5" xfId="7079" xr:uid="{00000000-0005-0000-0000-0000B5110000}"/>
    <cellStyle name="Input 2 2 6 2 2 3" xfId="2036" xr:uid="{00000000-0005-0000-0000-0000B6110000}"/>
    <cellStyle name="Input 2 2 6 2 2 3 2" xfId="7866" xr:uid="{00000000-0005-0000-0000-0000B7110000}"/>
    <cellStyle name="Input 2 2 6 2 2 4" xfId="3463" xr:uid="{00000000-0005-0000-0000-0000B8110000}"/>
    <cellStyle name="Input 2 2 6 2 2 4 2" xfId="9293" xr:uid="{00000000-0005-0000-0000-0000B9110000}"/>
    <cellStyle name="Input 2 2 6 2 2 5" xfId="4860" xr:uid="{00000000-0005-0000-0000-0000BA110000}"/>
    <cellStyle name="Input 2 2 6 2 2 5 2" xfId="10690" xr:uid="{00000000-0005-0000-0000-0000BB110000}"/>
    <cellStyle name="Input 2 2 6 2 2 6" xfId="6355" xr:uid="{00000000-0005-0000-0000-0000BC110000}"/>
    <cellStyle name="Input 2 2 6 2 3" xfId="758" xr:uid="{00000000-0005-0000-0000-0000BD110000}"/>
    <cellStyle name="Input 2 2 6 2 3 2" xfId="1489" xr:uid="{00000000-0005-0000-0000-0000BE110000}"/>
    <cellStyle name="Input 2 2 6 2 3 2 2" xfId="3005" xr:uid="{00000000-0005-0000-0000-0000BF110000}"/>
    <cellStyle name="Input 2 2 6 2 3 2 2 2" xfId="8835" xr:uid="{00000000-0005-0000-0000-0000C0110000}"/>
    <cellStyle name="Input 2 2 6 2 3 2 3" xfId="4428" xr:uid="{00000000-0005-0000-0000-0000C1110000}"/>
    <cellStyle name="Input 2 2 6 2 3 2 3 2" xfId="10258" xr:uid="{00000000-0005-0000-0000-0000C2110000}"/>
    <cellStyle name="Input 2 2 6 2 3 2 4" xfId="5824" xr:uid="{00000000-0005-0000-0000-0000C3110000}"/>
    <cellStyle name="Input 2 2 6 2 3 2 4 2" xfId="11654" xr:uid="{00000000-0005-0000-0000-0000C4110000}"/>
    <cellStyle name="Input 2 2 6 2 3 2 5" xfId="7319" xr:uid="{00000000-0005-0000-0000-0000C5110000}"/>
    <cellStyle name="Input 2 2 6 2 3 3" xfId="2278" xr:uid="{00000000-0005-0000-0000-0000C6110000}"/>
    <cellStyle name="Input 2 2 6 2 3 3 2" xfId="8108" xr:uid="{00000000-0005-0000-0000-0000C7110000}"/>
    <cellStyle name="Input 2 2 6 2 3 4" xfId="3704" xr:uid="{00000000-0005-0000-0000-0000C8110000}"/>
    <cellStyle name="Input 2 2 6 2 3 4 2" xfId="9534" xr:uid="{00000000-0005-0000-0000-0000C9110000}"/>
    <cellStyle name="Input 2 2 6 2 3 5" xfId="5100" xr:uid="{00000000-0005-0000-0000-0000CA110000}"/>
    <cellStyle name="Input 2 2 6 2 3 5 2" xfId="10930" xr:uid="{00000000-0005-0000-0000-0000CB110000}"/>
    <cellStyle name="Input 2 2 6 2 3 6" xfId="6595" xr:uid="{00000000-0005-0000-0000-0000CC110000}"/>
    <cellStyle name="Input 2 2 6 2 4" xfId="1002" xr:uid="{00000000-0005-0000-0000-0000CD110000}"/>
    <cellStyle name="Input 2 2 6 2 4 2" xfId="2522" xr:uid="{00000000-0005-0000-0000-0000CE110000}"/>
    <cellStyle name="Input 2 2 6 2 4 2 2" xfId="8352" xr:uid="{00000000-0005-0000-0000-0000CF110000}"/>
    <cellStyle name="Input 2 2 6 2 4 3" xfId="3948" xr:uid="{00000000-0005-0000-0000-0000D0110000}"/>
    <cellStyle name="Input 2 2 6 2 4 3 2" xfId="9778" xr:uid="{00000000-0005-0000-0000-0000D1110000}"/>
    <cellStyle name="Input 2 2 6 2 4 4" xfId="5344" xr:uid="{00000000-0005-0000-0000-0000D2110000}"/>
    <cellStyle name="Input 2 2 6 2 4 4 2" xfId="11174" xr:uid="{00000000-0005-0000-0000-0000D3110000}"/>
    <cellStyle name="Input 2 2 6 2 4 5" xfId="6839" xr:uid="{00000000-0005-0000-0000-0000D4110000}"/>
    <cellStyle name="Input 2 2 6 2 5" xfId="1776" xr:uid="{00000000-0005-0000-0000-0000D5110000}"/>
    <cellStyle name="Input 2 2 6 2 5 2" xfId="7606" xr:uid="{00000000-0005-0000-0000-0000D6110000}"/>
    <cellStyle name="Input 2 2 6 2 6" xfId="3207" xr:uid="{00000000-0005-0000-0000-0000D7110000}"/>
    <cellStyle name="Input 2 2 6 2 6 2" xfId="9037" xr:uid="{00000000-0005-0000-0000-0000D8110000}"/>
    <cellStyle name="Input 2 2 6 2 7" xfId="4619" xr:uid="{00000000-0005-0000-0000-0000D9110000}"/>
    <cellStyle name="Input 2 2 6 2 7 2" xfId="10449" xr:uid="{00000000-0005-0000-0000-0000DA110000}"/>
    <cellStyle name="Input 2 2 6 2 8" xfId="6114" xr:uid="{00000000-0005-0000-0000-0000DB110000}"/>
    <cellStyle name="Input 2 2 6 3" xfId="315" xr:uid="{00000000-0005-0000-0000-0000DC110000}"/>
    <cellStyle name="Input 2 2 6 3 2" xfId="594" xr:uid="{00000000-0005-0000-0000-0000DD110000}"/>
    <cellStyle name="Input 2 2 6 3 2 2" xfId="1329" xr:uid="{00000000-0005-0000-0000-0000DE110000}"/>
    <cellStyle name="Input 2 2 6 3 2 2 2" xfId="2845" xr:uid="{00000000-0005-0000-0000-0000DF110000}"/>
    <cellStyle name="Input 2 2 6 3 2 2 2 2" xfId="8675" xr:uid="{00000000-0005-0000-0000-0000E0110000}"/>
    <cellStyle name="Input 2 2 6 3 2 2 3" xfId="4268" xr:uid="{00000000-0005-0000-0000-0000E1110000}"/>
    <cellStyle name="Input 2 2 6 3 2 2 3 2" xfId="10098" xr:uid="{00000000-0005-0000-0000-0000E2110000}"/>
    <cellStyle name="Input 2 2 6 3 2 2 4" xfId="5664" xr:uid="{00000000-0005-0000-0000-0000E3110000}"/>
    <cellStyle name="Input 2 2 6 3 2 2 4 2" xfId="11494" xr:uid="{00000000-0005-0000-0000-0000E4110000}"/>
    <cellStyle name="Input 2 2 6 3 2 2 5" xfId="7159" xr:uid="{00000000-0005-0000-0000-0000E5110000}"/>
    <cellStyle name="Input 2 2 6 3 2 3" xfId="2116" xr:uid="{00000000-0005-0000-0000-0000E6110000}"/>
    <cellStyle name="Input 2 2 6 3 2 3 2" xfId="7946" xr:uid="{00000000-0005-0000-0000-0000E7110000}"/>
    <cellStyle name="Input 2 2 6 3 2 4" xfId="3543" xr:uid="{00000000-0005-0000-0000-0000E8110000}"/>
    <cellStyle name="Input 2 2 6 3 2 4 2" xfId="9373" xr:uid="{00000000-0005-0000-0000-0000E9110000}"/>
    <cellStyle name="Input 2 2 6 3 2 5" xfId="4940" xr:uid="{00000000-0005-0000-0000-0000EA110000}"/>
    <cellStyle name="Input 2 2 6 3 2 5 2" xfId="10770" xr:uid="{00000000-0005-0000-0000-0000EB110000}"/>
    <cellStyle name="Input 2 2 6 3 2 6" xfId="6435" xr:uid="{00000000-0005-0000-0000-0000EC110000}"/>
    <cellStyle name="Input 2 2 6 3 3" xfId="838" xr:uid="{00000000-0005-0000-0000-0000ED110000}"/>
    <cellStyle name="Input 2 2 6 3 3 2" xfId="1569" xr:uid="{00000000-0005-0000-0000-0000EE110000}"/>
    <cellStyle name="Input 2 2 6 3 3 2 2" xfId="3085" xr:uid="{00000000-0005-0000-0000-0000EF110000}"/>
    <cellStyle name="Input 2 2 6 3 3 2 2 2" xfId="8915" xr:uid="{00000000-0005-0000-0000-0000F0110000}"/>
    <cellStyle name="Input 2 2 6 3 3 2 3" xfId="4508" xr:uid="{00000000-0005-0000-0000-0000F1110000}"/>
    <cellStyle name="Input 2 2 6 3 3 2 3 2" xfId="10338" xr:uid="{00000000-0005-0000-0000-0000F2110000}"/>
    <cellStyle name="Input 2 2 6 3 3 2 4" xfId="5904" xr:uid="{00000000-0005-0000-0000-0000F3110000}"/>
    <cellStyle name="Input 2 2 6 3 3 2 4 2" xfId="11734" xr:uid="{00000000-0005-0000-0000-0000F4110000}"/>
    <cellStyle name="Input 2 2 6 3 3 2 5" xfId="7399" xr:uid="{00000000-0005-0000-0000-0000F5110000}"/>
    <cellStyle name="Input 2 2 6 3 3 3" xfId="2358" xr:uid="{00000000-0005-0000-0000-0000F6110000}"/>
    <cellStyle name="Input 2 2 6 3 3 3 2" xfId="8188" xr:uid="{00000000-0005-0000-0000-0000F7110000}"/>
    <cellStyle name="Input 2 2 6 3 3 4" xfId="3784" xr:uid="{00000000-0005-0000-0000-0000F8110000}"/>
    <cellStyle name="Input 2 2 6 3 3 4 2" xfId="9614" xr:uid="{00000000-0005-0000-0000-0000F9110000}"/>
    <cellStyle name="Input 2 2 6 3 3 5" xfId="5180" xr:uid="{00000000-0005-0000-0000-0000FA110000}"/>
    <cellStyle name="Input 2 2 6 3 3 5 2" xfId="11010" xr:uid="{00000000-0005-0000-0000-0000FB110000}"/>
    <cellStyle name="Input 2 2 6 3 3 6" xfId="6675" xr:uid="{00000000-0005-0000-0000-0000FC110000}"/>
    <cellStyle name="Input 2 2 6 3 4" xfId="1082" xr:uid="{00000000-0005-0000-0000-0000FD110000}"/>
    <cellStyle name="Input 2 2 6 3 4 2" xfId="2602" xr:uid="{00000000-0005-0000-0000-0000FE110000}"/>
    <cellStyle name="Input 2 2 6 3 4 2 2" xfId="8432" xr:uid="{00000000-0005-0000-0000-0000FF110000}"/>
    <cellStyle name="Input 2 2 6 3 4 3" xfId="4028" xr:uid="{00000000-0005-0000-0000-000000120000}"/>
    <cellStyle name="Input 2 2 6 3 4 3 2" xfId="9858" xr:uid="{00000000-0005-0000-0000-000001120000}"/>
    <cellStyle name="Input 2 2 6 3 4 4" xfId="5424" xr:uid="{00000000-0005-0000-0000-000002120000}"/>
    <cellStyle name="Input 2 2 6 3 4 4 2" xfId="11254" xr:uid="{00000000-0005-0000-0000-000003120000}"/>
    <cellStyle name="Input 2 2 6 3 4 5" xfId="6919" xr:uid="{00000000-0005-0000-0000-000004120000}"/>
    <cellStyle name="Input 2 2 6 3 5" xfId="1856" xr:uid="{00000000-0005-0000-0000-000005120000}"/>
    <cellStyle name="Input 2 2 6 3 5 2" xfId="7686" xr:uid="{00000000-0005-0000-0000-000006120000}"/>
    <cellStyle name="Input 2 2 6 3 6" xfId="3287" xr:uid="{00000000-0005-0000-0000-000007120000}"/>
    <cellStyle name="Input 2 2 6 3 6 2" xfId="9117" xr:uid="{00000000-0005-0000-0000-000008120000}"/>
    <cellStyle name="Input 2 2 6 3 7" xfId="4699" xr:uid="{00000000-0005-0000-0000-000009120000}"/>
    <cellStyle name="Input 2 2 6 3 7 2" xfId="10529" xr:uid="{00000000-0005-0000-0000-00000A120000}"/>
    <cellStyle name="Input 2 2 6 3 8" xfId="6194" xr:uid="{00000000-0005-0000-0000-00000B120000}"/>
    <cellStyle name="Input 2 2 6 4" xfId="434" xr:uid="{00000000-0005-0000-0000-00000C120000}"/>
    <cellStyle name="Input 2 2 6 4 2" xfId="1169" xr:uid="{00000000-0005-0000-0000-00000D120000}"/>
    <cellStyle name="Input 2 2 6 4 2 2" xfId="2685" xr:uid="{00000000-0005-0000-0000-00000E120000}"/>
    <cellStyle name="Input 2 2 6 4 2 2 2" xfId="8515" xr:uid="{00000000-0005-0000-0000-00000F120000}"/>
    <cellStyle name="Input 2 2 6 4 2 3" xfId="4108" xr:uid="{00000000-0005-0000-0000-000010120000}"/>
    <cellStyle name="Input 2 2 6 4 2 3 2" xfId="9938" xr:uid="{00000000-0005-0000-0000-000011120000}"/>
    <cellStyle name="Input 2 2 6 4 2 4" xfId="5504" xr:uid="{00000000-0005-0000-0000-000012120000}"/>
    <cellStyle name="Input 2 2 6 4 2 4 2" xfId="11334" xr:uid="{00000000-0005-0000-0000-000013120000}"/>
    <cellStyle name="Input 2 2 6 4 2 5" xfId="6999" xr:uid="{00000000-0005-0000-0000-000014120000}"/>
    <cellStyle name="Input 2 2 6 4 3" xfId="1956" xr:uid="{00000000-0005-0000-0000-000015120000}"/>
    <cellStyle name="Input 2 2 6 4 3 2" xfId="7786" xr:uid="{00000000-0005-0000-0000-000016120000}"/>
    <cellStyle name="Input 2 2 6 4 4" xfId="3383" xr:uid="{00000000-0005-0000-0000-000017120000}"/>
    <cellStyle name="Input 2 2 6 4 4 2" xfId="9213" xr:uid="{00000000-0005-0000-0000-000018120000}"/>
    <cellStyle name="Input 2 2 6 4 5" xfId="4780" xr:uid="{00000000-0005-0000-0000-000019120000}"/>
    <cellStyle name="Input 2 2 6 4 5 2" xfId="10610" xr:uid="{00000000-0005-0000-0000-00001A120000}"/>
    <cellStyle name="Input 2 2 6 4 6" xfId="6275" xr:uid="{00000000-0005-0000-0000-00001B120000}"/>
    <cellStyle name="Input 2 2 6 5" xfId="678" xr:uid="{00000000-0005-0000-0000-00001C120000}"/>
    <cellStyle name="Input 2 2 6 5 2" xfId="1409" xr:uid="{00000000-0005-0000-0000-00001D120000}"/>
    <cellStyle name="Input 2 2 6 5 2 2" xfId="2925" xr:uid="{00000000-0005-0000-0000-00001E120000}"/>
    <cellStyle name="Input 2 2 6 5 2 2 2" xfId="8755" xr:uid="{00000000-0005-0000-0000-00001F120000}"/>
    <cellStyle name="Input 2 2 6 5 2 3" xfId="4348" xr:uid="{00000000-0005-0000-0000-000020120000}"/>
    <cellStyle name="Input 2 2 6 5 2 3 2" xfId="10178" xr:uid="{00000000-0005-0000-0000-000021120000}"/>
    <cellStyle name="Input 2 2 6 5 2 4" xfId="5744" xr:uid="{00000000-0005-0000-0000-000022120000}"/>
    <cellStyle name="Input 2 2 6 5 2 4 2" xfId="11574" xr:uid="{00000000-0005-0000-0000-000023120000}"/>
    <cellStyle name="Input 2 2 6 5 2 5" xfId="7239" xr:uid="{00000000-0005-0000-0000-000024120000}"/>
    <cellStyle name="Input 2 2 6 5 3" xfId="2198" xr:uid="{00000000-0005-0000-0000-000025120000}"/>
    <cellStyle name="Input 2 2 6 5 3 2" xfId="8028" xr:uid="{00000000-0005-0000-0000-000026120000}"/>
    <cellStyle name="Input 2 2 6 5 4" xfId="3624" xr:uid="{00000000-0005-0000-0000-000027120000}"/>
    <cellStyle name="Input 2 2 6 5 4 2" xfId="9454" xr:uid="{00000000-0005-0000-0000-000028120000}"/>
    <cellStyle name="Input 2 2 6 5 5" xfId="5020" xr:uid="{00000000-0005-0000-0000-000029120000}"/>
    <cellStyle name="Input 2 2 6 5 5 2" xfId="10850" xr:uid="{00000000-0005-0000-0000-00002A120000}"/>
    <cellStyle name="Input 2 2 6 5 6" xfId="6515" xr:uid="{00000000-0005-0000-0000-00002B120000}"/>
    <cellStyle name="Input 2 2 6 6" xfId="922" xr:uid="{00000000-0005-0000-0000-00002C120000}"/>
    <cellStyle name="Input 2 2 6 6 2" xfId="2442" xr:uid="{00000000-0005-0000-0000-00002D120000}"/>
    <cellStyle name="Input 2 2 6 6 2 2" xfId="8272" xr:uid="{00000000-0005-0000-0000-00002E120000}"/>
    <cellStyle name="Input 2 2 6 6 3" xfId="3868" xr:uid="{00000000-0005-0000-0000-00002F120000}"/>
    <cellStyle name="Input 2 2 6 6 3 2" xfId="9698" xr:uid="{00000000-0005-0000-0000-000030120000}"/>
    <cellStyle name="Input 2 2 6 6 4" xfId="5264" xr:uid="{00000000-0005-0000-0000-000031120000}"/>
    <cellStyle name="Input 2 2 6 6 4 2" xfId="11094" xr:uid="{00000000-0005-0000-0000-000032120000}"/>
    <cellStyle name="Input 2 2 6 6 5" xfId="6759" xr:uid="{00000000-0005-0000-0000-000033120000}"/>
    <cellStyle name="Input 2 2 6 7" xfId="1696" xr:uid="{00000000-0005-0000-0000-000034120000}"/>
    <cellStyle name="Input 2 2 6 7 2" xfId="7526" xr:uid="{00000000-0005-0000-0000-000035120000}"/>
    <cellStyle name="Input 2 2 6 8" xfId="3127" xr:uid="{00000000-0005-0000-0000-000036120000}"/>
    <cellStyle name="Input 2 2 6 8 2" xfId="8957" xr:uid="{00000000-0005-0000-0000-000037120000}"/>
    <cellStyle name="Input 2 2 6 9" xfId="1609" xr:uid="{00000000-0005-0000-0000-000038120000}"/>
    <cellStyle name="Input 2 2 6 9 2" xfId="7439" xr:uid="{00000000-0005-0000-0000-000039120000}"/>
    <cellStyle name="Input 2 2 7" xfId="193" xr:uid="{00000000-0005-0000-0000-00003A120000}"/>
    <cellStyle name="Input 2 2 7 2" xfId="473" xr:uid="{00000000-0005-0000-0000-00003B120000}"/>
    <cellStyle name="Input 2 2 7 2 2" xfId="1208" xr:uid="{00000000-0005-0000-0000-00003C120000}"/>
    <cellStyle name="Input 2 2 7 2 2 2" xfId="2724" xr:uid="{00000000-0005-0000-0000-00003D120000}"/>
    <cellStyle name="Input 2 2 7 2 2 2 2" xfId="8554" xr:uid="{00000000-0005-0000-0000-00003E120000}"/>
    <cellStyle name="Input 2 2 7 2 2 3" xfId="4147" xr:uid="{00000000-0005-0000-0000-00003F120000}"/>
    <cellStyle name="Input 2 2 7 2 2 3 2" xfId="9977" xr:uid="{00000000-0005-0000-0000-000040120000}"/>
    <cellStyle name="Input 2 2 7 2 2 4" xfId="5543" xr:uid="{00000000-0005-0000-0000-000041120000}"/>
    <cellStyle name="Input 2 2 7 2 2 4 2" xfId="11373" xr:uid="{00000000-0005-0000-0000-000042120000}"/>
    <cellStyle name="Input 2 2 7 2 2 5" xfId="7038" xr:uid="{00000000-0005-0000-0000-000043120000}"/>
    <cellStyle name="Input 2 2 7 2 3" xfId="1995" xr:uid="{00000000-0005-0000-0000-000044120000}"/>
    <cellStyle name="Input 2 2 7 2 3 2" xfId="7825" xr:uid="{00000000-0005-0000-0000-000045120000}"/>
    <cellStyle name="Input 2 2 7 2 4" xfId="3422" xr:uid="{00000000-0005-0000-0000-000046120000}"/>
    <cellStyle name="Input 2 2 7 2 4 2" xfId="9252" xr:uid="{00000000-0005-0000-0000-000047120000}"/>
    <cellStyle name="Input 2 2 7 2 5" xfId="4819" xr:uid="{00000000-0005-0000-0000-000048120000}"/>
    <cellStyle name="Input 2 2 7 2 5 2" xfId="10649" xr:uid="{00000000-0005-0000-0000-000049120000}"/>
    <cellStyle name="Input 2 2 7 2 6" xfId="6314" xr:uid="{00000000-0005-0000-0000-00004A120000}"/>
    <cellStyle name="Input 2 2 7 3" xfId="717" xr:uid="{00000000-0005-0000-0000-00004B120000}"/>
    <cellStyle name="Input 2 2 7 3 2" xfId="1448" xr:uid="{00000000-0005-0000-0000-00004C120000}"/>
    <cellStyle name="Input 2 2 7 3 2 2" xfId="2964" xr:uid="{00000000-0005-0000-0000-00004D120000}"/>
    <cellStyle name="Input 2 2 7 3 2 2 2" xfId="8794" xr:uid="{00000000-0005-0000-0000-00004E120000}"/>
    <cellStyle name="Input 2 2 7 3 2 3" xfId="4387" xr:uid="{00000000-0005-0000-0000-00004F120000}"/>
    <cellStyle name="Input 2 2 7 3 2 3 2" xfId="10217" xr:uid="{00000000-0005-0000-0000-000050120000}"/>
    <cellStyle name="Input 2 2 7 3 2 4" xfId="5783" xr:uid="{00000000-0005-0000-0000-000051120000}"/>
    <cellStyle name="Input 2 2 7 3 2 4 2" xfId="11613" xr:uid="{00000000-0005-0000-0000-000052120000}"/>
    <cellStyle name="Input 2 2 7 3 2 5" xfId="7278" xr:uid="{00000000-0005-0000-0000-000053120000}"/>
    <cellStyle name="Input 2 2 7 3 3" xfId="2237" xr:uid="{00000000-0005-0000-0000-000054120000}"/>
    <cellStyle name="Input 2 2 7 3 3 2" xfId="8067" xr:uid="{00000000-0005-0000-0000-000055120000}"/>
    <cellStyle name="Input 2 2 7 3 4" xfId="3663" xr:uid="{00000000-0005-0000-0000-000056120000}"/>
    <cellStyle name="Input 2 2 7 3 4 2" xfId="9493" xr:uid="{00000000-0005-0000-0000-000057120000}"/>
    <cellStyle name="Input 2 2 7 3 5" xfId="5059" xr:uid="{00000000-0005-0000-0000-000058120000}"/>
    <cellStyle name="Input 2 2 7 3 5 2" xfId="10889" xr:uid="{00000000-0005-0000-0000-000059120000}"/>
    <cellStyle name="Input 2 2 7 3 6" xfId="6554" xr:uid="{00000000-0005-0000-0000-00005A120000}"/>
    <cellStyle name="Input 2 2 7 4" xfId="961" xr:uid="{00000000-0005-0000-0000-00005B120000}"/>
    <cellStyle name="Input 2 2 7 4 2" xfId="2481" xr:uid="{00000000-0005-0000-0000-00005C120000}"/>
    <cellStyle name="Input 2 2 7 4 2 2" xfId="8311" xr:uid="{00000000-0005-0000-0000-00005D120000}"/>
    <cellStyle name="Input 2 2 7 4 3" xfId="3907" xr:uid="{00000000-0005-0000-0000-00005E120000}"/>
    <cellStyle name="Input 2 2 7 4 3 2" xfId="9737" xr:uid="{00000000-0005-0000-0000-00005F120000}"/>
    <cellStyle name="Input 2 2 7 4 4" xfId="5303" xr:uid="{00000000-0005-0000-0000-000060120000}"/>
    <cellStyle name="Input 2 2 7 4 4 2" xfId="11133" xr:uid="{00000000-0005-0000-0000-000061120000}"/>
    <cellStyle name="Input 2 2 7 4 5" xfId="6798" xr:uid="{00000000-0005-0000-0000-000062120000}"/>
    <cellStyle name="Input 2 2 7 5" xfId="1735" xr:uid="{00000000-0005-0000-0000-000063120000}"/>
    <cellStyle name="Input 2 2 7 5 2" xfId="7565" xr:uid="{00000000-0005-0000-0000-000064120000}"/>
    <cellStyle name="Input 2 2 7 6" xfId="3166" xr:uid="{00000000-0005-0000-0000-000065120000}"/>
    <cellStyle name="Input 2 2 7 6 2" xfId="8996" xr:uid="{00000000-0005-0000-0000-000066120000}"/>
    <cellStyle name="Input 2 2 7 7" xfId="4578" xr:uid="{00000000-0005-0000-0000-000067120000}"/>
    <cellStyle name="Input 2 2 7 7 2" xfId="10408" xr:uid="{00000000-0005-0000-0000-000068120000}"/>
    <cellStyle name="Input 2 2 7 8" xfId="6073" xr:uid="{00000000-0005-0000-0000-000069120000}"/>
    <cellStyle name="Input 2 2 8" xfId="275" xr:uid="{00000000-0005-0000-0000-00006A120000}"/>
    <cellStyle name="Input 2 2 8 2" xfId="554" xr:uid="{00000000-0005-0000-0000-00006B120000}"/>
    <cellStyle name="Input 2 2 8 2 2" xfId="1289" xr:uid="{00000000-0005-0000-0000-00006C120000}"/>
    <cellStyle name="Input 2 2 8 2 2 2" xfId="2805" xr:uid="{00000000-0005-0000-0000-00006D120000}"/>
    <cellStyle name="Input 2 2 8 2 2 2 2" xfId="8635" xr:uid="{00000000-0005-0000-0000-00006E120000}"/>
    <cellStyle name="Input 2 2 8 2 2 3" xfId="4228" xr:uid="{00000000-0005-0000-0000-00006F120000}"/>
    <cellStyle name="Input 2 2 8 2 2 3 2" xfId="10058" xr:uid="{00000000-0005-0000-0000-000070120000}"/>
    <cellStyle name="Input 2 2 8 2 2 4" xfId="5624" xr:uid="{00000000-0005-0000-0000-000071120000}"/>
    <cellStyle name="Input 2 2 8 2 2 4 2" xfId="11454" xr:uid="{00000000-0005-0000-0000-000072120000}"/>
    <cellStyle name="Input 2 2 8 2 2 5" xfId="7119" xr:uid="{00000000-0005-0000-0000-000073120000}"/>
    <cellStyle name="Input 2 2 8 2 3" xfId="2076" xr:uid="{00000000-0005-0000-0000-000074120000}"/>
    <cellStyle name="Input 2 2 8 2 3 2" xfId="7906" xr:uid="{00000000-0005-0000-0000-000075120000}"/>
    <cellStyle name="Input 2 2 8 2 4" xfId="3503" xr:uid="{00000000-0005-0000-0000-000076120000}"/>
    <cellStyle name="Input 2 2 8 2 4 2" xfId="9333" xr:uid="{00000000-0005-0000-0000-000077120000}"/>
    <cellStyle name="Input 2 2 8 2 5" xfId="4900" xr:uid="{00000000-0005-0000-0000-000078120000}"/>
    <cellStyle name="Input 2 2 8 2 5 2" xfId="10730" xr:uid="{00000000-0005-0000-0000-000079120000}"/>
    <cellStyle name="Input 2 2 8 2 6" xfId="6395" xr:uid="{00000000-0005-0000-0000-00007A120000}"/>
    <cellStyle name="Input 2 2 8 3" xfId="798" xr:uid="{00000000-0005-0000-0000-00007B120000}"/>
    <cellStyle name="Input 2 2 8 3 2" xfId="1529" xr:uid="{00000000-0005-0000-0000-00007C120000}"/>
    <cellStyle name="Input 2 2 8 3 2 2" xfId="3045" xr:uid="{00000000-0005-0000-0000-00007D120000}"/>
    <cellStyle name="Input 2 2 8 3 2 2 2" xfId="8875" xr:uid="{00000000-0005-0000-0000-00007E120000}"/>
    <cellStyle name="Input 2 2 8 3 2 3" xfId="4468" xr:uid="{00000000-0005-0000-0000-00007F120000}"/>
    <cellStyle name="Input 2 2 8 3 2 3 2" xfId="10298" xr:uid="{00000000-0005-0000-0000-000080120000}"/>
    <cellStyle name="Input 2 2 8 3 2 4" xfId="5864" xr:uid="{00000000-0005-0000-0000-000081120000}"/>
    <cellStyle name="Input 2 2 8 3 2 4 2" xfId="11694" xr:uid="{00000000-0005-0000-0000-000082120000}"/>
    <cellStyle name="Input 2 2 8 3 2 5" xfId="7359" xr:uid="{00000000-0005-0000-0000-000083120000}"/>
    <cellStyle name="Input 2 2 8 3 3" xfId="2318" xr:uid="{00000000-0005-0000-0000-000084120000}"/>
    <cellStyle name="Input 2 2 8 3 3 2" xfId="8148" xr:uid="{00000000-0005-0000-0000-000085120000}"/>
    <cellStyle name="Input 2 2 8 3 4" xfId="3744" xr:uid="{00000000-0005-0000-0000-000086120000}"/>
    <cellStyle name="Input 2 2 8 3 4 2" xfId="9574" xr:uid="{00000000-0005-0000-0000-000087120000}"/>
    <cellStyle name="Input 2 2 8 3 5" xfId="5140" xr:uid="{00000000-0005-0000-0000-000088120000}"/>
    <cellStyle name="Input 2 2 8 3 5 2" xfId="10970" xr:uid="{00000000-0005-0000-0000-000089120000}"/>
    <cellStyle name="Input 2 2 8 3 6" xfId="6635" xr:uid="{00000000-0005-0000-0000-00008A120000}"/>
    <cellStyle name="Input 2 2 8 4" xfId="1042" xr:uid="{00000000-0005-0000-0000-00008B120000}"/>
    <cellStyle name="Input 2 2 8 4 2" xfId="2562" xr:uid="{00000000-0005-0000-0000-00008C120000}"/>
    <cellStyle name="Input 2 2 8 4 2 2" xfId="8392" xr:uid="{00000000-0005-0000-0000-00008D120000}"/>
    <cellStyle name="Input 2 2 8 4 3" xfId="3988" xr:uid="{00000000-0005-0000-0000-00008E120000}"/>
    <cellStyle name="Input 2 2 8 4 3 2" xfId="9818" xr:uid="{00000000-0005-0000-0000-00008F120000}"/>
    <cellStyle name="Input 2 2 8 4 4" xfId="5384" xr:uid="{00000000-0005-0000-0000-000090120000}"/>
    <cellStyle name="Input 2 2 8 4 4 2" xfId="11214" xr:uid="{00000000-0005-0000-0000-000091120000}"/>
    <cellStyle name="Input 2 2 8 4 5" xfId="6879" xr:uid="{00000000-0005-0000-0000-000092120000}"/>
    <cellStyle name="Input 2 2 8 5" xfId="1816" xr:uid="{00000000-0005-0000-0000-000093120000}"/>
    <cellStyle name="Input 2 2 8 5 2" xfId="7646" xr:uid="{00000000-0005-0000-0000-000094120000}"/>
    <cellStyle name="Input 2 2 8 6" xfId="3247" xr:uid="{00000000-0005-0000-0000-000095120000}"/>
    <cellStyle name="Input 2 2 8 6 2" xfId="9077" xr:uid="{00000000-0005-0000-0000-000096120000}"/>
    <cellStyle name="Input 2 2 8 7" xfId="4659" xr:uid="{00000000-0005-0000-0000-000097120000}"/>
    <cellStyle name="Input 2 2 8 7 2" xfId="10489" xr:uid="{00000000-0005-0000-0000-000098120000}"/>
    <cellStyle name="Input 2 2 8 8" xfId="6154" xr:uid="{00000000-0005-0000-0000-000099120000}"/>
    <cellStyle name="Input 2 2 9" xfId="394" xr:uid="{00000000-0005-0000-0000-00009A120000}"/>
    <cellStyle name="Input 2 2 9 2" xfId="1129" xr:uid="{00000000-0005-0000-0000-00009B120000}"/>
    <cellStyle name="Input 2 2 9 2 2" xfId="2645" xr:uid="{00000000-0005-0000-0000-00009C120000}"/>
    <cellStyle name="Input 2 2 9 2 2 2" xfId="8475" xr:uid="{00000000-0005-0000-0000-00009D120000}"/>
    <cellStyle name="Input 2 2 9 2 3" xfId="4068" xr:uid="{00000000-0005-0000-0000-00009E120000}"/>
    <cellStyle name="Input 2 2 9 2 3 2" xfId="9898" xr:uid="{00000000-0005-0000-0000-00009F120000}"/>
    <cellStyle name="Input 2 2 9 2 4" xfId="5464" xr:uid="{00000000-0005-0000-0000-0000A0120000}"/>
    <cellStyle name="Input 2 2 9 2 4 2" xfId="11294" xr:uid="{00000000-0005-0000-0000-0000A1120000}"/>
    <cellStyle name="Input 2 2 9 2 5" xfId="6959" xr:uid="{00000000-0005-0000-0000-0000A2120000}"/>
    <cellStyle name="Input 2 2 9 3" xfId="1916" xr:uid="{00000000-0005-0000-0000-0000A3120000}"/>
    <cellStyle name="Input 2 2 9 3 2" xfId="7746" xr:uid="{00000000-0005-0000-0000-0000A4120000}"/>
    <cellStyle name="Input 2 2 9 4" xfId="3343" xr:uid="{00000000-0005-0000-0000-0000A5120000}"/>
    <cellStyle name="Input 2 2 9 4 2" xfId="9173" xr:uid="{00000000-0005-0000-0000-0000A6120000}"/>
    <cellStyle name="Input 2 2 9 5" xfId="4740" xr:uid="{00000000-0005-0000-0000-0000A7120000}"/>
    <cellStyle name="Input 2 2 9 5 2" xfId="10570" xr:uid="{00000000-0005-0000-0000-0000A8120000}"/>
    <cellStyle name="Input 2 2 9 6" xfId="6235" xr:uid="{00000000-0005-0000-0000-0000A9120000}"/>
    <cellStyle name="Input 2 3" xfId="877" xr:uid="{00000000-0005-0000-0000-0000AA120000}"/>
    <cellStyle name="Input 2 3 2" xfId="2397" xr:uid="{00000000-0005-0000-0000-0000AB120000}"/>
    <cellStyle name="Input 2 3 2 2" xfId="8227" xr:uid="{00000000-0005-0000-0000-0000AC120000}"/>
    <cellStyle name="Input 2 3 3" xfId="3823" xr:uid="{00000000-0005-0000-0000-0000AD120000}"/>
    <cellStyle name="Input 2 3 3 2" xfId="9653" xr:uid="{00000000-0005-0000-0000-0000AE120000}"/>
    <cellStyle name="Input 2 3 4" xfId="5219" xr:uid="{00000000-0005-0000-0000-0000AF120000}"/>
    <cellStyle name="Input 2 3 4 2" xfId="11049" xr:uid="{00000000-0005-0000-0000-0000B0120000}"/>
    <cellStyle name="Input 2 3 5" xfId="6714" xr:uid="{00000000-0005-0000-0000-0000B1120000}"/>
    <cellStyle name="Input 2 4" xfId="5989" xr:uid="{00000000-0005-0000-0000-0000B2120000}"/>
    <cellStyle name="Input 3" xfId="634" xr:uid="{00000000-0005-0000-0000-0000B3120000}"/>
    <cellStyle name="Input 4" xfId="5955" xr:uid="{00000000-0005-0000-0000-0000B4120000}"/>
    <cellStyle name="Linked Cell" xfId="11" builtinId="24" customBuiltin="1"/>
    <cellStyle name="Linked Cell 2" xfId="89" xr:uid="{00000000-0005-0000-0000-0000B6120000}"/>
    <cellStyle name="Linked Cell 3" xfId="377" xr:uid="{00000000-0005-0000-0000-0000B7120000}"/>
    <cellStyle name="Linked Cell 4" xfId="5958" xr:uid="{00000000-0005-0000-0000-0000B8120000}"/>
    <cellStyle name="Neutral" xfId="7" builtinId="28" customBuiltin="1"/>
    <cellStyle name="Neutral 2" xfId="90" xr:uid="{00000000-0005-0000-0000-0000BA120000}"/>
    <cellStyle name="Neutral 3" xfId="103" xr:uid="{00000000-0005-0000-0000-0000BB120000}"/>
    <cellStyle name="Neutral 4" xfId="369" xr:uid="{00000000-0005-0000-0000-0000BC120000}"/>
    <cellStyle name="Neutral 5" xfId="5954" xr:uid="{00000000-0005-0000-0000-0000BD120000}"/>
    <cellStyle name="Normal" xfId="0" builtinId="0"/>
    <cellStyle name="Normal 10" xfId="45" xr:uid="{00000000-0005-0000-0000-0000BF120000}"/>
    <cellStyle name="Normal 11" xfId="11777" xr:uid="{2563D5E8-DFC8-4EFE-8B1B-7000F02C22CE}"/>
    <cellStyle name="Normal 2" xfId="46" xr:uid="{00000000-0005-0000-0000-0000C0120000}"/>
    <cellStyle name="Normal 2 2" xfId="47" xr:uid="{00000000-0005-0000-0000-0000C1120000}"/>
    <cellStyle name="Normal 2 2 2" xfId="48" xr:uid="{00000000-0005-0000-0000-0000C2120000}"/>
    <cellStyle name="Normal 2 3" xfId="111" xr:uid="{00000000-0005-0000-0000-0000C3120000}"/>
    <cellStyle name="Normal 2 3 2" xfId="1125" xr:uid="{00000000-0005-0000-0000-0000C4120000}"/>
    <cellStyle name="Normal 3" xfId="49" xr:uid="{00000000-0005-0000-0000-0000C5120000}"/>
    <cellStyle name="Normal 4" xfId="63" xr:uid="{00000000-0005-0000-0000-0000C6120000}"/>
    <cellStyle name="Normal 4 2" xfId="100" xr:uid="{00000000-0005-0000-0000-0000C7120000}"/>
    <cellStyle name="Normal 4 3" xfId="101" xr:uid="{00000000-0005-0000-0000-0000C8120000}"/>
    <cellStyle name="Normal 5" xfId="102" xr:uid="{00000000-0005-0000-0000-0000C9120000}"/>
    <cellStyle name="Normal 5 2" xfId="137" xr:uid="{00000000-0005-0000-0000-0000CA120000}"/>
    <cellStyle name="Normal 5 3" xfId="213" xr:uid="{00000000-0005-0000-0000-0000CB120000}"/>
    <cellStyle name="Normal 6" xfId="50" xr:uid="{00000000-0005-0000-0000-0000CC120000}"/>
    <cellStyle name="Normal 7" xfId="388" xr:uid="{00000000-0005-0000-0000-0000CD120000}"/>
    <cellStyle name="Normal 8" xfId="1122" xr:uid="{00000000-0005-0000-0000-0000CE120000}"/>
    <cellStyle name="Normal 9" xfId="5943" xr:uid="{00000000-0005-0000-0000-0000CF120000}"/>
    <cellStyle name="Note" xfId="14" builtinId="10" customBuiltin="1"/>
    <cellStyle name="Note 2" xfId="91" xr:uid="{00000000-0005-0000-0000-0000D2120000}"/>
    <cellStyle name="Note 2 2" xfId="114" xr:uid="{00000000-0005-0000-0000-0000D3120000}"/>
    <cellStyle name="Note 2 2 10" xfId="639" xr:uid="{00000000-0005-0000-0000-0000D4120000}"/>
    <cellStyle name="Note 2 2 10 2" xfId="1370" xr:uid="{00000000-0005-0000-0000-0000D5120000}"/>
    <cellStyle name="Note 2 2 10 2 2" xfId="2886" xr:uid="{00000000-0005-0000-0000-0000D6120000}"/>
    <cellStyle name="Note 2 2 10 2 2 2" xfId="8716" xr:uid="{00000000-0005-0000-0000-0000D7120000}"/>
    <cellStyle name="Note 2 2 10 2 3" xfId="4309" xr:uid="{00000000-0005-0000-0000-0000D8120000}"/>
    <cellStyle name="Note 2 2 10 2 3 2" xfId="10139" xr:uid="{00000000-0005-0000-0000-0000D9120000}"/>
    <cellStyle name="Note 2 2 10 2 4" xfId="5705" xr:uid="{00000000-0005-0000-0000-0000DA120000}"/>
    <cellStyle name="Note 2 2 10 2 4 2" xfId="11535" xr:uid="{00000000-0005-0000-0000-0000DB120000}"/>
    <cellStyle name="Note 2 2 10 2 5" xfId="7200" xr:uid="{00000000-0005-0000-0000-0000DC120000}"/>
    <cellStyle name="Note 2 2 10 3" xfId="2159" xr:uid="{00000000-0005-0000-0000-0000DD120000}"/>
    <cellStyle name="Note 2 2 10 3 2" xfId="7989" xr:uid="{00000000-0005-0000-0000-0000DE120000}"/>
    <cellStyle name="Note 2 2 10 4" xfId="3585" xr:uid="{00000000-0005-0000-0000-0000DF120000}"/>
    <cellStyle name="Note 2 2 10 4 2" xfId="9415" xr:uid="{00000000-0005-0000-0000-0000E0120000}"/>
    <cellStyle name="Note 2 2 10 5" xfId="4981" xr:uid="{00000000-0005-0000-0000-0000E1120000}"/>
    <cellStyle name="Note 2 2 10 5 2" xfId="10811" xr:uid="{00000000-0005-0000-0000-0000E2120000}"/>
    <cellStyle name="Note 2 2 10 6" xfId="6476" xr:uid="{00000000-0005-0000-0000-0000E3120000}"/>
    <cellStyle name="Note 2 2 11" xfId="883" xr:uid="{00000000-0005-0000-0000-0000E4120000}"/>
    <cellStyle name="Note 2 2 11 2" xfId="2403" xr:uid="{00000000-0005-0000-0000-0000E5120000}"/>
    <cellStyle name="Note 2 2 11 2 2" xfId="8233" xr:uid="{00000000-0005-0000-0000-0000E6120000}"/>
    <cellStyle name="Note 2 2 11 3" xfId="3829" xr:uid="{00000000-0005-0000-0000-0000E7120000}"/>
    <cellStyle name="Note 2 2 11 3 2" xfId="9659" xr:uid="{00000000-0005-0000-0000-0000E8120000}"/>
    <cellStyle name="Note 2 2 11 4" xfId="5225" xr:uid="{00000000-0005-0000-0000-0000E9120000}"/>
    <cellStyle name="Note 2 2 11 4 2" xfId="11055" xr:uid="{00000000-0005-0000-0000-0000EA120000}"/>
    <cellStyle name="Note 2 2 11 5" xfId="6720" xr:uid="{00000000-0005-0000-0000-0000EB120000}"/>
    <cellStyle name="Note 2 2 12" xfId="1657" xr:uid="{00000000-0005-0000-0000-0000EC120000}"/>
    <cellStyle name="Note 2 2 12 2" xfId="7487" xr:uid="{00000000-0005-0000-0000-0000ED120000}"/>
    <cellStyle name="Note 2 2 13" xfId="1646" xr:uid="{00000000-0005-0000-0000-0000EE120000}"/>
    <cellStyle name="Note 2 2 13 2" xfId="7476" xr:uid="{00000000-0005-0000-0000-0000EF120000}"/>
    <cellStyle name="Note 2 2 14" xfId="3336" xr:uid="{00000000-0005-0000-0000-0000F0120000}"/>
    <cellStyle name="Note 2 2 14 2" xfId="9166" xr:uid="{00000000-0005-0000-0000-0000F1120000}"/>
    <cellStyle name="Note 2 2 15" xfId="5995" xr:uid="{00000000-0005-0000-0000-0000F2120000}"/>
    <cellStyle name="Note 2 2 2" xfId="119" xr:uid="{00000000-0005-0000-0000-0000F3120000}"/>
    <cellStyle name="Note 2 2 2 10" xfId="1914" xr:uid="{00000000-0005-0000-0000-0000F4120000}"/>
    <cellStyle name="Note 2 2 2 10 2" xfId="7744" xr:uid="{00000000-0005-0000-0000-0000F5120000}"/>
    <cellStyle name="Note 2 2 2 11" xfId="2642" xr:uid="{00000000-0005-0000-0000-0000F6120000}"/>
    <cellStyle name="Note 2 2 2 11 2" xfId="8472" xr:uid="{00000000-0005-0000-0000-0000F7120000}"/>
    <cellStyle name="Note 2 2 2 12" xfId="6000" xr:uid="{00000000-0005-0000-0000-0000F8120000}"/>
    <cellStyle name="Note 2 2 2 2" xfId="140" xr:uid="{00000000-0005-0000-0000-0000F9120000}"/>
    <cellStyle name="Note 2 2 2 2 10" xfId="1896" xr:uid="{00000000-0005-0000-0000-0000FA120000}"/>
    <cellStyle name="Note 2 2 2 2 10 2" xfId="7726" xr:uid="{00000000-0005-0000-0000-0000FB120000}"/>
    <cellStyle name="Note 2 2 2 2 11" xfId="6020" xr:uid="{00000000-0005-0000-0000-0000FC120000}"/>
    <cellStyle name="Note 2 2 2 2 2" xfId="180" xr:uid="{00000000-0005-0000-0000-0000FD120000}"/>
    <cellStyle name="Note 2 2 2 2 2 10" xfId="6060" xr:uid="{00000000-0005-0000-0000-0000FE120000}"/>
    <cellStyle name="Note 2 2 2 2 2 2" xfId="261" xr:uid="{00000000-0005-0000-0000-0000FF120000}"/>
    <cellStyle name="Note 2 2 2 2 2 2 2" xfId="540" xr:uid="{00000000-0005-0000-0000-000000130000}"/>
    <cellStyle name="Note 2 2 2 2 2 2 2 2" xfId="1275" xr:uid="{00000000-0005-0000-0000-000001130000}"/>
    <cellStyle name="Note 2 2 2 2 2 2 2 2 2" xfId="2791" xr:uid="{00000000-0005-0000-0000-000002130000}"/>
    <cellStyle name="Note 2 2 2 2 2 2 2 2 2 2" xfId="8621" xr:uid="{00000000-0005-0000-0000-000003130000}"/>
    <cellStyle name="Note 2 2 2 2 2 2 2 2 3" xfId="4214" xr:uid="{00000000-0005-0000-0000-000004130000}"/>
    <cellStyle name="Note 2 2 2 2 2 2 2 2 3 2" xfId="10044" xr:uid="{00000000-0005-0000-0000-000005130000}"/>
    <cellStyle name="Note 2 2 2 2 2 2 2 2 4" xfId="5610" xr:uid="{00000000-0005-0000-0000-000006130000}"/>
    <cellStyle name="Note 2 2 2 2 2 2 2 2 4 2" xfId="11440" xr:uid="{00000000-0005-0000-0000-000007130000}"/>
    <cellStyle name="Note 2 2 2 2 2 2 2 2 5" xfId="7105" xr:uid="{00000000-0005-0000-0000-000008130000}"/>
    <cellStyle name="Note 2 2 2 2 2 2 2 3" xfId="2062" xr:uid="{00000000-0005-0000-0000-000009130000}"/>
    <cellStyle name="Note 2 2 2 2 2 2 2 3 2" xfId="7892" xr:uid="{00000000-0005-0000-0000-00000A130000}"/>
    <cellStyle name="Note 2 2 2 2 2 2 2 4" xfId="3489" xr:uid="{00000000-0005-0000-0000-00000B130000}"/>
    <cellStyle name="Note 2 2 2 2 2 2 2 4 2" xfId="9319" xr:uid="{00000000-0005-0000-0000-00000C130000}"/>
    <cellStyle name="Note 2 2 2 2 2 2 2 5" xfId="4886" xr:uid="{00000000-0005-0000-0000-00000D130000}"/>
    <cellStyle name="Note 2 2 2 2 2 2 2 5 2" xfId="10716" xr:uid="{00000000-0005-0000-0000-00000E130000}"/>
    <cellStyle name="Note 2 2 2 2 2 2 2 6" xfId="6381" xr:uid="{00000000-0005-0000-0000-00000F130000}"/>
    <cellStyle name="Note 2 2 2 2 2 2 3" xfId="784" xr:uid="{00000000-0005-0000-0000-000010130000}"/>
    <cellStyle name="Note 2 2 2 2 2 2 3 2" xfId="1515" xr:uid="{00000000-0005-0000-0000-000011130000}"/>
    <cellStyle name="Note 2 2 2 2 2 2 3 2 2" xfId="3031" xr:uid="{00000000-0005-0000-0000-000012130000}"/>
    <cellStyle name="Note 2 2 2 2 2 2 3 2 2 2" xfId="8861" xr:uid="{00000000-0005-0000-0000-000013130000}"/>
    <cellStyle name="Note 2 2 2 2 2 2 3 2 3" xfId="4454" xr:uid="{00000000-0005-0000-0000-000014130000}"/>
    <cellStyle name="Note 2 2 2 2 2 2 3 2 3 2" xfId="10284" xr:uid="{00000000-0005-0000-0000-000015130000}"/>
    <cellStyle name="Note 2 2 2 2 2 2 3 2 4" xfId="5850" xr:uid="{00000000-0005-0000-0000-000016130000}"/>
    <cellStyle name="Note 2 2 2 2 2 2 3 2 4 2" xfId="11680" xr:uid="{00000000-0005-0000-0000-000017130000}"/>
    <cellStyle name="Note 2 2 2 2 2 2 3 2 5" xfId="7345" xr:uid="{00000000-0005-0000-0000-000018130000}"/>
    <cellStyle name="Note 2 2 2 2 2 2 3 3" xfId="2304" xr:uid="{00000000-0005-0000-0000-000019130000}"/>
    <cellStyle name="Note 2 2 2 2 2 2 3 3 2" xfId="8134" xr:uid="{00000000-0005-0000-0000-00001A130000}"/>
    <cellStyle name="Note 2 2 2 2 2 2 3 4" xfId="3730" xr:uid="{00000000-0005-0000-0000-00001B130000}"/>
    <cellStyle name="Note 2 2 2 2 2 2 3 4 2" xfId="9560" xr:uid="{00000000-0005-0000-0000-00001C130000}"/>
    <cellStyle name="Note 2 2 2 2 2 2 3 5" xfId="5126" xr:uid="{00000000-0005-0000-0000-00001D130000}"/>
    <cellStyle name="Note 2 2 2 2 2 2 3 5 2" xfId="10956" xr:uid="{00000000-0005-0000-0000-00001E130000}"/>
    <cellStyle name="Note 2 2 2 2 2 2 3 6" xfId="6621" xr:uid="{00000000-0005-0000-0000-00001F130000}"/>
    <cellStyle name="Note 2 2 2 2 2 2 4" xfId="1028" xr:uid="{00000000-0005-0000-0000-000020130000}"/>
    <cellStyle name="Note 2 2 2 2 2 2 4 2" xfId="2548" xr:uid="{00000000-0005-0000-0000-000021130000}"/>
    <cellStyle name="Note 2 2 2 2 2 2 4 2 2" xfId="8378" xr:uid="{00000000-0005-0000-0000-000022130000}"/>
    <cellStyle name="Note 2 2 2 2 2 2 4 3" xfId="3974" xr:uid="{00000000-0005-0000-0000-000023130000}"/>
    <cellStyle name="Note 2 2 2 2 2 2 4 3 2" xfId="9804" xr:uid="{00000000-0005-0000-0000-000024130000}"/>
    <cellStyle name="Note 2 2 2 2 2 2 4 4" xfId="5370" xr:uid="{00000000-0005-0000-0000-000025130000}"/>
    <cellStyle name="Note 2 2 2 2 2 2 4 4 2" xfId="11200" xr:uid="{00000000-0005-0000-0000-000026130000}"/>
    <cellStyle name="Note 2 2 2 2 2 2 4 5" xfId="6865" xr:uid="{00000000-0005-0000-0000-000027130000}"/>
    <cellStyle name="Note 2 2 2 2 2 2 5" xfId="1802" xr:uid="{00000000-0005-0000-0000-000028130000}"/>
    <cellStyle name="Note 2 2 2 2 2 2 5 2" xfId="7632" xr:uid="{00000000-0005-0000-0000-000029130000}"/>
    <cellStyle name="Note 2 2 2 2 2 2 6" xfId="3233" xr:uid="{00000000-0005-0000-0000-00002A130000}"/>
    <cellStyle name="Note 2 2 2 2 2 2 6 2" xfId="9063" xr:uid="{00000000-0005-0000-0000-00002B130000}"/>
    <cellStyle name="Note 2 2 2 2 2 2 7" xfId="4645" xr:uid="{00000000-0005-0000-0000-00002C130000}"/>
    <cellStyle name="Note 2 2 2 2 2 2 7 2" xfId="10475" xr:uid="{00000000-0005-0000-0000-00002D130000}"/>
    <cellStyle name="Note 2 2 2 2 2 2 8" xfId="6140" xr:uid="{00000000-0005-0000-0000-00002E130000}"/>
    <cellStyle name="Note 2 2 2 2 2 3" xfId="341" xr:uid="{00000000-0005-0000-0000-00002F130000}"/>
    <cellStyle name="Note 2 2 2 2 2 3 2" xfId="620" xr:uid="{00000000-0005-0000-0000-000030130000}"/>
    <cellStyle name="Note 2 2 2 2 2 3 2 2" xfId="1355" xr:uid="{00000000-0005-0000-0000-000031130000}"/>
    <cellStyle name="Note 2 2 2 2 2 3 2 2 2" xfId="2871" xr:uid="{00000000-0005-0000-0000-000032130000}"/>
    <cellStyle name="Note 2 2 2 2 2 3 2 2 2 2" xfId="8701" xr:uid="{00000000-0005-0000-0000-000033130000}"/>
    <cellStyle name="Note 2 2 2 2 2 3 2 2 3" xfId="4294" xr:uid="{00000000-0005-0000-0000-000034130000}"/>
    <cellStyle name="Note 2 2 2 2 2 3 2 2 3 2" xfId="10124" xr:uid="{00000000-0005-0000-0000-000035130000}"/>
    <cellStyle name="Note 2 2 2 2 2 3 2 2 4" xfId="5690" xr:uid="{00000000-0005-0000-0000-000036130000}"/>
    <cellStyle name="Note 2 2 2 2 2 3 2 2 4 2" xfId="11520" xr:uid="{00000000-0005-0000-0000-000037130000}"/>
    <cellStyle name="Note 2 2 2 2 2 3 2 2 5" xfId="7185" xr:uid="{00000000-0005-0000-0000-000038130000}"/>
    <cellStyle name="Note 2 2 2 2 2 3 2 3" xfId="2142" xr:uid="{00000000-0005-0000-0000-000039130000}"/>
    <cellStyle name="Note 2 2 2 2 2 3 2 3 2" xfId="7972" xr:uid="{00000000-0005-0000-0000-00003A130000}"/>
    <cellStyle name="Note 2 2 2 2 2 3 2 4" xfId="3569" xr:uid="{00000000-0005-0000-0000-00003B130000}"/>
    <cellStyle name="Note 2 2 2 2 2 3 2 4 2" xfId="9399" xr:uid="{00000000-0005-0000-0000-00003C130000}"/>
    <cellStyle name="Note 2 2 2 2 2 3 2 5" xfId="4966" xr:uid="{00000000-0005-0000-0000-00003D130000}"/>
    <cellStyle name="Note 2 2 2 2 2 3 2 5 2" xfId="10796" xr:uid="{00000000-0005-0000-0000-00003E130000}"/>
    <cellStyle name="Note 2 2 2 2 2 3 2 6" xfId="6461" xr:uid="{00000000-0005-0000-0000-00003F130000}"/>
    <cellStyle name="Note 2 2 2 2 2 3 3" xfId="864" xr:uid="{00000000-0005-0000-0000-000040130000}"/>
    <cellStyle name="Note 2 2 2 2 2 3 3 2" xfId="1595" xr:uid="{00000000-0005-0000-0000-000041130000}"/>
    <cellStyle name="Note 2 2 2 2 2 3 3 2 2" xfId="3111" xr:uid="{00000000-0005-0000-0000-000042130000}"/>
    <cellStyle name="Note 2 2 2 2 2 3 3 2 2 2" xfId="8941" xr:uid="{00000000-0005-0000-0000-000043130000}"/>
    <cellStyle name="Note 2 2 2 2 2 3 3 2 3" xfId="4534" xr:uid="{00000000-0005-0000-0000-000044130000}"/>
    <cellStyle name="Note 2 2 2 2 2 3 3 2 3 2" xfId="10364" xr:uid="{00000000-0005-0000-0000-000045130000}"/>
    <cellStyle name="Note 2 2 2 2 2 3 3 2 4" xfId="5930" xr:uid="{00000000-0005-0000-0000-000046130000}"/>
    <cellStyle name="Note 2 2 2 2 2 3 3 2 4 2" xfId="11760" xr:uid="{00000000-0005-0000-0000-000047130000}"/>
    <cellStyle name="Note 2 2 2 2 2 3 3 2 5" xfId="7425" xr:uid="{00000000-0005-0000-0000-000048130000}"/>
    <cellStyle name="Note 2 2 2 2 2 3 3 3" xfId="2384" xr:uid="{00000000-0005-0000-0000-000049130000}"/>
    <cellStyle name="Note 2 2 2 2 2 3 3 3 2" xfId="8214" xr:uid="{00000000-0005-0000-0000-00004A130000}"/>
    <cellStyle name="Note 2 2 2 2 2 3 3 4" xfId="3810" xr:uid="{00000000-0005-0000-0000-00004B130000}"/>
    <cellStyle name="Note 2 2 2 2 2 3 3 4 2" xfId="9640" xr:uid="{00000000-0005-0000-0000-00004C130000}"/>
    <cellStyle name="Note 2 2 2 2 2 3 3 5" xfId="5206" xr:uid="{00000000-0005-0000-0000-00004D130000}"/>
    <cellStyle name="Note 2 2 2 2 2 3 3 5 2" xfId="11036" xr:uid="{00000000-0005-0000-0000-00004E130000}"/>
    <cellStyle name="Note 2 2 2 2 2 3 3 6" xfId="6701" xr:uid="{00000000-0005-0000-0000-00004F130000}"/>
    <cellStyle name="Note 2 2 2 2 2 3 4" xfId="1108" xr:uid="{00000000-0005-0000-0000-000050130000}"/>
    <cellStyle name="Note 2 2 2 2 2 3 4 2" xfId="2628" xr:uid="{00000000-0005-0000-0000-000051130000}"/>
    <cellStyle name="Note 2 2 2 2 2 3 4 2 2" xfId="8458" xr:uid="{00000000-0005-0000-0000-000052130000}"/>
    <cellStyle name="Note 2 2 2 2 2 3 4 3" xfId="4054" xr:uid="{00000000-0005-0000-0000-000053130000}"/>
    <cellStyle name="Note 2 2 2 2 2 3 4 3 2" xfId="9884" xr:uid="{00000000-0005-0000-0000-000054130000}"/>
    <cellStyle name="Note 2 2 2 2 2 3 4 4" xfId="5450" xr:uid="{00000000-0005-0000-0000-000055130000}"/>
    <cellStyle name="Note 2 2 2 2 2 3 4 4 2" xfId="11280" xr:uid="{00000000-0005-0000-0000-000056130000}"/>
    <cellStyle name="Note 2 2 2 2 2 3 4 5" xfId="6945" xr:uid="{00000000-0005-0000-0000-000057130000}"/>
    <cellStyle name="Note 2 2 2 2 2 3 5" xfId="1882" xr:uid="{00000000-0005-0000-0000-000058130000}"/>
    <cellStyle name="Note 2 2 2 2 2 3 5 2" xfId="7712" xr:uid="{00000000-0005-0000-0000-000059130000}"/>
    <cellStyle name="Note 2 2 2 2 2 3 6" xfId="3313" xr:uid="{00000000-0005-0000-0000-00005A130000}"/>
    <cellStyle name="Note 2 2 2 2 2 3 6 2" xfId="9143" xr:uid="{00000000-0005-0000-0000-00005B130000}"/>
    <cellStyle name="Note 2 2 2 2 2 3 7" xfId="4725" xr:uid="{00000000-0005-0000-0000-00005C130000}"/>
    <cellStyle name="Note 2 2 2 2 2 3 7 2" xfId="10555" xr:uid="{00000000-0005-0000-0000-00005D130000}"/>
    <cellStyle name="Note 2 2 2 2 2 3 8" xfId="6220" xr:uid="{00000000-0005-0000-0000-00005E130000}"/>
    <cellStyle name="Note 2 2 2 2 2 4" xfId="460" xr:uid="{00000000-0005-0000-0000-00005F130000}"/>
    <cellStyle name="Note 2 2 2 2 2 4 2" xfId="1195" xr:uid="{00000000-0005-0000-0000-000060130000}"/>
    <cellStyle name="Note 2 2 2 2 2 4 2 2" xfId="2711" xr:uid="{00000000-0005-0000-0000-000061130000}"/>
    <cellStyle name="Note 2 2 2 2 2 4 2 2 2" xfId="8541" xr:uid="{00000000-0005-0000-0000-000062130000}"/>
    <cellStyle name="Note 2 2 2 2 2 4 2 3" xfId="4134" xr:uid="{00000000-0005-0000-0000-000063130000}"/>
    <cellStyle name="Note 2 2 2 2 2 4 2 3 2" xfId="9964" xr:uid="{00000000-0005-0000-0000-000064130000}"/>
    <cellStyle name="Note 2 2 2 2 2 4 2 4" xfId="5530" xr:uid="{00000000-0005-0000-0000-000065130000}"/>
    <cellStyle name="Note 2 2 2 2 2 4 2 4 2" xfId="11360" xr:uid="{00000000-0005-0000-0000-000066130000}"/>
    <cellStyle name="Note 2 2 2 2 2 4 2 5" xfId="7025" xr:uid="{00000000-0005-0000-0000-000067130000}"/>
    <cellStyle name="Note 2 2 2 2 2 4 3" xfId="1982" xr:uid="{00000000-0005-0000-0000-000068130000}"/>
    <cellStyle name="Note 2 2 2 2 2 4 3 2" xfId="7812" xr:uid="{00000000-0005-0000-0000-000069130000}"/>
    <cellStyle name="Note 2 2 2 2 2 4 4" xfId="3409" xr:uid="{00000000-0005-0000-0000-00006A130000}"/>
    <cellStyle name="Note 2 2 2 2 2 4 4 2" xfId="9239" xr:uid="{00000000-0005-0000-0000-00006B130000}"/>
    <cellStyle name="Note 2 2 2 2 2 4 5" xfId="4806" xr:uid="{00000000-0005-0000-0000-00006C130000}"/>
    <cellStyle name="Note 2 2 2 2 2 4 5 2" xfId="10636" xr:uid="{00000000-0005-0000-0000-00006D130000}"/>
    <cellStyle name="Note 2 2 2 2 2 4 6" xfId="6301" xr:uid="{00000000-0005-0000-0000-00006E130000}"/>
    <cellStyle name="Note 2 2 2 2 2 5" xfId="704" xr:uid="{00000000-0005-0000-0000-00006F130000}"/>
    <cellStyle name="Note 2 2 2 2 2 5 2" xfId="1435" xr:uid="{00000000-0005-0000-0000-000070130000}"/>
    <cellStyle name="Note 2 2 2 2 2 5 2 2" xfId="2951" xr:uid="{00000000-0005-0000-0000-000071130000}"/>
    <cellStyle name="Note 2 2 2 2 2 5 2 2 2" xfId="8781" xr:uid="{00000000-0005-0000-0000-000072130000}"/>
    <cellStyle name="Note 2 2 2 2 2 5 2 3" xfId="4374" xr:uid="{00000000-0005-0000-0000-000073130000}"/>
    <cellStyle name="Note 2 2 2 2 2 5 2 3 2" xfId="10204" xr:uid="{00000000-0005-0000-0000-000074130000}"/>
    <cellStyle name="Note 2 2 2 2 2 5 2 4" xfId="5770" xr:uid="{00000000-0005-0000-0000-000075130000}"/>
    <cellStyle name="Note 2 2 2 2 2 5 2 4 2" xfId="11600" xr:uid="{00000000-0005-0000-0000-000076130000}"/>
    <cellStyle name="Note 2 2 2 2 2 5 2 5" xfId="7265" xr:uid="{00000000-0005-0000-0000-000077130000}"/>
    <cellStyle name="Note 2 2 2 2 2 5 3" xfId="2224" xr:uid="{00000000-0005-0000-0000-000078130000}"/>
    <cellStyle name="Note 2 2 2 2 2 5 3 2" xfId="8054" xr:uid="{00000000-0005-0000-0000-000079130000}"/>
    <cellStyle name="Note 2 2 2 2 2 5 4" xfId="3650" xr:uid="{00000000-0005-0000-0000-00007A130000}"/>
    <cellStyle name="Note 2 2 2 2 2 5 4 2" xfId="9480" xr:uid="{00000000-0005-0000-0000-00007B130000}"/>
    <cellStyle name="Note 2 2 2 2 2 5 5" xfId="5046" xr:uid="{00000000-0005-0000-0000-00007C130000}"/>
    <cellStyle name="Note 2 2 2 2 2 5 5 2" xfId="10876" xr:uid="{00000000-0005-0000-0000-00007D130000}"/>
    <cellStyle name="Note 2 2 2 2 2 5 6" xfId="6541" xr:uid="{00000000-0005-0000-0000-00007E130000}"/>
    <cellStyle name="Note 2 2 2 2 2 6" xfId="948" xr:uid="{00000000-0005-0000-0000-00007F130000}"/>
    <cellStyle name="Note 2 2 2 2 2 6 2" xfId="2468" xr:uid="{00000000-0005-0000-0000-000080130000}"/>
    <cellStyle name="Note 2 2 2 2 2 6 2 2" xfId="8298" xr:uid="{00000000-0005-0000-0000-000081130000}"/>
    <cellStyle name="Note 2 2 2 2 2 6 3" xfId="3894" xr:uid="{00000000-0005-0000-0000-000082130000}"/>
    <cellStyle name="Note 2 2 2 2 2 6 3 2" xfId="9724" xr:uid="{00000000-0005-0000-0000-000083130000}"/>
    <cellStyle name="Note 2 2 2 2 2 6 4" xfId="5290" xr:uid="{00000000-0005-0000-0000-000084130000}"/>
    <cellStyle name="Note 2 2 2 2 2 6 4 2" xfId="11120" xr:uid="{00000000-0005-0000-0000-000085130000}"/>
    <cellStyle name="Note 2 2 2 2 2 6 5" xfId="6785" xr:uid="{00000000-0005-0000-0000-000086130000}"/>
    <cellStyle name="Note 2 2 2 2 2 7" xfId="1722" xr:uid="{00000000-0005-0000-0000-000087130000}"/>
    <cellStyle name="Note 2 2 2 2 2 7 2" xfId="7552" xr:uid="{00000000-0005-0000-0000-000088130000}"/>
    <cellStyle name="Note 2 2 2 2 2 8" xfId="3153" xr:uid="{00000000-0005-0000-0000-000089130000}"/>
    <cellStyle name="Note 2 2 2 2 2 8 2" xfId="8983" xr:uid="{00000000-0005-0000-0000-00008A130000}"/>
    <cellStyle name="Note 2 2 2 2 2 9" xfId="4565" xr:uid="{00000000-0005-0000-0000-00008B130000}"/>
    <cellStyle name="Note 2 2 2 2 2 9 2" xfId="10395" xr:uid="{00000000-0005-0000-0000-00008C130000}"/>
    <cellStyle name="Note 2 2 2 2 3" xfId="221" xr:uid="{00000000-0005-0000-0000-00008D130000}"/>
    <cellStyle name="Note 2 2 2 2 3 2" xfId="500" xr:uid="{00000000-0005-0000-0000-00008E130000}"/>
    <cellStyle name="Note 2 2 2 2 3 2 2" xfId="1235" xr:uid="{00000000-0005-0000-0000-00008F130000}"/>
    <cellStyle name="Note 2 2 2 2 3 2 2 2" xfId="2751" xr:uid="{00000000-0005-0000-0000-000090130000}"/>
    <cellStyle name="Note 2 2 2 2 3 2 2 2 2" xfId="8581" xr:uid="{00000000-0005-0000-0000-000091130000}"/>
    <cellStyle name="Note 2 2 2 2 3 2 2 3" xfId="4174" xr:uid="{00000000-0005-0000-0000-000092130000}"/>
    <cellStyle name="Note 2 2 2 2 3 2 2 3 2" xfId="10004" xr:uid="{00000000-0005-0000-0000-000093130000}"/>
    <cellStyle name="Note 2 2 2 2 3 2 2 4" xfId="5570" xr:uid="{00000000-0005-0000-0000-000094130000}"/>
    <cellStyle name="Note 2 2 2 2 3 2 2 4 2" xfId="11400" xr:uid="{00000000-0005-0000-0000-000095130000}"/>
    <cellStyle name="Note 2 2 2 2 3 2 2 5" xfId="7065" xr:uid="{00000000-0005-0000-0000-000096130000}"/>
    <cellStyle name="Note 2 2 2 2 3 2 3" xfId="2022" xr:uid="{00000000-0005-0000-0000-000097130000}"/>
    <cellStyle name="Note 2 2 2 2 3 2 3 2" xfId="7852" xr:uid="{00000000-0005-0000-0000-000098130000}"/>
    <cellStyle name="Note 2 2 2 2 3 2 4" xfId="3449" xr:uid="{00000000-0005-0000-0000-000099130000}"/>
    <cellStyle name="Note 2 2 2 2 3 2 4 2" xfId="9279" xr:uid="{00000000-0005-0000-0000-00009A130000}"/>
    <cellStyle name="Note 2 2 2 2 3 2 5" xfId="4846" xr:uid="{00000000-0005-0000-0000-00009B130000}"/>
    <cellStyle name="Note 2 2 2 2 3 2 5 2" xfId="10676" xr:uid="{00000000-0005-0000-0000-00009C130000}"/>
    <cellStyle name="Note 2 2 2 2 3 2 6" xfId="6341" xr:uid="{00000000-0005-0000-0000-00009D130000}"/>
    <cellStyle name="Note 2 2 2 2 3 3" xfId="744" xr:uid="{00000000-0005-0000-0000-00009E130000}"/>
    <cellStyle name="Note 2 2 2 2 3 3 2" xfId="1475" xr:uid="{00000000-0005-0000-0000-00009F130000}"/>
    <cellStyle name="Note 2 2 2 2 3 3 2 2" xfId="2991" xr:uid="{00000000-0005-0000-0000-0000A0130000}"/>
    <cellStyle name="Note 2 2 2 2 3 3 2 2 2" xfId="8821" xr:uid="{00000000-0005-0000-0000-0000A1130000}"/>
    <cellStyle name="Note 2 2 2 2 3 3 2 3" xfId="4414" xr:uid="{00000000-0005-0000-0000-0000A2130000}"/>
    <cellStyle name="Note 2 2 2 2 3 3 2 3 2" xfId="10244" xr:uid="{00000000-0005-0000-0000-0000A3130000}"/>
    <cellStyle name="Note 2 2 2 2 3 3 2 4" xfId="5810" xr:uid="{00000000-0005-0000-0000-0000A4130000}"/>
    <cellStyle name="Note 2 2 2 2 3 3 2 4 2" xfId="11640" xr:uid="{00000000-0005-0000-0000-0000A5130000}"/>
    <cellStyle name="Note 2 2 2 2 3 3 2 5" xfId="7305" xr:uid="{00000000-0005-0000-0000-0000A6130000}"/>
    <cellStyle name="Note 2 2 2 2 3 3 3" xfId="2264" xr:uid="{00000000-0005-0000-0000-0000A7130000}"/>
    <cellStyle name="Note 2 2 2 2 3 3 3 2" xfId="8094" xr:uid="{00000000-0005-0000-0000-0000A8130000}"/>
    <cellStyle name="Note 2 2 2 2 3 3 4" xfId="3690" xr:uid="{00000000-0005-0000-0000-0000A9130000}"/>
    <cellStyle name="Note 2 2 2 2 3 3 4 2" xfId="9520" xr:uid="{00000000-0005-0000-0000-0000AA130000}"/>
    <cellStyle name="Note 2 2 2 2 3 3 5" xfId="5086" xr:uid="{00000000-0005-0000-0000-0000AB130000}"/>
    <cellStyle name="Note 2 2 2 2 3 3 5 2" xfId="10916" xr:uid="{00000000-0005-0000-0000-0000AC130000}"/>
    <cellStyle name="Note 2 2 2 2 3 3 6" xfId="6581" xr:uid="{00000000-0005-0000-0000-0000AD130000}"/>
    <cellStyle name="Note 2 2 2 2 3 4" xfId="988" xr:uid="{00000000-0005-0000-0000-0000AE130000}"/>
    <cellStyle name="Note 2 2 2 2 3 4 2" xfId="2508" xr:uid="{00000000-0005-0000-0000-0000AF130000}"/>
    <cellStyle name="Note 2 2 2 2 3 4 2 2" xfId="8338" xr:uid="{00000000-0005-0000-0000-0000B0130000}"/>
    <cellStyle name="Note 2 2 2 2 3 4 3" xfId="3934" xr:uid="{00000000-0005-0000-0000-0000B1130000}"/>
    <cellStyle name="Note 2 2 2 2 3 4 3 2" xfId="9764" xr:uid="{00000000-0005-0000-0000-0000B2130000}"/>
    <cellStyle name="Note 2 2 2 2 3 4 4" xfId="5330" xr:uid="{00000000-0005-0000-0000-0000B3130000}"/>
    <cellStyle name="Note 2 2 2 2 3 4 4 2" xfId="11160" xr:uid="{00000000-0005-0000-0000-0000B4130000}"/>
    <cellStyle name="Note 2 2 2 2 3 4 5" xfId="6825" xr:uid="{00000000-0005-0000-0000-0000B5130000}"/>
    <cellStyle name="Note 2 2 2 2 3 5" xfId="1762" xr:uid="{00000000-0005-0000-0000-0000B6130000}"/>
    <cellStyle name="Note 2 2 2 2 3 5 2" xfId="7592" xr:uid="{00000000-0005-0000-0000-0000B7130000}"/>
    <cellStyle name="Note 2 2 2 2 3 6" xfId="3193" xr:uid="{00000000-0005-0000-0000-0000B8130000}"/>
    <cellStyle name="Note 2 2 2 2 3 6 2" xfId="9023" xr:uid="{00000000-0005-0000-0000-0000B9130000}"/>
    <cellStyle name="Note 2 2 2 2 3 7" xfId="4605" xr:uid="{00000000-0005-0000-0000-0000BA130000}"/>
    <cellStyle name="Note 2 2 2 2 3 7 2" xfId="10435" xr:uid="{00000000-0005-0000-0000-0000BB130000}"/>
    <cellStyle name="Note 2 2 2 2 3 8" xfId="6100" xr:uid="{00000000-0005-0000-0000-0000BC130000}"/>
    <cellStyle name="Note 2 2 2 2 4" xfId="301" xr:uid="{00000000-0005-0000-0000-0000BD130000}"/>
    <cellStyle name="Note 2 2 2 2 4 2" xfId="580" xr:uid="{00000000-0005-0000-0000-0000BE130000}"/>
    <cellStyle name="Note 2 2 2 2 4 2 2" xfId="1315" xr:uid="{00000000-0005-0000-0000-0000BF130000}"/>
    <cellStyle name="Note 2 2 2 2 4 2 2 2" xfId="2831" xr:uid="{00000000-0005-0000-0000-0000C0130000}"/>
    <cellStyle name="Note 2 2 2 2 4 2 2 2 2" xfId="8661" xr:uid="{00000000-0005-0000-0000-0000C1130000}"/>
    <cellStyle name="Note 2 2 2 2 4 2 2 3" xfId="4254" xr:uid="{00000000-0005-0000-0000-0000C2130000}"/>
    <cellStyle name="Note 2 2 2 2 4 2 2 3 2" xfId="10084" xr:uid="{00000000-0005-0000-0000-0000C3130000}"/>
    <cellStyle name="Note 2 2 2 2 4 2 2 4" xfId="5650" xr:uid="{00000000-0005-0000-0000-0000C4130000}"/>
    <cellStyle name="Note 2 2 2 2 4 2 2 4 2" xfId="11480" xr:uid="{00000000-0005-0000-0000-0000C5130000}"/>
    <cellStyle name="Note 2 2 2 2 4 2 2 5" xfId="7145" xr:uid="{00000000-0005-0000-0000-0000C6130000}"/>
    <cellStyle name="Note 2 2 2 2 4 2 3" xfId="2102" xr:uid="{00000000-0005-0000-0000-0000C7130000}"/>
    <cellStyle name="Note 2 2 2 2 4 2 3 2" xfId="7932" xr:uid="{00000000-0005-0000-0000-0000C8130000}"/>
    <cellStyle name="Note 2 2 2 2 4 2 4" xfId="3529" xr:uid="{00000000-0005-0000-0000-0000C9130000}"/>
    <cellStyle name="Note 2 2 2 2 4 2 4 2" xfId="9359" xr:uid="{00000000-0005-0000-0000-0000CA130000}"/>
    <cellStyle name="Note 2 2 2 2 4 2 5" xfId="4926" xr:uid="{00000000-0005-0000-0000-0000CB130000}"/>
    <cellStyle name="Note 2 2 2 2 4 2 5 2" xfId="10756" xr:uid="{00000000-0005-0000-0000-0000CC130000}"/>
    <cellStyle name="Note 2 2 2 2 4 2 6" xfId="6421" xr:uid="{00000000-0005-0000-0000-0000CD130000}"/>
    <cellStyle name="Note 2 2 2 2 4 3" xfId="824" xr:uid="{00000000-0005-0000-0000-0000CE130000}"/>
    <cellStyle name="Note 2 2 2 2 4 3 2" xfId="1555" xr:uid="{00000000-0005-0000-0000-0000CF130000}"/>
    <cellStyle name="Note 2 2 2 2 4 3 2 2" xfId="3071" xr:uid="{00000000-0005-0000-0000-0000D0130000}"/>
    <cellStyle name="Note 2 2 2 2 4 3 2 2 2" xfId="8901" xr:uid="{00000000-0005-0000-0000-0000D1130000}"/>
    <cellStyle name="Note 2 2 2 2 4 3 2 3" xfId="4494" xr:uid="{00000000-0005-0000-0000-0000D2130000}"/>
    <cellStyle name="Note 2 2 2 2 4 3 2 3 2" xfId="10324" xr:uid="{00000000-0005-0000-0000-0000D3130000}"/>
    <cellStyle name="Note 2 2 2 2 4 3 2 4" xfId="5890" xr:uid="{00000000-0005-0000-0000-0000D4130000}"/>
    <cellStyle name="Note 2 2 2 2 4 3 2 4 2" xfId="11720" xr:uid="{00000000-0005-0000-0000-0000D5130000}"/>
    <cellStyle name="Note 2 2 2 2 4 3 2 5" xfId="7385" xr:uid="{00000000-0005-0000-0000-0000D6130000}"/>
    <cellStyle name="Note 2 2 2 2 4 3 3" xfId="2344" xr:uid="{00000000-0005-0000-0000-0000D7130000}"/>
    <cellStyle name="Note 2 2 2 2 4 3 3 2" xfId="8174" xr:uid="{00000000-0005-0000-0000-0000D8130000}"/>
    <cellStyle name="Note 2 2 2 2 4 3 4" xfId="3770" xr:uid="{00000000-0005-0000-0000-0000D9130000}"/>
    <cellStyle name="Note 2 2 2 2 4 3 4 2" xfId="9600" xr:uid="{00000000-0005-0000-0000-0000DA130000}"/>
    <cellStyle name="Note 2 2 2 2 4 3 5" xfId="5166" xr:uid="{00000000-0005-0000-0000-0000DB130000}"/>
    <cellStyle name="Note 2 2 2 2 4 3 5 2" xfId="10996" xr:uid="{00000000-0005-0000-0000-0000DC130000}"/>
    <cellStyle name="Note 2 2 2 2 4 3 6" xfId="6661" xr:uid="{00000000-0005-0000-0000-0000DD130000}"/>
    <cellStyle name="Note 2 2 2 2 4 4" xfId="1068" xr:uid="{00000000-0005-0000-0000-0000DE130000}"/>
    <cellStyle name="Note 2 2 2 2 4 4 2" xfId="2588" xr:uid="{00000000-0005-0000-0000-0000DF130000}"/>
    <cellStyle name="Note 2 2 2 2 4 4 2 2" xfId="8418" xr:uid="{00000000-0005-0000-0000-0000E0130000}"/>
    <cellStyle name="Note 2 2 2 2 4 4 3" xfId="4014" xr:uid="{00000000-0005-0000-0000-0000E1130000}"/>
    <cellStyle name="Note 2 2 2 2 4 4 3 2" xfId="9844" xr:uid="{00000000-0005-0000-0000-0000E2130000}"/>
    <cellStyle name="Note 2 2 2 2 4 4 4" xfId="5410" xr:uid="{00000000-0005-0000-0000-0000E3130000}"/>
    <cellStyle name="Note 2 2 2 2 4 4 4 2" xfId="11240" xr:uid="{00000000-0005-0000-0000-0000E4130000}"/>
    <cellStyle name="Note 2 2 2 2 4 4 5" xfId="6905" xr:uid="{00000000-0005-0000-0000-0000E5130000}"/>
    <cellStyle name="Note 2 2 2 2 4 5" xfId="1842" xr:uid="{00000000-0005-0000-0000-0000E6130000}"/>
    <cellStyle name="Note 2 2 2 2 4 5 2" xfId="7672" xr:uid="{00000000-0005-0000-0000-0000E7130000}"/>
    <cellStyle name="Note 2 2 2 2 4 6" xfId="3273" xr:uid="{00000000-0005-0000-0000-0000E8130000}"/>
    <cellStyle name="Note 2 2 2 2 4 6 2" xfId="9103" xr:uid="{00000000-0005-0000-0000-0000E9130000}"/>
    <cellStyle name="Note 2 2 2 2 4 7" xfId="4685" xr:uid="{00000000-0005-0000-0000-0000EA130000}"/>
    <cellStyle name="Note 2 2 2 2 4 7 2" xfId="10515" xr:uid="{00000000-0005-0000-0000-0000EB130000}"/>
    <cellStyle name="Note 2 2 2 2 4 8" xfId="6180" xr:uid="{00000000-0005-0000-0000-0000EC130000}"/>
    <cellStyle name="Note 2 2 2 2 5" xfId="420" xr:uid="{00000000-0005-0000-0000-0000ED130000}"/>
    <cellStyle name="Note 2 2 2 2 5 2" xfId="1155" xr:uid="{00000000-0005-0000-0000-0000EE130000}"/>
    <cellStyle name="Note 2 2 2 2 5 2 2" xfId="2671" xr:uid="{00000000-0005-0000-0000-0000EF130000}"/>
    <cellStyle name="Note 2 2 2 2 5 2 2 2" xfId="8501" xr:uid="{00000000-0005-0000-0000-0000F0130000}"/>
    <cellStyle name="Note 2 2 2 2 5 2 3" xfId="4094" xr:uid="{00000000-0005-0000-0000-0000F1130000}"/>
    <cellStyle name="Note 2 2 2 2 5 2 3 2" xfId="9924" xr:uid="{00000000-0005-0000-0000-0000F2130000}"/>
    <cellStyle name="Note 2 2 2 2 5 2 4" xfId="5490" xr:uid="{00000000-0005-0000-0000-0000F3130000}"/>
    <cellStyle name="Note 2 2 2 2 5 2 4 2" xfId="11320" xr:uid="{00000000-0005-0000-0000-0000F4130000}"/>
    <cellStyle name="Note 2 2 2 2 5 2 5" xfId="6985" xr:uid="{00000000-0005-0000-0000-0000F5130000}"/>
    <cellStyle name="Note 2 2 2 2 5 3" xfId="1942" xr:uid="{00000000-0005-0000-0000-0000F6130000}"/>
    <cellStyle name="Note 2 2 2 2 5 3 2" xfId="7772" xr:uid="{00000000-0005-0000-0000-0000F7130000}"/>
    <cellStyle name="Note 2 2 2 2 5 4" xfId="3369" xr:uid="{00000000-0005-0000-0000-0000F8130000}"/>
    <cellStyle name="Note 2 2 2 2 5 4 2" xfId="9199" xr:uid="{00000000-0005-0000-0000-0000F9130000}"/>
    <cellStyle name="Note 2 2 2 2 5 5" xfId="4766" xr:uid="{00000000-0005-0000-0000-0000FA130000}"/>
    <cellStyle name="Note 2 2 2 2 5 5 2" xfId="10596" xr:uid="{00000000-0005-0000-0000-0000FB130000}"/>
    <cellStyle name="Note 2 2 2 2 5 6" xfId="6261" xr:uid="{00000000-0005-0000-0000-0000FC130000}"/>
    <cellStyle name="Note 2 2 2 2 6" xfId="664" xr:uid="{00000000-0005-0000-0000-0000FD130000}"/>
    <cellStyle name="Note 2 2 2 2 6 2" xfId="1395" xr:uid="{00000000-0005-0000-0000-0000FE130000}"/>
    <cellStyle name="Note 2 2 2 2 6 2 2" xfId="2911" xr:uid="{00000000-0005-0000-0000-0000FF130000}"/>
    <cellStyle name="Note 2 2 2 2 6 2 2 2" xfId="8741" xr:uid="{00000000-0005-0000-0000-000000140000}"/>
    <cellStyle name="Note 2 2 2 2 6 2 3" xfId="4334" xr:uid="{00000000-0005-0000-0000-000001140000}"/>
    <cellStyle name="Note 2 2 2 2 6 2 3 2" xfId="10164" xr:uid="{00000000-0005-0000-0000-000002140000}"/>
    <cellStyle name="Note 2 2 2 2 6 2 4" xfId="5730" xr:uid="{00000000-0005-0000-0000-000003140000}"/>
    <cellStyle name="Note 2 2 2 2 6 2 4 2" xfId="11560" xr:uid="{00000000-0005-0000-0000-000004140000}"/>
    <cellStyle name="Note 2 2 2 2 6 2 5" xfId="7225" xr:uid="{00000000-0005-0000-0000-000005140000}"/>
    <cellStyle name="Note 2 2 2 2 6 3" xfId="2184" xr:uid="{00000000-0005-0000-0000-000006140000}"/>
    <cellStyle name="Note 2 2 2 2 6 3 2" xfId="8014" xr:uid="{00000000-0005-0000-0000-000007140000}"/>
    <cellStyle name="Note 2 2 2 2 6 4" xfId="3610" xr:uid="{00000000-0005-0000-0000-000008140000}"/>
    <cellStyle name="Note 2 2 2 2 6 4 2" xfId="9440" xr:uid="{00000000-0005-0000-0000-000009140000}"/>
    <cellStyle name="Note 2 2 2 2 6 5" xfId="5006" xr:uid="{00000000-0005-0000-0000-00000A140000}"/>
    <cellStyle name="Note 2 2 2 2 6 5 2" xfId="10836" xr:uid="{00000000-0005-0000-0000-00000B140000}"/>
    <cellStyle name="Note 2 2 2 2 6 6" xfId="6501" xr:uid="{00000000-0005-0000-0000-00000C140000}"/>
    <cellStyle name="Note 2 2 2 2 7" xfId="908" xr:uid="{00000000-0005-0000-0000-00000D140000}"/>
    <cellStyle name="Note 2 2 2 2 7 2" xfId="2428" xr:uid="{00000000-0005-0000-0000-00000E140000}"/>
    <cellStyle name="Note 2 2 2 2 7 2 2" xfId="8258" xr:uid="{00000000-0005-0000-0000-00000F140000}"/>
    <cellStyle name="Note 2 2 2 2 7 3" xfId="3854" xr:uid="{00000000-0005-0000-0000-000010140000}"/>
    <cellStyle name="Note 2 2 2 2 7 3 2" xfId="9684" xr:uid="{00000000-0005-0000-0000-000011140000}"/>
    <cellStyle name="Note 2 2 2 2 7 4" xfId="5250" xr:uid="{00000000-0005-0000-0000-000012140000}"/>
    <cellStyle name="Note 2 2 2 2 7 4 2" xfId="11080" xr:uid="{00000000-0005-0000-0000-000013140000}"/>
    <cellStyle name="Note 2 2 2 2 7 5" xfId="6745" xr:uid="{00000000-0005-0000-0000-000014140000}"/>
    <cellStyle name="Note 2 2 2 2 8" xfId="1682" xr:uid="{00000000-0005-0000-0000-000015140000}"/>
    <cellStyle name="Note 2 2 2 2 8 2" xfId="7512" xr:uid="{00000000-0005-0000-0000-000016140000}"/>
    <cellStyle name="Note 2 2 2 2 9" xfId="1641" xr:uid="{00000000-0005-0000-0000-000017140000}"/>
    <cellStyle name="Note 2 2 2 2 9 2" xfId="7471" xr:uid="{00000000-0005-0000-0000-000018140000}"/>
    <cellStyle name="Note 2 2 2 3" xfId="160" xr:uid="{00000000-0005-0000-0000-000019140000}"/>
    <cellStyle name="Note 2 2 2 3 10" xfId="6040" xr:uid="{00000000-0005-0000-0000-00001A140000}"/>
    <cellStyle name="Note 2 2 2 3 2" xfId="241" xr:uid="{00000000-0005-0000-0000-00001B140000}"/>
    <cellStyle name="Note 2 2 2 3 2 2" xfId="520" xr:uid="{00000000-0005-0000-0000-00001C140000}"/>
    <cellStyle name="Note 2 2 2 3 2 2 2" xfId="1255" xr:uid="{00000000-0005-0000-0000-00001D140000}"/>
    <cellStyle name="Note 2 2 2 3 2 2 2 2" xfId="2771" xr:uid="{00000000-0005-0000-0000-00001E140000}"/>
    <cellStyle name="Note 2 2 2 3 2 2 2 2 2" xfId="8601" xr:uid="{00000000-0005-0000-0000-00001F140000}"/>
    <cellStyle name="Note 2 2 2 3 2 2 2 3" xfId="4194" xr:uid="{00000000-0005-0000-0000-000020140000}"/>
    <cellStyle name="Note 2 2 2 3 2 2 2 3 2" xfId="10024" xr:uid="{00000000-0005-0000-0000-000021140000}"/>
    <cellStyle name="Note 2 2 2 3 2 2 2 4" xfId="5590" xr:uid="{00000000-0005-0000-0000-000022140000}"/>
    <cellStyle name="Note 2 2 2 3 2 2 2 4 2" xfId="11420" xr:uid="{00000000-0005-0000-0000-000023140000}"/>
    <cellStyle name="Note 2 2 2 3 2 2 2 5" xfId="7085" xr:uid="{00000000-0005-0000-0000-000024140000}"/>
    <cellStyle name="Note 2 2 2 3 2 2 3" xfId="2042" xr:uid="{00000000-0005-0000-0000-000025140000}"/>
    <cellStyle name="Note 2 2 2 3 2 2 3 2" xfId="7872" xr:uid="{00000000-0005-0000-0000-000026140000}"/>
    <cellStyle name="Note 2 2 2 3 2 2 4" xfId="3469" xr:uid="{00000000-0005-0000-0000-000027140000}"/>
    <cellStyle name="Note 2 2 2 3 2 2 4 2" xfId="9299" xr:uid="{00000000-0005-0000-0000-000028140000}"/>
    <cellStyle name="Note 2 2 2 3 2 2 5" xfId="4866" xr:uid="{00000000-0005-0000-0000-000029140000}"/>
    <cellStyle name="Note 2 2 2 3 2 2 5 2" xfId="10696" xr:uid="{00000000-0005-0000-0000-00002A140000}"/>
    <cellStyle name="Note 2 2 2 3 2 2 6" xfId="6361" xr:uid="{00000000-0005-0000-0000-00002B140000}"/>
    <cellStyle name="Note 2 2 2 3 2 3" xfId="764" xr:uid="{00000000-0005-0000-0000-00002C140000}"/>
    <cellStyle name="Note 2 2 2 3 2 3 2" xfId="1495" xr:uid="{00000000-0005-0000-0000-00002D140000}"/>
    <cellStyle name="Note 2 2 2 3 2 3 2 2" xfId="3011" xr:uid="{00000000-0005-0000-0000-00002E140000}"/>
    <cellStyle name="Note 2 2 2 3 2 3 2 2 2" xfId="8841" xr:uid="{00000000-0005-0000-0000-00002F140000}"/>
    <cellStyle name="Note 2 2 2 3 2 3 2 3" xfId="4434" xr:uid="{00000000-0005-0000-0000-000030140000}"/>
    <cellStyle name="Note 2 2 2 3 2 3 2 3 2" xfId="10264" xr:uid="{00000000-0005-0000-0000-000031140000}"/>
    <cellStyle name="Note 2 2 2 3 2 3 2 4" xfId="5830" xr:uid="{00000000-0005-0000-0000-000032140000}"/>
    <cellStyle name="Note 2 2 2 3 2 3 2 4 2" xfId="11660" xr:uid="{00000000-0005-0000-0000-000033140000}"/>
    <cellStyle name="Note 2 2 2 3 2 3 2 5" xfId="7325" xr:uid="{00000000-0005-0000-0000-000034140000}"/>
    <cellStyle name="Note 2 2 2 3 2 3 3" xfId="2284" xr:uid="{00000000-0005-0000-0000-000035140000}"/>
    <cellStyle name="Note 2 2 2 3 2 3 3 2" xfId="8114" xr:uid="{00000000-0005-0000-0000-000036140000}"/>
    <cellStyle name="Note 2 2 2 3 2 3 4" xfId="3710" xr:uid="{00000000-0005-0000-0000-000037140000}"/>
    <cellStyle name="Note 2 2 2 3 2 3 4 2" xfId="9540" xr:uid="{00000000-0005-0000-0000-000038140000}"/>
    <cellStyle name="Note 2 2 2 3 2 3 5" xfId="5106" xr:uid="{00000000-0005-0000-0000-000039140000}"/>
    <cellStyle name="Note 2 2 2 3 2 3 5 2" xfId="10936" xr:uid="{00000000-0005-0000-0000-00003A140000}"/>
    <cellStyle name="Note 2 2 2 3 2 3 6" xfId="6601" xr:uid="{00000000-0005-0000-0000-00003B140000}"/>
    <cellStyle name="Note 2 2 2 3 2 4" xfId="1008" xr:uid="{00000000-0005-0000-0000-00003C140000}"/>
    <cellStyle name="Note 2 2 2 3 2 4 2" xfId="2528" xr:uid="{00000000-0005-0000-0000-00003D140000}"/>
    <cellStyle name="Note 2 2 2 3 2 4 2 2" xfId="8358" xr:uid="{00000000-0005-0000-0000-00003E140000}"/>
    <cellStyle name="Note 2 2 2 3 2 4 3" xfId="3954" xr:uid="{00000000-0005-0000-0000-00003F140000}"/>
    <cellStyle name="Note 2 2 2 3 2 4 3 2" xfId="9784" xr:uid="{00000000-0005-0000-0000-000040140000}"/>
    <cellStyle name="Note 2 2 2 3 2 4 4" xfId="5350" xr:uid="{00000000-0005-0000-0000-000041140000}"/>
    <cellStyle name="Note 2 2 2 3 2 4 4 2" xfId="11180" xr:uid="{00000000-0005-0000-0000-000042140000}"/>
    <cellStyle name="Note 2 2 2 3 2 4 5" xfId="6845" xr:uid="{00000000-0005-0000-0000-000043140000}"/>
    <cellStyle name="Note 2 2 2 3 2 5" xfId="1782" xr:uid="{00000000-0005-0000-0000-000044140000}"/>
    <cellStyle name="Note 2 2 2 3 2 5 2" xfId="7612" xr:uid="{00000000-0005-0000-0000-000045140000}"/>
    <cellStyle name="Note 2 2 2 3 2 6" xfId="3213" xr:uid="{00000000-0005-0000-0000-000046140000}"/>
    <cellStyle name="Note 2 2 2 3 2 6 2" xfId="9043" xr:uid="{00000000-0005-0000-0000-000047140000}"/>
    <cellStyle name="Note 2 2 2 3 2 7" xfId="4625" xr:uid="{00000000-0005-0000-0000-000048140000}"/>
    <cellStyle name="Note 2 2 2 3 2 7 2" xfId="10455" xr:uid="{00000000-0005-0000-0000-000049140000}"/>
    <cellStyle name="Note 2 2 2 3 2 8" xfId="6120" xr:uid="{00000000-0005-0000-0000-00004A140000}"/>
    <cellStyle name="Note 2 2 2 3 3" xfId="321" xr:uid="{00000000-0005-0000-0000-00004B140000}"/>
    <cellStyle name="Note 2 2 2 3 3 2" xfId="600" xr:uid="{00000000-0005-0000-0000-00004C140000}"/>
    <cellStyle name="Note 2 2 2 3 3 2 2" xfId="1335" xr:uid="{00000000-0005-0000-0000-00004D140000}"/>
    <cellStyle name="Note 2 2 2 3 3 2 2 2" xfId="2851" xr:uid="{00000000-0005-0000-0000-00004E140000}"/>
    <cellStyle name="Note 2 2 2 3 3 2 2 2 2" xfId="8681" xr:uid="{00000000-0005-0000-0000-00004F140000}"/>
    <cellStyle name="Note 2 2 2 3 3 2 2 3" xfId="4274" xr:uid="{00000000-0005-0000-0000-000050140000}"/>
    <cellStyle name="Note 2 2 2 3 3 2 2 3 2" xfId="10104" xr:uid="{00000000-0005-0000-0000-000051140000}"/>
    <cellStyle name="Note 2 2 2 3 3 2 2 4" xfId="5670" xr:uid="{00000000-0005-0000-0000-000052140000}"/>
    <cellStyle name="Note 2 2 2 3 3 2 2 4 2" xfId="11500" xr:uid="{00000000-0005-0000-0000-000053140000}"/>
    <cellStyle name="Note 2 2 2 3 3 2 2 5" xfId="7165" xr:uid="{00000000-0005-0000-0000-000054140000}"/>
    <cellStyle name="Note 2 2 2 3 3 2 3" xfId="2122" xr:uid="{00000000-0005-0000-0000-000055140000}"/>
    <cellStyle name="Note 2 2 2 3 3 2 3 2" xfId="7952" xr:uid="{00000000-0005-0000-0000-000056140000}"/>
    <cellStyle name="Note 2 2 2 3 3 2 4" xfId="3549" xr:uid="{00000000-0005-0000-0000-000057140000}"/>
    <cellStyle name="Note 2 2 2 3 3 2 4 2" xfId="9379" xr:uid="{00000000-0005-0000-0000-000058140000}"/>
    <cellStyle name="Note 2 2 2 3 3 2 5" xfId="4946" xr:uid="{00000000-0005-0000-0000-000059140000}"/>
    <cellStyle name="Note 2 2 2 3 3 2 5 2" xfId="10776" xr:uid="{00000000-0005-0000-0000-00005A140000}"/>
    <cellStyle name="Note 2 2 2 3 3 2 6" xfId="6441" xr:uid="{00000000-0005-0000-0000-00005B140000}"/>
    <cellStyle name="Note 2 2 2 3 3 3" xfId="844" xr:uid="{00000000-0005-0000-0000-00005C140000}"/>
    <cellStyle name="Note 2 2 2 3 3 3 2" xfId="1575" xr:uid="{00000000-0005-0000-0000-00005D140000}"/>
    <cellStyle name="Note 2 2 2 3 3 3 2 2" xfId="3091" xr:uid="{00000000-0005-0000-0000-00005E140000}"/>
    <cellStyle name="Note 2 2 2 3 3 3 2 2 2" xfId="8921" xr:uid="{00000000-0005-0000-0000-00005F140000}"/>
    <cellStyle name="Note 2 2 2 3 3 3 2 3" xfId="4514" xr:uid="{00000000-0005-0000-0000-000060140000}"/>
    <cellStyle name="Note 2 2 2 3 3 3 2 3 2" xfId="10344" xr:uid="{00000000-0005-0000-0000-000061140000}"/>
    <cellStyle name="Note 2 2 2 3 3 3 2 4" xfId="5910" xr:uid="{00000000-0005-0000-0000-000062140000}"/>
    <cellStyle name="Note 2 2 2 3 3 3 2 4 2" xfId="11740" xr:uid="{00000000-0005-0000-0000-000063140000}"/>
    <cellStyle name="Note 2 2 2 3 3 3 2 5" xfId="7405" xr:uid="{00000000-0005-0000-0000-000064140000}"/>
    <cellStyle name="Note 2 2 2 3 3 3 3" xfId="2364" xr:uid="{00000000-0005-0000-0000-000065140000}"/>
    <cellStyle name="Note 2 2 2 3 3 3 3 2" xfId="8194" xr:uid="{00000000-0005-0000-0000-000066140000}"/>
    <cellStyle name="Note 2 2 2 3 3 3 4" xfId="3790" xr:uid="{00000000-0005-0000-0000-000067140000}"/>
    <cellStyle name="Note 2 2 2 3 3 3 4 2" xfId="9620" xr:uid="{00000000-0005-0000-0000-000068140000}"/>
    <cellStyle name="Note 2 2 2 3 3 3 5" xfId="5186" xr:uid="{00000000-0005-0000-0000-000069140000}"/>
    <cellStyle name="Note 2 2 2 3 3 3 5 2" xfId="11016" xr:uid="{00000000-0005-0000-0000-00006A140000}"/>
    <cellStyle name="Note 2 2 2 3 3 3 6" xfId="6681" xr:uid="{00000000-0005-0000-0000-00006B140000}"/>
    <cellStyle name="Note 2 2 2 3 3 4" xfId="1088" xr:uid="{00000000-0005-0000-0000-00006C140000}"/>
    <cellStyle name="Note 2 2 2 3 3 4 2" xfId="2608" xr:uid="{00000000-0005-0000-0000-00006D140000}"/>
    <cellStyle name="Note 2 2 2 3 3 4 2 2" xfId="8438" xr:uid="{00000000-0005-0000-0000-00006E140000}"/>
    <cellStyle name="Note 2 2 2 3 3 4 3" xfId="4034" xr:uid="{00000000-0005-0000-0000-00006F140000}"/>
    <cellStyle name="Note 2 2 2 3 3 4 3 2" xfId="9864" xr:uid="{00000000-0005-0000-0000-000070140000}"/>
    <cellStyle name="Note 2 2 2 3 3 4 4" xfId="5430" xr:uid="{00000000-0005-0000-0000-000071140000}"/>
    <cellStyle name="Note 2 2 2 3 3 4 4 2" xfId="11260" xr:uid="{00000000-0005-0000-0000-000072140000}"/>
    <cellStyle name="Note 2 2 2 3 3 4 5" xfId="6925" xr:uid="{00000000-0005-0000-0000-000073140000}"/>
    <cellStyle name="Note 2 2 2 3 3 5" xfId="1862" xr:uid="{00000000-0005-0000-0000-000074140000}"/>
    <cellStyle name="Note 2 2 2 3 3 5 2" xfId="7692" xr:uid="{00000000-0005-0000-0000-000075140000}"/>
    <cellStyle name="Note 2 2 2 3 3 6" xfId="3293" xr:uid="{00000000-0005-0000-0000-000076140000}"/>
    <cellStyle name="Note 2 2 2 3 3 6 2" xfId="9123" xr:uid="{00000000-0005-0000-0000-000077140000}"/>
    <cellStyle name="Note 2 2 2 3 3 7" xfId="4705" xr:uid="{00000000-0005-0000-0000-000078140000}"/>
    <cellStyle name="Note 2 2 2 3 3 7 2" xfId="10535" xr:uid="{00000000-0005-0000-0000-000079140000}"/>
    <cellStyle name="Note 2 2 2 3 3 8" xfId="6200" xr:uid="{00000000-0005-0000-0000-00007A140000}"/>
    <cellStyle name="Note 2 2 2 3 4" xfId="440" xr:uid="{00000000-0005-0000-0000-00007B140000}"/>
    <cellStyle name="Note 2 2 2 3 4 2" xfId="1175" xr:uid="{00000000-0005-0000-0000-00007C140000}"/>
    <cellStyle name="Note 2 2 2 3 4 2 2" xfId="2691" xr:uid="{00000000-0005-0000-0000-00007D140000}"/>
    <cellStyle name="Note 2 2 2 3 4 2 2 2" xfId="8521" xr:uid="{00000000-0005-0000-0000-00007E140000}"/>
    <cellStyle name="Note 2 2 2 3 4 2 3" xfId="4114" xr:uid="{00000000-0005-0000-0000-00007F140000}"/>
    <cellStyle name="Note 2 2 2 3 4 2 3 2" xfId="9944" xr:uid="{00000000-0005-0000-0000-000080140000}"/>
    <cellStyle name="Note 2 2 2 3 4 2 4" xfId="5510" xr:uid="{00000000-0005-0000-0000-000081140000}"/>
    <cellStyle name="Note 2 2 2 3 4 2 4 2" xfId="11340" xr:uid="{00000000-0005-0000-0000-000082140000}"/>
    <cellStyle name="Note 2 2 2 3 4 2 5" xfId="7005" xr:uid="{00000000-0005-0000-0000-000083140000}"/>
    <cellStyle name="Note 2 2 2 3 4 3" xfId="1962" xr:uid="{00000000-0005-0000-0000-000084140000}"/>
    <cellStyle name="Note 2 2 2 3 4 3 2" xfId="7792" xr:uid="{00000000-0005-0000-0000-000085140000}"/>
    <cellStyle name="Note 2 2 2 3 4 4" xfId="3389" xr:uid="{00000000-0005-0000-0000-000086140000}"/>
    <cellStyle name="Note 2 2 2 3 4 4 2" xfId="9219" xr:uid="{00000000-0005-0000-0000-000087140000}"/>
    <cellStyle name="Note 2 2 2 3 4 5" xfId="4786" xr:uid="{00000000-0005-0000-0000-000088140000}"/>
    <cellStyle name="Note 2 2 2 3 4 5 2" xfId="10616" xr:uid="{00000000-0005-0000-0000-000089140000}"/>
    <cellStyle name="Note 2 2 2 3 4 6" xfId="6281" xr:uid="{00000000-0005-0000-0000-00008A140000}"/>
    <cellStyle name="Note 2 2 2 3 5" xfId="684" xr:uid="{00000000-0005-0000-0000-00008B140000}"/>
    <cellStyle name="Note 2 2 2 3 5 2" xfId="1415" xr:uid="{00000000-0005-0000-0000-00008C140000}"/>
    <cellStyle name="Note 2 2 2 3 5 2 2" xfId="2931" xr:uid="{00000000-0005-0000-0000-00008D140000}"/>
    <cellStyle name="Note 2 2 2 3 5 2 2 2" xfId="8761" xr:uid="{00000000-0005-0000-0000-00008E140000}"/>
    <cellStyle name="Note 2 2 2 3 5 2 3" xfId="4354" xr:uid="{00000000-0005-0000-0000-00008F140000}"/>
    <cellStyle name="Note 2 2 2 3 5 2 3 2" xfId="10184" xr:uid="{00000000-0005-0000-0000-000090140000}"/>
    <cellStyle name="Note 2 2 2 3 5 2 4" xfId="5750" xr:uid="{00000000-0005-0000-0000-000091140000}"/>
    <cellStyle name="Note 2 2 2 3 5 2 4 2" xfId="11580" xr:uid="{00000000-0005-0000-0000-000092140000}"/>
    <cellStyle name="Note 2 2 2 3 5 2 5" xfId="7245" xr:uid="{00000000-0005-0000-0000-000093140000}"/>
    <cellStyle name="Note 2 2 2 3 5 3" xfId="2204" xr:uid="{00000000-0005-0000-0000-000094140000}"/>
    <cellStyle name="Note 2 2 2 3 5 3 2" xfId="8034" xr:uid="{00000000-0005-0000-0000-000095140000}"/>
    <cellStyle name="Note 2 2 2 3 5 4" xfId="3630" xr:uid="{00000000-0005-0000-0000-000096140000}"/>
    <cellStyle name="Note 2 2 2 3 5 4 2" xfId="9460" xr:uid="{00000000-0005-0000-0000-000097140000}"/>
    <cellStyle name="Note 2 2 2 3 5 5" xfId="5026" xr:uid="{00000000-0005-0000-0000-000098140000}"/>
    <cellStyle name="Note 2 2 2 3 5 5 2" xfId="10856" xr:uid="{00000000-0005-0000-0000-000099140000}"/>
    <cellStyle name="Note 2 2 2 3 5 6" xfId="6521" xr:uid="{00000000-0005-0000-0000-00009A140000}"/>
    <cellStyle name="Note 2 2 2 3 6" xfId="928" xr:uid="{00000000-0005-0000-0000-00009B140000}"/>
    <cellStyle name="Note 2 2 2 3 6 2" xfId="2448" xr:uid="{00000000-0005-0000-0000-00009C140000}"/>
    <cellStyle name="Note 2 2 2 3 6 2 2" xfId="8278" xr:uid="{00000000-0005-0000-0000-00009D140000}"/>
    <cellStyle name="Note 2 2 2 3 6 3" xfId="3874" xr:uid="{00000000-0005-0000-0000-00009E140000}"/>
    <cellStyle name="Note 2 2 2 3 6 3 2" xfId="9704" xr:uid="{00000000-0005-0000-0000-00009F140000}"/>
    <cellStyle name="Note 2 2 2 3 6 4" xfId="5270" xr:uid="{00000000-0005-0000-0000-0000A0140000}"/>
    <cellStyle name="Note 2 2 2 3 6 4 2" xfId="11100" xr:uid="{00000000-0005-0000-0000-0000A1140000}"/>
    <cellStyle name="Note 2 2 2 3 6 5" xfId="6765" xr:uid="{00000000-0005-0000-0000-0000A2140000}"/>
    <cellStyle name="Note 2 2 2 3 7" xfId="1702" xr:uid="{00000000-0005-0000-0000-0000A3140000}"/>
    <cellStyle name="Note 2 2 2 3 7 2" xfId="7532" xr:uid="{00000000-0005-0000-0000-0000A4140000}"/>
    <cellStyle name="Note 2 2 2 3 8" xfId="3133" xr:uid="{00000000-0005-0000-0000-0000A5140000}"/>
    <cellStyle name="Note 2 2 2 3 8 2" xfId="8963" xr:uid="{00000000-0005-0000-0000-0000A6140000}"/>
    <cellStyle name="Note 2 2 2 3 9" xfId="1611" xr:uid="{00000000-0005-0000-0000-0000A7140000}"/>
    <cellStyle name="Note 2 2 2 3 9 2" xfId="7441" xr:uid="{00000000-0005-0000-0000-0000A8140000}"/>
    <cellStyle name="Note 2 2 2 4" xfId="200" xr:uid="{00000000-0005-0000-0000-0000A9140000}"/>
    <cellStyle name="Note 2 2 2 4 2" xfId="480" xr:uid="{00000000-0005-0000-0000-0000AA140000}"/>
    <cellStyle name="Note 2 2 2 4 2 2" xfId="1215" xr:uid="{00000000-0005-0000-0000-0000AB140000}"/>
    <cellStyle name="Note 2 2 2 4 2 2 2" xfId="2731" xr:uid="{00000000-0005-0000-0000-0000AC140000}"/>
    <cellStyle name="Note 2 2 2 4 2 2 2 2" xfId="8561" xr:uid="{00000000-0005-0000-0000-0000AD140000}"/>
    <cellStyle name="Note 2 2 2 4 2 2 3" xfId="4154" xr:uid="{00000000-0005-0000-0000-0000AE140000}"/>
    <cellStyle name="Note 2 2 2 4 2 2 3 2" xfId="9984" xr:uid="{00000000-0005-0000-0000-0000AF140000}"/>
    <cellStyle name="Note 2 2 2 4 2 2 4" xfId="5550" xr:uid="{00000000-0005-0000-0000-0000B0140000}"/>
    <cellStyle name="Note 2 2 2 4 2 2 4 2" xfId="11380" xr:uid="{00000000-0005-0000-0000-0000B1140000}"/>
    <cellStyle name="Note 2 2 2 4 2 2 5" xfId="7045" xr:uid="{00000000-0005-0000-0000-0000B2140000}"/>
    <cellStyle name="Note 2 2 2 4 2 3" xfId="2002" xr:uid="{00000000-0005-0000-0000-0000B3140000}"/>
    <cellStyle name="Note 2 2 2 4 2 3 2" xfId="7832" xr:uid="{00000000-0005-0000-0000-0000B4140000}"/>
    <cellStyle name="Note 2 2 2 4 2 4" xfId="3429" xr:uid="{00000000-0005-0000-0000-0000B5140000}"/>
    <cellStyle name="Note 2 2 2 4 2 4 2" xfId="9259" xr:uid="{00000000-0005-0000-0000-0000B6140000}"/>
    <cellStyle name="Note 2 2 2 4 2 5" xfId="4826" xr:uid="{00000000-0005-0000-0000-0000B7140000}"/>
    <cellStyle name="Note 2 2 2 4 2 5 2" xfId="10656" xr:uid="{00000000-0005-0000-0000-0000B8140000}"/>
    <cellStyle name="Note 2 2 2 4 2 6" xfId="6321" xr:uid="{00000000-0005-0000-0000-0000B9140000}"/>
    <cellStyle name="Note 2 2 2 4 3" xfId="724" xr:uid="{00000000-0005-0000-0000-0000BA140000}"/>
    <cellStyle name="Note 2 2 2 4 3 2" xfId="1455" xr:uid="{00000000-0005-0000-0000-0000BB140000}"/>
    <cellStyle name="Note 2 2 2 4 3 2 2" xfId="2971" xr:uid="{00000000-0005-0000-0000-0000BC140000}"/>
    <cellStyle name="Note 2 2 2 4 3 2 2 2" xfId="8801" xr:uid="{00000000-0005-0000-0000-0000BD140000}"/>
    <cellStyle name="Note 2 2 2 4 3 2 3" xfId="4394" xr:uid="{00000000-0005-0000-0000-0000BE140000}"/>
    <cellStyle name="Note 2 2 2 4 3 2 3 2" xfId="10224" xr:uid="{00000000-0005-0000-0000-0000BF140000}"/>
    <cellStyle name="Note 2 2 2 4 3 2 4" xfId="5790" xr:uid="{00000000-0005-0000-0000-0000C0140000}"/>
    <cellStyle name="Note 2 2 2 4 3 2 4 2" xfId="11620" xr:uid="{00000000-0005-0000-0000-0000C1140000}"/>
    <cellStyle name="Note 2 2 2 4 3 2 5" xfId="7285" xr:uid="{00000000-0005-0000-0000-0000C2140000}"/>
    <cellStyle name="Note 2 2 2 4 3 3" xfId="2244" xr:uid="{00000000-0005-0000-0000-0000C3140000}"/>
    <cellStyle name="Note 2 2 2 4 3 3 2" xfId="8074" xr:uid="{00000000-0005-0000-0000-0000C4140000}"/>
    <cellStyle name="Note 2 2 2 4 3 4" xfId="3670" xr:uid="{00000000-0005-0000-0000-0000C5140000}"/>
    <cellStyle name="Note 2 2 2 4 3 4 2" xfId="9500" xr:uid="{00000000-0005-0000-0000-0000C6140000}"/>
    <cellStyle name="Note 2 2 2 4 3 5" xfId="5066" xr:uid="{00000000-0005-0000-0000-0000C7140000}"/>
    <cellStyle name="Note 2 2 2 4 3 5 2" xfId="10896" xr:uid="{00000000-0005-0000-0000-0000C8140000}"/>
    <cellStyle name="Note 2 2 2 4 3 6" xfId="6561" xr:uid="{00000000-0005-0000-0000-0000C9140000}"/>
    <cellStyle name="Note 2 2 2 4 4" xfId="968" xr:uid="{00000000-0005-0000-0000-0000CA140000}"/>
    <cellStyle name="Note 2 2 2 4 4 2" xfId="2488" xr:uid="{00000000-0005-0000-0000-0000CB140000}"/>
    <cellStyle name="Note 2 2 2 4 4 2 2" xfId="8318" xr:uid="{00000000-0005-0000-0000-0000CC140000}"/>
    <cellStyle name="Note 2 2 2 4 4 3" xfId="3914" xr:uid="{00000000-0005-0000-0000-0000CD140000}"/>
    <cellStyle name="Note 2 2 2 4 4 3 2" xfId="9744" xr:uid="{00000000-0005-0000-0000-0000CE140000}"/>
    <cellStyle name="Note 2 2 2 4 4 4" xfId="5310" xr:uid="{00000000-0005-0000-0000-0000CF140000}"/>
    <cellStyle name="Note 2 2 2 4 4 4 2" xfId="11140" xr:uid="{00000000-0005-0000-0000-0000D0140000}"/>
    <cellStyle name="Note 2 2 2 4 4 5" xfId="6805" xr:uid="{00000000-0005-0000-0000-0000D1140000}"/>
    <cellStyle name="Note 2 2 2 4 5" xfId="1742" xr:uid="{00000000-0005-0000-0000-0000D2140000}"/>
    <cellStyle name="Note 2 2 2 4 5 2" xfId="7572" xr:uid="{00000000-0005-0000-0000-0000D3140000}"/>
    <cellStyle name="Note 2 2 2 4 6" xfId="3173" xr:uid="{00000000-0005-0000-0000-0000D4140000}"/>
    <cellStyle name="Note 2 2 2 4 6 2" xfId="9003" xr:uid="{00000000-0005-0000-0000-0000D5140000}"/>
    <cellStyle name="Note 2 2 2 4 7" xfId="4585" xr:uid="{00000000-0005-0000-0000-0000D6140000}"/>
    <cellStyle name="Note 2 2 2 4 7 2" xfId="10415" xr:uid="{00000000-0005-0000-0000-0000D7140000}"/>
    <cellStyle name="Note 2 2 2 4 8" xfId="6080" xr:uid="{00000000-0005-0000-0000-0000D8140000}"/>
    <cellStyle name="Note 2 2 2 5" xfId="281" xr:uid="{00000000-0005-0000-0000-0000D9140000}"/>
    <cellStyle name="Note 2 2 2 5 2" xfId="560" xr:uid="{00000000-0005-0000-0000-0000DA140000}"/>
    <cellStyle name="Note 2 2 2 5 2 2" xfId="1295" xr:uid="{00000000-0005-0000-0000-0000DB140000}"/>
    <cellStyle name="Note 2 2 2 5 2 2 2" xfId="2811" xr:uid="{00000000-0005-0000-0000-0000DC140000}"/>
    <cellStyle name="Note 2 2 2 5 2 2 2 2" xfId="8641" xr:uid="{00000000-0005-0000-0000-0000DD140000}"/>
    <cellStyle name="Note 2 2 2 5 2 2 3" xfId="4234" xr:uid="{00000000-0005-0000-0000-0000DE140000}"/>
    <cellStyle name="Note 2 2 2 5 2 2 3 2" xfId="10064" xr:uid="{00000000-0005-0000-0000-0000DF140000}"/>
    <cellStyle name="Note 2 2 2 5 2 2 4" xfId="5630" xr:uid="{00000000-0005-0000-0000-0000E0140000}"/>
    <cellStyle name="Note 2 2 2 5 2 2 4 2" xfId="11460" xr:uid="{00000000-0005-0000-0000-0000E1140000}"/>
    <cellStyle name="Note 2 2 2 5 2 2 5" xfId="7125" xr:uid="{00000000-0005-0000-0000-0000E2140000}"/>
    <cellStyle name="Note 2 2 2 5 2 3" xfId="2082" xr:uid="{00000000-0005-0000-0000-0000E3140000}"/>
    <cellStyle name="Note 2 2 2 5 2 3 2" xfId="7912" xr:uid="{00000000-0005-0000-0000-0000E4140000}"/>
    <cellStyle name="Note 2 2 2 5 2 4" xfId="3509" xr:uid="{00000000-0005-0000-0000-0000E5140000}"/>
    <cellStyle name="Note 2 2 2 5 2 4 2" xfId="9339" xr:uid="{00000000-0005-0000-0000-0000E6140000}"/>
    <cellStyle name="Note 2 2 2 5 2 5" xfId="4906" xr:uid="{00000000-0005-0000-0000-0000E7140000}"/>
    <cellStyle name="Note 2 2 2 5 2 5 2" xfId="10736" xr:uid="{00000000-0005-0000-0000-0000E8140000}"/>
    <cellStyle name="Note 2 2 2 5 2 6" xfId="6401" xr:uid="{00000000-0005-0000-0000-0000E9140000}"/>
    <cellStyle name="Note 2 2 2 5 3" xfId="804" xr:uid="{00000000-0005-0000-0000-0000EA140000}"/>
    <cellStyle name="Note 2 2 2 5 3 2" xfId="1535" xr:uid="{00000000-0005-0000-0000-0000EB140000}"/>
    <cellStyle name="Note 2 2 2 5 3 2 2" xfId="3051" xr:uid="{00000000-0005-0000-0000-0000EC140000}"/>
    <cellStyle name="Note 2 2 2 5 3 2 2 2" xfId="8881" xr:uid="{00000000-0005-0000-0000-0000ED140000}"/>
    <cellStyle name="Note 2 2 2 5 3 2 3" xfId="4474" xr:uid="{00000000-0005-0000-0000-0000EE140000}"/>
    <cellStyle name="Note 2 2 2 5 3 2 3 2" xfId="10304" xr:uid="{00000000-0005-0000-0000-0000EF140000}"/>
    <cellStyle name="Note 2 2 2 5 3 2 4" xfId="5870" xr:uid="{00000000-0005-0000-0000-0000F0140000}"/>
    <cellStyle name="Note 2 2 2 5 3 2 4 2" xfId="11700" xr:uid="{00000000-0005-0000-0000-0000F1140000}"/>
    <cellStyle name="Note 2 2 2 5 3 2 5" xfId="7365" xr:uid="{00000000-0005-0000-0000-0000F2140000}"/>
    <cellStyle name="Note 2 2 2 5 3 3" xfId="2324" xr:uid="{00000000-0005-0000-0000-0000F3140000}"/>
    <cellStyle name="Note 2 2 2 5 3 3 2" xfId="8154" xr:uid="{00000000-0005-0000-0000-0000F4140000}"/>
    <cellStyle name="Note 2 2 2 5 3 4" xfId="3750" xr:uid="{00000000-0005-0000-0000-0000F5140000}"/>
    <cellStyle name="Note 2 2 2 5 3 4 2" xfId="9580" xr:uid="{00000000-0005-0000-0000-0000F6140000}"/>
    <cellStyle name="Note 2 2 2 5 3 5" xfId="5146" xr:uid="{00000000-0005-0000-0000-0000F7140000}"/>
    <cellStyle name="Note 2 2 2 5 3 5 2" xfId="10976" xr:uid="{00000000-0005-0000-0000-0000F8140000}"/>
    <cellStyle name="Note 2 2 2 5 3 6" xfId="6641" xr:uid="{00000000-0005-0000-0000-0000F9140000}"/>
    <cellStyle name="Note 2 2 2 5 4" xfId="1048" xr:uid="{00000000-0005-0000-0000-0000FA140000}"/>
    <cellStyle name="Note 2 2 2 5 4 2" xfId="2568" xr:uid="{00000000-0005-0000-0000-0000FB140000}"/>
    <cellStyle name="Note 2 2 2 5 4 2 2" xfId="8398" xr:uid="{00000000-0005-0000-0000-0000FC140000}"/>
    <cellStyle name="Note 2 2 2 5 4 3" xfId="3994" xr:uid="{00000000-0005-0000-0000-0000FD140000}"/>
    <cellStyle name="Note 2 2 2 5 4 3 2" xfId="9824" xr:uid="{00000000-0005-0000-0000-0000FE140000}"/>
    <cellStyle name="Note 2 2 2 5 4 4" xfId="5390" xr:uid="{00000000-0005-0000-0000-0000FF140000}"/>
    <cellStyle name="Note 2 2 2 5 4 4 2" xfId="11220" xr:uid="{00000000-0005-0000-0000-000000150000}"/>
    <cellStyle name="Note 2 2 2 5 4 5" xfId="6885" xr:uid="{00000000-0005-0000-0000-000001150000}"/>
    <cellStyle name="Note 2 2 2 5 5" xfId="1822" xr:uid="{00000000-0005-0000-0000-000002150000}"/>
    <cellStyle name="Note 2 2 2 5 5 2" xfId="7652" xr:uid="{00000000-0005-0000-0000-000003150000}"/>
    <cellStyle name="Note 2 2 2 5 6" xfId="3253" xr:uid="{00000000-0005-0000-0000-000004150000}"/>
    <cellStyle name="Note 2 2 2 5 6 2" xfId="9083" xr:uid="{00000000-0005-0000-0000-000005150000}"/>
    <cellStyle name="Note 2 2 2 5 7" xfId="4665" xr:uid="{00000000-0005-0000-0000-000006150000}"/>
    <cellStyle name="Note 2 2 2 5 7 2" xfId="10495" xr:uid="{00000000-0005-0000-0000-000007150000}"/>
    <cellStyle name="Note 2 2 2 5 8" xfId="6160" xr:uid="{00000000-0005-0000-0000-000008150000}"/>
    <cellStyle name="Note 2 2 2 6" xfId="400" xr:uid="{00000000-0005-0000-0000-000009150000}"/>
    <cellStyle name="Note 2 2 2 6 2" xfId="1135" xr:uid="{00000000-0005-0000-0000-00000A150000}"/>
    <cellStyle name="Note 2 2 2 6 2 2" xfId="2651" xr:uid="{00000000-0005-0000-0000-00000B150000}"/>
    <cellStyle name="Note 2 2 2 6 2 2 2" xfId="8481" xr:uid="{00000000-0005-0000-0000-00000C150000}"/>
    <cellStyle name="Note 2 2 2 6 2 3" xfId="4074" xr:uid="{00000000-0005-0000-0000-00000D150000}"/>
    <cellStyle name="Note 2 2 2 6 2 3 2" xfId="9904" xr:uid="{00000000-0005-0000-0000-00000E150000}"/>
    <cellStyle name="Note 2 2 2 6 2 4" xfId="5470" xr:uid="{00000000-0005-0000-0000-00000F150000}"/>
    <cellStyle name="Note 2 2 2 6 2 4 2" xfId="11300" xr:uid="{00000000-0005-0000-0000-000010150000}"/>
    <cellStyle name="Note 2 2 2 6 2 5" xfId="6965" xr:uid="{00000000-0005-0000-0000-000011150000}"/>
    <cellStyle name="Note 2 2 2 6 3" xfId="1922" xr:uid="{00000000-0005-0000-0000-000012150000}"/>
    <cellStyle name="Note 2 2 2 6 3 2" xfId="7752" xr:uid="{00000000-0005-0000-0000-000013150000}"/>
    <cellStyle name="Note 2 2 2 6 4" xfId="3349" xr:uid="{00000000-0005-0000-0000-000014150000}"/>
    <cellStyle name="Note 2 2 2 6 4 2" xfId="9179" xr:uid="{00000000-0005-0000-0000-000015150000}"/>
    <cellStyle name="Note 2 2 2 6 5" xfId="4746" xr:uid="{00000000-0005-0000-0000-000016150000}"/>
    <cellStyle name="Note 2 2 2 6 5 2" xfId="10576" xr:uid="{00000000-0005-0000-0000-000017150000}"/>
    <cellStyle name="Note 2 2 2 6 6" xfId="6241" xr:uid="{00000000-0005-0000-0000-000018150000}"/>
    <cellStyle name="Note 2 2 2 7" xfId="644" xr:uid="{00000000-0005-0000-0000-000019150000}"/>
    <cellStyle name="Note 2 2 2 7 2" xfId="1375" xr:uid="{00000000-0005-0000-0000-00001A150000}"/>
    <cellStyle name="Note 2 2 2 7 2 2" xfId="2891" xr:uid="{00000000-0005-0000-0000-00001B150000}"/>
    <cellStyle name="Note 2 2 2 7 2 2 2" xfId="8721" xr:uid="{00000000-0005-0000-0000-00001C150000}"/>
    <cellStyle name="Note 2 2 2 7 2 3" xfId="4314" xr:uid="{00000000-0005-0000-0000-00001D150000}"/>
    <cellStyle name="Note 2 2 2 7 2 3 2" xfId="10144" xr:uid="{00000000-0005-0000-0000-00001E150000}"/>
    <cellStyle name="Note 2 2 2 7 2 4" xfId="5710" xr:uid="{00000000-0005-0000-0000-00001F150000}"/>
    <cellStyle name="Note 2 2 2 7 2 4 2" xfId="11540" xr:uid="{00000000-0005-0000-0000-000020150000}"/>
    <cellStyle name="Note 2 2 2 7 2 5" xfId="7205" xr:uid="{00000000-0005-0000-0000-000021150000}"/>
    <cellStyle name="Note 2 2 2 7 3" xfId="2164" xr:uid="{00000000-0005-0000-0000-000022150000}"/>
    <cellStyle name="Note 2 2 2 7 3 2" xfId="7994" xr:uid="{00000000-0005-0000-0000-000023150000}"/>
    <cellStyle name="Note 2 2 2 7 4" xfId="3590" xr:uid="{00000000-0005-0000-0000-000024150000}"/>
    <cellStyle name="Note 2 2 2 7 4 2" xfId="9420" xr:uid="{00000000-0005-0000-0000-000025150000}"/>
    <cellStyle name="Note 2 2 2 7 5" xfId="4986" xr:uid="{00000000-0005-0000-0000-000026150000}"/>
    <cellStyle name="Note 2 2 2 7 5 2" xfId="10816" xr:uid="{00000000-0005-0000-0000-000027150000}"/>
    <cellStyle name="Note 2 2 2 7 6" xfId="6481" xr:uid="{00000000-0005-0000-0000-000028150000}"/>
    <cellStyle name="Note 2 2 2 8" xfId="888" xr:uid="{00000000-0005-0000-0000-000029150000}"/>
    <cellStyle name="Note 2 2 2 8 2" xfId="2408" xr:uid="{00000000-0005-0000-0000-00002A150000}"/>
    <cellStyle name="Note 2 2 2 8 2 2" xfId="8238" xr:uid="{00000000-0005-0000-0000-00002B150000}"/>
    <cellStyle name="Note 2 2 2 8 3" xfId="3834" xr:uid="{00000000-0005-0000-0000-00002C150000}"/>
    <cellStyle name="Note 2 2 2 8 3 2" xfId="9664" xr:uid="{00000000-0005-0000-0000-00002D150000}"/>
    <cellStyle name="Note 2 2 2 8 4" xfId="5230" xr:uid="{00000000-0005-0000-0000-00002E150000}"/>
    <cellStyle name="Note 2 2 2 8 4 2" xfId="11060" xr:uid="{00000000-0005-0000-0000-00002F150000}"/>
    <cellStyle name="Note 2 2 2 8 5" xfId="6725" xr:uid="{00000000-0005-0000-0000-000030150000}"/>
    <cellStyle name="Note 2 2 2 9" xfId="1662" xr:uid="{00000000-0005-0000-0000-000031150000}"/>
    <cellStyle name="Note 2 2 2 9 2" xfId="7492" xr:uid="{00000000-0005-0000-0000-000032150000}"/>
    <cellStyle name="Note 2 2 3" xfId="124" xr:uid="{00000000-0005-0000-0000-000033150000}"/>
    <cellStyle name="Note 2 2 3 10" xfId="1629" xr:uid="{00000000-0005-0000-0000-000034150000}"/>
    <cellStyle name="Note 2 2 3 10 2" xfId="7459" xr:uid="{00000000-0005-0000-0000-000035150000}"/>
    <cellStyle name="Note 2 2 3 11" xfId="3582" xr:uid="{00000000-0005-0000-0000-000036150000}"/>
    <cellStyle name="Note 2 2 3 11 2" xfId="9412" xr:uid="{00000000-0005-0000-0000-000037150000}"/>
    <cellStyle name="Note 2 2 3 12" xfId="6005" xr:uid="{00000000-0005-0000-0000-000038150000}"/>
    <cellStyle name="Note 2 2 3 2" xfId="145" xr:uid="{00000000-0005-0000-0000-000039150000}"/>
    <cellStyle name="Note 2 2 3 2 10" xfId="2641" xr:uid="{00000000-0005-0000-0000-00003A150000}"/>
    <cellStyle name="Note 2 2 3 2 10 2" xfId="8471" xr:uid="{00000000-0005-0000-0000-00003B150000}"/>
    <cellStyle name="Note 2 2 3 2 11" xfId="6025" xr:uid="{00000000-0005-0000-0000-00003C150000}"/>
    <cellStyle name="Note 2 2 3 2 2" xfId="185" xr:uid="{00000000-0005-0000-0000-00003D150000}"/>
    <cellStyle name="Note 2 2 3 2 2 10" xfId="6065" xr:uid="{00000000-0005-0000-0000-00003E150000}"/>
    <cellStyle name="Note 2 2 3 2 2 2" xfId="266" xr:uid="{00000000-0005-0000-0000-00003F150000}"/>
    <cellStyle name="Note 2 2 3 2 2 2 2" xfId="545" xr:uid="{00000000-0005-0000-0000-000040150000}"/>
    <cellStyle name="Note 2 2 3 2 2 2 2 2" xfId="1280" xr:uid="{00000000-0005-0000-0000-000041150000}"/>
    <cellStyle name="Note 2 2 3 2 2 2 2 2 2" xfId="2796" xr:uid="{00000000-0005-0000-0000-000042150000}"/>
    <cellStyle name="Note 2 2 3 2 2 2 2 2 2 2" xfId="8626" xr:uid="{00000000-0005-0000-0000-000043150000}"/>
    <cellStyle name="Note 2 2 3 2 2 2 2 2 3" xfId="4219" xr:uid="{00000000-0005-0000-0000-000044150000}"/>
    <cellStyle name="Note 2 2 3 2 2 2 2 2 3 2" xfId="10049" xr:uid="{00000000-0005-0000-0000-000045150000}"/>
    <cellStyle name="Note 2 2 3 2 2 2 2 2 4" xfId="5615" xr:uid="{00000000-0005-0000-0000-000046150000}"/>
    <cellStyle name="Note 2 2 3 2 2 2 2 2 4 2" xfId="11445" xr:uid="{00000000-0005-0000-0000-000047150000}"/>
    <cellStyle name="Note 2 2 3 2 2 2 2 2 5" xfId="7110" xr:uid="{00000000-0005-0000-0000-000048150000}"/>
    <cellStyle name="Note 2 2 3 2 2 2 2 3" xfId="2067" xr:uid="{00000000-0005-0000-0000-000049150000}"/>
    <cellStyle name="Note 2 2 3 2 2 2 2 3 2" xfId="7897" xr:uid="{00000000-0005-0000-0000-00004A150000}"/>
    <cellStyle name="Note 2 2 3 2 2 2 2 4" xfId="3494" xr:uid="{00000000-0005-0000-0000-00004B150000}"/>
    <cellStyle name="Note 2 2 3 2 2 2 2 4 2" xfId="9324" xr:uid="{00000000-0005-0000-0000-00004C150000}"/>
    <cellStyle name="Note 2 2 3 2 2 2 2 5" xfId="4891" xr:uid="{00000000-0005-0000-0000-00004D150000}"/>
    <cellStyle name="Note 2 2 3 2 2 2 2 5 2" xfId="10721" xr:uid="{00000000-0005-0000-0000-00004E150000}"/>
    <cellStyle name="Note 2 2 3 2 2 2 2 6" xfId="6386" xr:uid="{00000000-0005-0000-0000-00004F150000}"/>
    <cellStyle name="Note 2 2 3 2 2 2 3" xfId="789" xr:uid="{00000000-0005-0000-0000-000050150000}"/>
    <cellStyle name="Note 2 2 3 2 2 2 3 2" xfId="1520" xr:uid="{00000000-0005-0000-0000-000051150000}"/>
    <cellStyle name="Note 2 2 3 2 2 2 3 2 2" xfId="3036" xr:uid="{00000000-0005-0000-0000-000052150000}"/>
    <cellStyle name="Note 2 2 3 2 2 2 3 2 2 2" xfId="8866" xr:uid="{00000000-0005-0000-0000-000053150000}"/>
    <cellStyle name="Note 2 2 3 2 2 2 3 2 3" xfId="4459" xr:uid="{00000000-0005-0000-0000-000054150000}"/>
    <cellStyle name="Note 2 2 3 2 2 2 3 2 3 2" xfId="10289" xr:uid="{00000000-0005-0000-0000-000055150000}"/>
    <cellStyle name="Note 2 2 3 2 2 2 3 2 4" xfId="5855" xr:uid="{00000000-0005-0000-0000-000056150000}"/>
    <cellStyle name="Note 2 2 3 2 2 2 3 2 4 2" xfId="11685" xr:uid="{00000000-0005-0000-0000-000057150000}"/>
    <cellStyle name="Note 2 2 3 2 2 2 3 2 5" xfId="7350" xr:uid="{00000000-0005-0000-0000-000058150000}"/>
    <cellStyle name="Note 2 2 3 2 2 2 3 3" xfId="2309" xr:uid="{00000000-0005-0000-0000-000059150000}"/>
    <cellStyle name="Note 2 2 3 2 2 2 3 3 2" xfId="8139" xr:uid="{00000000-0005-0000-0000-00005A150000}"/>
    <cellStyle name="Note 2 2 3 2 2 2 3 4" xfId="3735" xr:uid="{00000000-0005-0000-0000-00005B150000}"/>
    <cellStyle name="Note 2 2 3 2 2 2 3 4 2" xfId="9565" xr:uid="{00000000-0005-0000-0000-00005C150000}"/>
    <cellStyle name="Note 2 2 3 2 2 2 3 5" xfId="5131" xr:uid="{00000000-0005-0000-0000-00005D150000}"/>
    <cellStyle name="Note 2 2 3 2 2 2 3 5 2" xfId="10961" xr:uid="{00000000-0005-0000-0000-00005E150000}"/>
    <cellStyle name="Note 2 2 3 2 2 2 3 6" xfId="6626" xr:uid="{00000000-0005-0000-0000-00005F150000}"/>
    <cellStyle name="Note 2 2 3 2 2 2 4" xfId="1033" xr:uid="{00000000-0005-0000-0000-000060150000}"/>
    <cellStyle name="Note 2 2 3 2 2 2 4 2" xfId="2553" xr:uid="{00000000-0005-0000-0000-000061150000}"/>
    <cellStyle name="Note 2 2 3 2 2 2 4 2 2" xfId="8383" xr:uid="{00000000-0005-0000-0000-000062150000}"/>
    <cellStyle name="Note 2 2 3 2 2 2 4 3" xfId="3979" xr:uid="{00000000-0005-0000-0000-000063150000}"/>
    <cellStyle name="Note 2 2 3 2 2 2 4 3 2" xfId="9809" xr:uid="{00000000-0005-0000-0000-000064150000}"/>
    <cellStyle name="Note 2 2 3 2 2 2 4 4" xfId="5375" xr:uid="{00000000-0005-0000-0000-000065150000}"/>
    <cellStyle name="Note 2 2 3 2 2 2 4 4 2" xfId="11205" xr:uid="{00000000-0005-0000-0000-000066150000}"/>
    <cellStyle name="Note 2 2 3 2 2 2 4 5" xfId="6870" xr:uid="{00000000-0005-0000-0000-000067150000}"/>
    <cellStyle name="Note 2 2 3 2 2 2 5" xfId="1807" xr:uid="{00000000-0005-0000-0000-000068150000}"/>
    <cellStyle name="Note 2 2 3 2 2 2 5 2" xfId="7637" xr:uid="{00000000-0005-0000-0000-000069150000}"/>
    <cellStyle name="Note 2 2 3 2 2 2 6" xfId="3238" xr:uid="{00000000-0005-0000-0000-00006A150000}"/>
    <cellStyle name="Note 2 2 3 2 2 2 6 2" xfId="9068" xr:uid="{00000000-0005-0000-0000-00006B150000}"/>
    <cellStyle name="Note 2 2 3 2 2 2 7" xfId="4650" xr:uid="{00000000-0005-0000-0000-00006C150000}"/>
    <cellStyle name="Note 2 2 3 2 2 2 7 2" xfId="10480" xr:uid="{00000000-0005-0000-0000-00006D150000}"/>
    <cellStyle name="Note 2 2 3 2 2 2 8" xfId="6145" xr:uid="{00000000-0005-0000-0000-00006E150000}"/>
    <cellStyle name="Note 2 2 3 2 2 3" xfId="346" xr:uid="{00000000-0005-0000-0000-00006F150000}"/>
    <cellStyle name="Note 2 2 3 2 2 3 2" xfId="625" xr:uid="{00000000-0005-0000-0000-000070150000}"/>
    <cellStyle name="Note 2 2 3 2 2 3 2 2" xfId="1360" xr:uid="{00000000-0005-0000-0000-000071150000}"/>
    <cellStyle name="Note 2 2 3 2 2 3 2 2 2" xfId="2876" xr:uid="{00000000-0005-0000-0000-000072150000}"/>
    <cellStyle name="Note 2 2 3 2 2 3 2 2 2 2" xfId="8706" xr:uid="{00000000-0005-0000-0000-000073150000}"/>
    <cellStyle name="Note 2 2 3 2 2 3 2 2 3" xfId="4299" xr:uid="{00000000-0005-0000-0000-000074150000}"/>
    <cellStyle name="Note 2 2 3 2 2 3 2 2 3 2" xfId="10129" xr:uid="{00000000-0005-0000-0000-000075150000}"/>
    <cellStyle name="Note 2 2 3 2 2 3 2 2 4" xfId="5695" xr:uid="{00000000-0005-0000-0000-000076150000}"/>
    <cellStyle name="Note 2 2 3 2 2 3 2 2 4 2" xfId="11525" xr:uid="{00000000-0005-0000-0000-000077150000}"/>
    <cellStyle name="Note 2 2 3 2 2 3 2 2 5" xfId="7190" xr:uid="{00000000-0005-0000-0000-000078150000}"/>
    <cellStyle name="Note 2 2 3 2 2 3 2 3" xfId="2147" xr:uid="{00000000-0005-0000-0000-000079150000}"/>
    <cellStyle name="Note 2 2 3 2 2 3 2 3 2" xfId="7977" xr:uid="{00000000-0005-0000-0000-00007A150000}"/>
    <cellStyle name="Note 2 2 3 2 2 3 2 4" xfId="3574" xr:uid="{00000000-0005-0000-0000-00007B150000}"/>
    <cellStyle name="Note 2 2 3 2 2 3 2 4 2" xfId="9404" xr:uid="{00000000-0005-0000-0000-00007C150000}"/>
    <cellStyle name="Note 2 2 3 2 2 3 2 5" xfId="4971" xr:uid="{00000000-0005-0000-0000-00007D150000}"/>
    <cellStyle name="Note 2 2 3 2 2 3 2 5 2" xfId="10801" xr:uid="{00000000-0005-0000-0000-00007E150000}"/>
    <cellStyle name="Note 2 2 3 2 2 3 2 6" xfId="6466" xr:uid="{00000000-0005-0000-0000-00007F150000}"/>
    <cellStyle name="Note 2 2 3 2 2 3 3" xfId="869" xr:uid="{00000000-0005-0000-0000-000080150000}"/>
    <cellStyle name="Note 2 2 3 2 2 3 3 2" xfId="1600" xr:uid="{00000000-0005-0000-0000-000081150000}"/>
    <cellStyle name="Note 2 2 3 2 2 3 3 2 2" xfId="3116" xr:uid="{00000000-0005-0000-0000-000082150000}"/>
    <cellStyle name="Note 2 2 3 2 2 3 3 2 2 2" xfId="8946" xr:uid="{00000000-0005-0000-0000-000083150000}"/>
    <cellStyle name="Note 2 2 3 2 2 3 3 2 3" xfId="4539" xr:uid="{00000000-0005-0000-0000-000084150000}"/>
    <cellStyle name="Note 2 2 3 2 2 3 3 2 3 2" xfId="10369" xr:uid="{00000000-0005-0000-0000-000085150000}"/>
    <cellStyle name="Note 2 2 3 2 2 3 3 2 4" xfId="5935" xr:uid="{00000000-0005-0000-0000-000086150000}"/>
    <cellStyle name="Note 2 2 3 2 2 3 3 2 4 2" xfId="11765" xr:uid="{00000000-0005-0000-0000-000087150000}"/>
    <cellStyle name="Note 2 2 3 2 2 3 3 2 5" xfId="7430" xr:uid="{00000000-0005-0000-0000-000088150000}"/>
    <cellStyle name="Note 2 2 3 2 2 3 3 3" xfId="2389" xr:uid="{00000000-0005-0000-0000-000089150000}"/>
    <cellStyle name="Note 2 2 3 2 2 3 3 3 2" xfId="8219" xr:uid="{00000000-0005-0000-0000-00008A150000}"/>
    <cellStyle name="Note 2 2 3 2 2 3 3 4" xfId="3815" xr:uid="{00000000-0005-0000-0000-00008B150000}"/>
    <cellStyle name="Note 2 2 3 2 2 3 3 4 2" xfId="9645" xr:uid="{00000000-0005-0000-0000-00008C150000}"/>
    <cellStyle name="Note 2 2 3 2 2 3 3 5" xfId="5211" xr:uid="{00000000-0005-0000-0000-00008D150000}"/>
    <cellStyle name="Note 2 2 3 2 2 3 3 5 2" xfId="11041" xr:uid="{00000000-0005-0000-0000-00008E150000}"/>
    <cellStyle name="Note 2 2 3 2 2 3 3 6" xfId="6706" xr:uid="{00000000-0005-0000-0000-00008F150000}"/>
    <cellStyle name="Note 2 2 3 2 2 3 4" xfId="1113" xr:uid="{00000000-0005-0000-0000-000090150000}"/>
    <cellStyle name="Note 2 2 3 2 2 3 4 2" xfId="2633" xr:uid="{00000000-0005-0000-0000-000091150000}"/>
    <cellStyle name="Note 2 2 3 2 2 3 4 2 2" xfId="8463" xr:uid="{00000000-0005-0000-0000-000092150000}"/>
    <cellStyle name="Note 2 2 3 2 2 3 4 3" xfId="4059" xr:uid="{00000000-0005-0000-0000-000093150000}"/>
    <cellStyle name="Note 2 2 3 2 2 3 4 3 2" xfId="9889" xr:uid="{00000000-0005-0000-0000-000094150000}"/>
    <cellStyle name="Note 2 2 3 2 2 3 4 4" xfId="5455" xr:uid="{00000000-0005-0000-0000-000095150000}"/>
    <cellStyle name="Note 2 2 3 2 2 3 4 4 2" xfId="11285" xr:uid="{00000000-0005-0000-0000-000096150000}"/>
    <cellStyle name="Note 2 2 3 2 2 3 4 5" xfId="6950" xr:uid="{00000000-0005-0000-0000-000097150000}"/>
    <cellStyle name="Note 2 2 3 2 2 3 5" xfId="1887" xr:uid="{00000000-0005-0000-0000-000098150000}"/>
    <cellStyle name="Note 2 2 3 2 2 3 5 2" xfId="7717" xr:uid="{00000000-0005-0000-0000-000099150000}"/>
    <cellStyle name="Note 2 2 3 2 2 3 6" xfId="3318" xr:uid="{00000000-0005-0000-0000-00009A150000}"/>
    <cellStyle name="Note 2 2 3 2 2 3 6 2" xfId="9148" xr:uid="{00000000-0005-0000-0000-00009B150000}"/>
    <cellStyle name="Note 2 2 3 2 2 3 7" xfId="4730" xr:uid="{00000000-0005-0000-0000-00009C150000}"/>
    <cellStyle name="Note 2 2 3 2 2 3 7 2" xfId="10560" xr:uid="{00000000-0005-0000-0000-00009D150000}"/>
    <cellStyle name="Note 2 2 3 2 2 3 8" xfId="6225" xr:uid="{00000000-0005-0000-0000-00009E150000}"/>
    <cellStyle name="Note 2 2 3 2 2 4" xfId="465" xr:uid="{00000000-0005-0000-0000-00009F150000}"/>
    <cellStyle name="Note 2 2 3 2 2 4 2" xfId="1200" xr:uid="{00000000-0005-0000-0000-0000A0150000}"/>
    <cellStyle name="Note 2 2 3 2 2 4 2 2" xfId="2716" xr:uid="{00000000-0005-0000-0000-0000A1150000}"/>
    <cellStyle name="Note 2 2 3 2 2 4 2 2 2" xfId="8546" xr:uid="{00000000-0005-0000-0000-0000A2150000}"/>
    <cellStyle name="Note 2 2 3 2 2 4 2 3" xfId="4139" xr:uid="{00000000-0005-0000-0000-0000A3150000}"/>
    <cellStyle name="Note 2 2 3 2 2 4 2 3 2" xfId="9969" xr:uid="{00000000-0005-0000-0000-0000A4150000}"/>
    <cellStyle name="Note 2 2 3 2 2 4 2 4" xfId="5535" xr:uid="{00000000-0005-0000-0000-0000A5150000}"/>
    <cellStyle name="Note 2 2 3 2 2 4 2 4 2" xfId="11365" xr:uid="{00000000-0005-0000-0000-0000A6150000}"/>
    <cellStyle name="Note 2 2 3 2 2 4 2 5" xfId="7030" xr:uid="{00000000-0005-0000-0000-0000A7150000}"/>
    <cellStyle name="Note 2 2 3 2 2 4 3" xfId="1987" xr:uid="{00000000-0005-0000-0000-0000A8150000}"/>
    <cellStyle name="Note 2 2 3 2 2 4 3 2" xfId="7817" xr:uid="{00000000-0005-0000-0000-0000A9150000}"/>
    <cellStyle name="Note 2 2 3 2 2 4 4" xfId="3414" xr:uid="{00000000-0005-0000-0000-0000AA150000}"/>
    <cellStyle name="Note 2 2 3 2 2 4 4 2" xfId="9244" xr:uid="{00000000-0005-0000-0000-0000AB150000}"/>
    <cellStyle name="Note 2 2 3 2 2 4 5" xfId="4811" xr:uid="{00000000-0005-0000-0000-0000AC150000}"/>
    <cellStyle name="Note 2 2 3 2 2 4 5 2" xfId="10641" xr:uid="{00000000-0005-0000-0000-0000AD150000}"/>
    <cellStyle name="Note 2 2 3 2 2 4 6" xfId="6306" xr:uid="{00000000-0005-0000-0000-0000AE150000}"/>
    <cellStyle name="Note 2 2 3 2 2 5" xfId="709" xr:uid="{00000000-0005-0000-0000-0000AF150000}"/>
    <cellStyle name="Note 2 2 3 2 2 5 2" xfId="1440" xr:uid="{00000000-0005-0000-0000-0000B0150000}"/>
    <cellStyle name="Note 2 2 3 2 2 5 2 2" xfId="2956" xr:uid="{00000000-0005-0000-0000-0000B1150000}"/>
    <cellStyle name="Note 2 2 3 2 2 5 2 2 2" xfId="8786" xr:uid="{00000000-0005-0000-0000-0000B2150000}"/>
    <cellStyle name="Note 2 2 3 2 2 5 2 3" xfId="4379" xr:uid="{00000000-0005-0000-0000-0000B3150000}"/>
    <cellStyle name="Note 2 2 3 2 2 5 2 3 2" xfId="10209" xr:uid="{00000000-0005-0000-0000-0000B4150000}"/>
    <cellStyle name="Note 2 2 3 2 2 5 2 4" xfId="5775" xr:uid="{00000000-0005-0000-0000-0000B5150000}"/>
    <cellStyle name="Note 2 2 3 2 2 5 2 4 2" xfId="11605" xr:uid="{00000000-0005-0000-0000-0000B6150000}"/>
    <cellStyle name="Note 2 2 3 2 2 5 2 5" xfId="7270" xr:uid="{00000000-0005-0000-0000-0000B7150000}"/>
    <cellStyle name="Note 2 2 3 2 2 5 3" xfId="2229" xr:uid="{00000000-0005-0000-0000-0000B8150000}"/>
    <cellStyle name="Note 2 2 3 2 2 5 3 2" xfId="8059" xr:uid="{00000000-0005-0000-0000-0000B9150000}"/>
    <cellStyle name="Note 2 2 3 2 2 5 4" xfId="3655" xr:uid="{00000000-0005-0000-0000-0000BA150000}"/>
    <cellStyle name="Note 2 2 3 2 2 5 4 2" xfId="9485" xr:uid="{00000000-0005-0000-0000-0000BB150000}"/>
    <cellStyle name="Note 2 2 3 2 2 5 5" xfId="5051" xr:uid="{00000000-0005-0000-0000-0000BC150000}"/>
    <cellStyle name="Note 2 2 3 2 2 5 5 2" xfId="10881" xr:uid="{00000000-0005-0000-0000-0000BD150000}"/>
    <cellStyle name="Note 2 2 3 2 2 5 6" xfId="6546" xr:uid="{00000000-0005-0000-0000-0000BE150000}"/>
    <cellStyle name="Note 2 2 3 2 2 6" xfId="953" xr:uid="{00000000-0005-0000-0000-0000BF150000}"/>
    <cellStyle name="Note 2 2 3 2 2 6 2" xfId="2473" xr:uid="{00000000-0005-0000-0000-0000C0150000}"/>
    <cellStyle name="Note 2 2 3 2 2 6 2 2" xfId="8303" xr:uid="{00000000-0005-0000-0000-0000C1150000}"/>
    <cellStyle name="Note 2 2 3 2 2 6 3" xfId="3899" xr:uid="{00000000-0005-0000-0000-0000C2150000}"/>
    <cellStyle name="Note 2 2 3 2 2 6 3 2" xfId="9729" xr:uid="{00000000-0005-0000-0000-0000C3150000}"/>
    <cellStyle name="Note 2 2 3 2 2 6 4" xfId="5295" xr:uid="{00000000-0005-0000-0000-0000C4150000}"/>
    <cellStyle name="Note 2 2 3 2 2 6 4 2" xfId="11125" xr:uid="{00000000-0005-0000-0000-0000C5150000}"/>
    <cellStyle name="Note 2 2 3 2 2 6 5" xfId="6790" xr:uid="{00000000-0005-0000-0000-0000C6150000}"/>
    <cellStyle name="Note 2 2 3 2 2 7" xfId="1727" xr:uid="{00000000-0005-0000-0000-0000C7150000}"/>
    <cellStyle name="Note 2 2 3 2 2 7 2" xfId="7557" xr:uid="{00000000-0005-0000-0000-0000C8150000}"/>
    <cellStyle name="Note 2 2 3 2 2 8" xfId="3158" xr:uid="{00000000-0005-0000-0000-0000C9150000}"/>
    <cellStyle name="Note 2 2 3 2 2 8 2" xfId="8988" xr:uid="{00000000-0005-0000-0000-0000CA150000}"/>
    <cellStyle name="Note 2 2 3 2 2 9" xfId="4570" xr:uid="{00000000-0005-0000-0000-0000CB150000}"/>
    <cellStyle name="Note 2 2 3 2 2 9 2" xfId="10400" xr:uid="{00000000-0005-0000-0000-0000CC150000}"/>
    <cellStyle name="Note 2 2 3 2 3" xfId="226" xr:uid="{00000000-0005-0000-0000-0000CD150000}"/>
    <cellStyle name="Note 2 2 3 2 3 2" xfId="505" xr:uid="{00000000-0005-0000-0000-0000CE150000}"/>
    <cellStyle name="Note 2 2 3 2 3 2 2" xfId="1240" xr:uid="{00000000-0005-0000-0000-0000CF150000}"/>
    <cellStyle name="Note 2 2 3 2 3 2 2 2" xfId="2756" xr:uid="{00000000-0005-0000-0000-0000D0150000}"/>
    <cellStyle name="Note 2 2 3 2 3 2 2 2 2" xfId="8586" xr:uid="{00000000-0005-0000-0000-0000D1150000}"/>
    <cellStyle name="Note 2 2 3 2 3 2 2 3" xfId="4179" xr:uid="{00000000-0005-0000-0000-0000D2150000}"/>
    <cellStyle name="Note 2 2 3 2 3 2 2 3 2" xfId="10009" xr:uid="{00000000-0005-0000-0000-0000D3150000}"/>
    <cellStyle name="Note 2 2 3 2 3 2 2 4" xfId="5575" xr:uid="{00000000-0005-0000-0000-0000D4150000}"/>
    <cellStyle name="Note 2 2 3 2 3 2 2 4 2" xfId="11405" xr:uid="{00000000-0005-0000-0000-0000D5150000}"/>
    <cellStyle name="Note 2 2 3 2 3 2 2 5" xfId="7070" xr:uid="{00000000-0005-0000-0000-0000D6150000}"/>
    <cellStyle name="Note 2 2 3 2 3 2 3" xfId="2027" xr:uid="{00000000-0005-0000-0000-0000D7150000}"/>
    <cellStyle name="Note 2 2 3 2 3 2 3 2" xfId="7857" xr:uid="{00000000-0005-0000-0000-0000D8150000}"/>
    <cellStyle name="Note 2 2 3 2 3 2 4" xfId="3454" xr:uid="{00000000-0005-0000-0000-0000D9150000}"/>
    <cellStyle name="Note 2 2 3 2 3 2 4 2" xfId="9284" xr:uid="{00000000-0005-0000-0000-0000DA150000}"/>
    <cellStyle name="Note 2 2 3 2 3 2 5" xfId="4851" xr:uid="{00000000-0005-0000-0000-0000DB150000}"/>
    <cellStyle name="Note 2 2 3 2 3 2 5 2" xfId="10681" xr:uid="{00000000-0005-0000-0000-0000DC150000}"/>
    <cellStyle name="Note 2 2 3 2 3 2 6" xfId="6346" xr:uid="{00000000-0005-0000-0000-0000DD150000}"/>
    <cellStyle name="Note 2 2 3 2 3 3" xfId="749" xr:uid="{00000000-0005-0000-0000-0000DE150000}"/>
    <cellStyle name="Note 2 2 3 2 3 3 2" xfId="1480" xr:uid="{00000000-0005-0000-0000-0000DF150000}"/>
    <cellStyle name="Note 2 2 3 2 3 3 2 2" xfId="2996" xr:uid="{00000000-0005-0000-0000-0000E0150000}"/>
    <cellStyle name="Note 2 2 3 2 3 3 2 2 2" xfId="8826" xr:uid="{00000000-0005-0000-0000-0000E1150000}"/>
    <cellStyle name="Note 2 2 3 2 3 3 2 3" xfId="4419" xr:uid="{00000000-0005-0000-0000-0000E2150000}"/>
    <cellStyle name="Note 2 2 3 2 3 3 2 3 2" xfId="10249" xr:uid="{00000000-0005-0000-0000-0000E3150000}"/>
    <cellStyle name="Note 2 2 3 2 3 3 2 4" xfId="5815" xr:uid="{00000000-0005-0000-0000-0000E4150000}"/>
    <cellStyle name="Note 2 2 3 2 3 3 2 4 2" xfId="11645" xr:uid="{00000000-0005-0000-0000-0000E5150000}"/>
    <cellStyle name="Note 2 2 3 2 3 3 2 5" xfId="7310" xr:uid="{00000000-0005-0000-0000-0000E6150000}"/>
    <cellStyle name="Note 2 2 3 2 3 3 3" xfId="2269" xr:uid="{00000000-0005-0000-0000-0000E7150000}"/>
    <cellStyle name="Note 2 2 3 2 3 3 3 2" xfId="8099" xr:uid="{00000000-0005-0000-0000-0000E8150000}"/>
    <cellStyle name="Note 2 2 3 2 3 3 4" xfId="3695" xr:uid="{00000000-0005-0000-0000-0000E9150000}"/>
    <cellStyle name="Note 2 2 3 2 3 3 4 2" xfId="9525" xr:uid="{00000000-0005-0000-0000-0000EA150000}"/>
    <cellStyle name="Note 2 2 3 2 3 3 5" xfId="5091" xr:uid="{00000000-0005-0000-0000-0000EB150000}"/>
    <cellStyle name="Note 2 2 3 2 3 3 5 2" xfId="10921" xr:uid="{00000000-0005-0000-0000-0000EC150000}"/>
    <cellStyle name="Note 2 2 3 2 3 3 6" xfId="6586" xr:uid="{00000000-0005-0000-0000-0000ED150000}"/>
    <cellStyle name="Note 2 2 3 2 3 4" xfId="993" xr:uid="{00000000-0005-0000-0000-0000EE150000}"/>
    <cellStyle name="Note 2 2 3 2 3 4 2" xfId="2513" xr:uid="{00000000-0005-0000-0000-0000EF150000}"/>
    <cellStyle name="Note 2 2 3 2 3 4 2 2" xfId="8343" xr:uid="{00000000-0005-0000-0000-0000F0150000}"/>
    <cellStyle name="Note 2 2 3 2 3 4 3" xfId="3939" xr:uid="{00000000-0005-0000-0000-0000F1150000}"/>
    <cellStyle name="Note 2 2 3 2 3 4 3 2" xfId="9769" xr:uid="{00000000-0005-0000-0000-0000F2150000}"/>
    <cellStyle name="Note 2 2 3 2 3 4 4" xfId="5335" xr:uid="{00000000-0005-0000-0000-0000F3150000}"/>
    <cellStyle name="Note 2 2 3 2 3 4 4 2" xfId="11165" xr:uid="{00000000-0005-0000-0000-0000F4150000}"/>
    <cellStyle name="Note 2 2 3 2 3 4 5" xfId="6830" xr:uid="{00000000-0005-0000-0000-0000F5150000}"/>
    <cellStyle name="Note 2 2 3 2 3 5" xfId="1767" xr:uid="{00000000-0005-0000-0000-0000F6150000}"/>
    <cellStyle name="Note 2 2 3 2 3 5 2" xfId="7597" xr:uid="{00000000-0005-0000-0000-0000F7150000}"/>
    <cellStyle name="Note 2 2 3 2 3 6" xfId="3198" xr:uid="{00000000-0005-0000-0000-0000F8150000}"/>
    <cellStyle name="Note 2 2 3 2 3 6 2" xfId="9028" xr:uid="{00000000-0005-0000-0000-0000F9150000}"/>
    <cellStyle name="Note 2 2 3 2 3 7" xfId="4610" xr:uid="{00000000-0005-0000-0000-0000FA150000}"/>
    <cellStyle name="Note 2 2 3 2 3 7 2" xfId="10440" xr:uid="{00000000-0005-0000-0000-0000FB150000}"/>
    <cellStyle name="Note 2 2 3 2 3 8" xfId="6105" xr:uid="{00000000-0005-0000-0000-0000FC150000}"/>
    <cellStyle name="Note 2 2 3 2 4" xfId="306" xr:uid="{00000000-0005-0000-0000-0000FD150000}"/>
    <cellStyle name="Note 2 2 3 2 4 2" xfId="585" xr:uid="{00000000-0005-0000-0000-0000FE150000}"/>
    <cellStyle name="Note 2 2 3 2 4 2 2" xfId="1320" xr:uid="{00000000-0005-0000-0000-0000FF150000}"/>
    <cellStyle name="Note 2 2 3 2 4 2 2 2" xfId="2836" xr:uid="{00000000-0005-0000-0000-000000160000}"/>
    <cellStyle name="Note 2 2 3 2 4 2 2 2 2" xfId="8666" xr:uid="{00000000-0005-0000-0000-000001160000}"/>
    <cellStyle name="Note 2 2 3 2 4 2 2 3" xfId="4259" xr:uid="{00000000-0005-0000-0000-000002160000}"/>
    <cellStyle name="Note 2 2 3 2 4 2 2 3 2" xfId="10089" xr:uid="{00000000-0005-0000-0000-000003160000}"/>
    <cellStyle name="Note 2 2 3 2 4 2 2 4" xfId="5655" xr:uid="{00000000-0005-0000-0000-000004160000}"/>
    <cellStyle name="Note 2 2 3 2 4 2 2 4 2" xfId="11485" xr:uid="{00000000-0005-0000-0000-000005160000}"/>
    <cellStyle name="Note 2 2 3 2 4 2 2 5" xfId="7150" xr:uid="{00000000-0005-0000-0000-000006160000}"/>
    <cellStyle name="Note 2 2 3 2 4 2 3" xfId="2107" xr:uid="{00000000-0005-0000-0000-000007160000}"/>
    <cellStyle name="Note 2 2 3 2 4 2 3 2" xfId="7937" xr:uid="{00000000-0005-0000-0000-000008160000}"/>
    <cellStyle name="Note 2 2 3 2 4 2 4" xfId="3534" xr:uid="{00000000-0005-0000-0000-000009160000}"/>
    <cellStyle name="Note 2 2 3 2 4 2 4 2" xfId="9364" xr:uid="{00000000-0005-0000-0000-00000A160000}"/>
    <cellStyle name="Note 2 2 3 2 4 2 5" xfId="4931" xr:uid="{00000000-0005-0000-0000-00000B160000}"/>
    <cellStyle name="Note 2 2 3 2 4 2 5 2" xfId="10761" xr:uid="{00000000-0005-0000-0000-00000C160000}"/>
    <cellStyle name="Note 2 2 3 2 4 2 6" xfId="6426" xr:uid="{00000000-0005-0000-0000-00000D160000}"/>
    <cellStyle name="Note 2 2 3 2 4 3" xfId="829" xr:uid="{00000000-0005-0000-0000-00000E160000}"/>
    <cellStyle name="Note 2 2 3 2 4 3 2" xfId="1560" xr:uid="{00000000-0005-0000-0000-00000F160000}"/>
    <cellStyle name="Note 2 2 3 2 4 3 2 2" xfId="3076" xr:uid="{00000000-0005-0000-0000-000010160000}"/>
    <cellStyle name="Note 2 2 3 2 4 3 2 2 2" xfId="8906" xr:uid="{00000000-0005-0000-0000-000011160000}"/>
    <cellStyle name="Note 2 2 3 2 4 3 2 3" xfId="4499" xr:uid="{00000000-0005-0000-0000-000012160000}"/>
    <cellStyle name="Note 2 2 3 2 4 3 2 3 2" xfId="10329" xr:uid="{00000000-0005-0000-0000-000013160000}"/>
    <cellStyle name="Note 2 2 3 2 4 3 2 4" xfId="5895" xr:uid="{00000000-0005-0000-0000-000014160000}"/>
    <cellStyle name="Note 2 2 3 2 4 3 2 4 2" xfId="11725" xr:uid="{00000000-0005-0000-0000-000015160000}"/>
    <cellStyle name="Note 2 2 3 2 4 3 2 5" xfId="7390" xr:uid="{00000000-0005-0000-0000-000016160000}"/>
    <cellStyle name="Note 2 2 3 2 4 3 3" xfId="2349" xr:uid="{00000000-0005-0000-0000-000017160000}"/>
    <cellStyle name="Note 2 2 3 2 4 3 3 2" xfId="8179" xr:uid="{00000000-0005-0000-0000-000018160000}"/>
    <cellStyle name="Note 2 2 3 2 4 3 4" xfId="3775" xr:uid="{00000000-0005-0000-0000-000019160000}"/>
    <cellStyle name="Note 2 2 3 2 4 3 4 2" xfId="9605" xr:uid="{00000000-0005-0000-0000-00001A160000}"/>
    <cellStyle name="Note 2 2 3 2 4 3 5" xfId="5171" xr:uid="{00000000-0005-0000-0000-00001B160000}"/>
    <cellStyle name="Note 2 2 3 2 4 3 5 2" xfId="11001" xr:uid="{00000000-0005-0000-0000-00001C160000}"/>
    <cellStyle name="Note 2 2 3 2 4 3 6" xfId="6666" xr:uid="{00000000-0005-0000-0000-00001D160000}"/>
    <cellStyle name="Note 2 2 3 2 4 4" xfId="1073" xr:uid="{00000000-0005-0000-0000-00001E160000}"/>
    <cellStyle name="Note 2 2 3 2 4 4 2" xfId="2593" xr:uid="{00000000-0005-0000-0000-00001F160000}"/>
    <cellStyle name="Note 2 2 3 2 4 4 2 2" xfId="8423" xr:uid="{00000000-0005-0000-0000-000020160000}"/>
    <cellStyle name="Note 2 2 3 2 4 4 3" xfId="4019" xr:uid="{00000000-0005-0000-0000-000021160000}"/>
    <cellStyle name="Note 2 2 3 2 4 4 3 2" xfId="9849" xr:uid="{00000000-0005-0000-0000-000022160000}"/>
    <cellStyle name="Note 2 2 3 2 4 4 4" xfId="5415" xr:uid="{00000000-0005-0000-0000-000023160000}"/>
    <cellStyle name="Note 2 2 3 2 4 4 4 2" xfId="11245" xr:uid="{00000000-0005-0000-0000-000024160000}"/>
    <cellStyle name="Note 2 2 3 2 4 4 5" xfId="6910" xr:uid="{00000000-0005-0000-0000-000025160000}"/>
    <cellStyle name="Note 2 2 3 2 4 5" xfId="1847" xr:uid="{00000000-0005-0000-0000-000026160000}"/>
    <cellStyle name="Note 2 2 3 2 4 5 2" xfId="7677" xr:uid="{00000000-0005-0000-0000-000027160000}"/>
    <cellStyle name="Note 2 2 3 2 4 6" xfId="3278" xr:uid="{00000000-0005-0000-0000-000028160000}"/>
    <cellStyle name="Note 2 2 3 2 4 6 2" xfId="9108" xr:uid="{00000000-0005-0000-0000-000029160000}"/>
    <cellStyle name="Note 2 2 3 2 4 7" xfId="4690" xr:uid="{00000000-0005-0000-0000-00002A160000}"/>
    <cellStyle name="Note 2 2 3 2 4 7 2" xfId="10520" xr:uid="{00000000-0005-0000-0000-00002B160000}"/>
    <cellStyle name="Note 2 2 3 2 4 8" xfId="6185" xr:uid="{00000000-0005-0000-0000-00002C160000}"/>
    <cellStyle name="Note 2 2 3 2 5" xfId="425" xr:uid="{00000000-0005-0000-0000-00002D160000}"/>
    <cellStyle name="Note 2 2 3 2 5 2" xfId="1160" xr:uid="{00000000-0005-0000-0000-00002E160000}"/>
    <cellStyle name="Note 2 2 3 2 5 2 2" xfId="2676" xr:uid="{00000000-0005-0000-0000-00002F160000}"/>
    <cellStyle name="Note 2 2 3 2 5 2 2 2" xfId="8506" xr:uid="{00000000-0005-0000-0000-000030160000}"/>
    <cellStyle name="Note 2 2 3 2 5 2 3" xfId="4099" xr:uid="{00000000-0005-0000-0000-000031160000}"/>
    <cellStyle name="Note 2 2 3 2 5 2 3 2" xfId="9929" xr:uid="{00000000-0005-0000-0000-000032160000}"/>
    <cellStyle name="Note 2 2 3 2 5 2 4" xfId="5495" xr:uid="{00000000-0005-0000-0000-000033160000}"/>
    <cellStyle name="Note 2 2 3 2 5 2 4 2" xfId="11325" xr:uid="{00000000-0005-0000-0000-000034160000}"/>
    <cellStyle name="Note 2 2 3 2 5 2 5" xfId="6990" xr:uid="{00000000-0005-0000-0000-000035160000}"/>
    <cellStyle name="Note 2 2 3 2 5 3" xfId="1947" xr:uid="{00000000-0005-0000-0000-000036160000}"/>
    <cellStyle name="Note 2 2 3 2 5 3 2" xfId="7777" xr:uid="{00000000-0005-0000-0000-000037160000}"/>
    <cellStyle name="Note 2 2 3 2 5 4" xfId="3374" xr:uid="{00000000-0005-0000-0000-000038160000}"/>
    <cellStyle name="Note 2 2 3 2 5 4 2" xfId="9204" xr:uid="{00000000-0005-0000-0000-000039160000}"/>
    <cellStyle name="Note 2 2 3 2 5 5" xfId="4771" xr:uid="{00000000-0005-0000-0000-00003A160000}"/>
    <cellStyle name="Note 2 2 3 2 5 5 2" xfId="10601" xr:uid="{00000000-0005-0000-0000-00003B160000}"/>
    <cellStyle name="Note 2 2 3 2 5 6" xfId="6266" xr:uid="{00000000-0005-0000-0000-00003C160000}"/>
    <cellStyle name="Note 2 2 3 2 6" xfId="669" xr:uid="{00000000-0005-0000-0000-00003D160000}"/>
    <cellStyle name="Note 2 2 3 2 6 2" xfId="1400" xr:uid="{00000000-0005-0000-0000-00003E160000}"/>
    <cellStyle name="Note 2 2 3 2 6 2 2" xfId="2916" xr:uid="{00000000-0005-0000-0000-00003F160000}"/>
    <cellStyle name="Note 2 2 3 2 6 2 2 2" xfId="8746" xr:uid="{00000000-0005-0000-0000-000040160000}"/>
    <cellStyle name="Note 2 2 3 2 6 2 3" xfId="4339" xr:uid="{00000000-0005-0000-0000-000041160000}"/>
    <cellStyle name="Note 2 2 3 2 6 2 3 2" xfId="10169" xr:uid="{00000000-0005-0000-0000-000042160000}"/>
    <cellStyle name="Note 2 2 3 2 6 2 4" xfId="5735" xr:uid="{00000000-0005-0000-0000-000043160000}"/>
    <cellStyle name="Note 2 2 3 2 6 2 4 2" xfId="11565" xr:uid="{00000000-0005-0000-0000-000044160000}"/>
    <cellStyle name="Note 2 2 3 2 6 2 5" xfId="7230" xr:uid="{00000000-0005-0000-0000-000045160000}"/>
    <cellStyle name="Note 2 2 3 2 6 3" xfId="2189" xr:uid="{00000000-0005-0000-0000-000046160000}"/>
    <cellStyle name="Note 2 2 3 2 6 3 2" xfId="8019" xr:uid="{00000000-0005-0000-0000-000047160000}"/>
    <cellStyle name="Note 2 2 3 2 6 4" xfId="3615" xr:uid="{00000000-0005-0000-0000-000048160000}"/>
    <cellStyle name="Note 2 2 3 2 6 4 2" xfId="9445" xr:uid="{00000000-0005-0000-0000-000049160000}"/>
    <cellStyle name="Note 2 2 3 2 6 5" xfId="5011" xr:uid="{00000000-0005-0000-0000-00004A160000}"/>
    <cellStyle name="Note 2 2 3 2 6 5 2" xfId="10841" xr:uid="{00000000-0005-0000-0000-00004B160000}"/>
    <cellStyle name="Note 2 2 3 2 6 6" xfId="6506" xr:uid="{00000000-0005-0000-0000-00004C160000}"/>
    <cellStyle name="Note 2 2 3 2 7" xfId="913" xr:uid="{00000000-0005-0000-0000-00004D160000}"/>
    <cellStyle name="Note 2 2 3 2 7 2" xfId="2433" xr:uid="{00000000-0005-0000-0000-00004E160000}"/>
    <cellStyle name="Note 2 2 3 2 7 2 2" xfId="8263" xr:uid="{00000000-0005-0000-0000-00004F160000}"/>
    <cellStyle name="Note 2 2 3 2 7 3" xfId="3859" xr:uid="{00000000-0005-0000-0000-000050160000}"/>
    <cellStyle name="Note 2 2 3 2 7 3 2" xfId="9689" xr:uid="{00000000-0005-0000-0000-000051160000}"/>
    <cellStyle name="Note 2 2 3 2 7 4" xfId="5255" xr:uid="{00000000-0005-0000-0000-000052160000}"/>
    <cellStyle name="Note 2 2 3 2 7 4 2" xfId="11085" xr:uid="{00000000-0005-0000-0000-000053160000}"/>
    <cellStyle name="Note 2 2 3 2 7 5" xfId="6750" xr:uid="{00000000-0005-0000-0000-000054160000}"/>
    <cellStyle name="Note 2 2 3 2 8" xfId="1687" xr:uid="{00000000-0005-0000-0000-000055160000}"/>
    <cellStyle name="Note 2 2 3 2 8 2" xfId="7517" xr:uid="{00000000-0005-0000-0000-000056160000}"/>
    <cellStyle name="Note 2 2 3 2 9" xfId="1904" xr:uid="{00000000-0005-0000-0000-000057160000}"/>
    <cellStyle name="Note 2 2 3 2 9 2" xfId="7734" xr:uid="{00000000-0005-0000-0000-000058160000}"/>
    <cellStyle name="Note 2 2 3 3" xfId="165" xr:uid="{00000000-0005-0000-0000-000059160000}"/>
    <cellStyle name="Note 2 2 3 3 10" xfId="6045" xr:uid="{00000000-0005-0000-0000-00005A160000}"/>
    <cellStyle name="Note 2 2 3 3 2" xfId="246" xr:uid="{00000000-0005-0000-0000-00005B160000}"/>
    <cellStyle name="Note 2 2 3 3 2 2" xfId="525" xr:uid="{00000000-0005-0000-0000-00005C160000}"/>
    <cellStyle name="Note 2 2 3 3 2 2 2" xfId="1260" xr:uid="{00000000-0005-0000-0000-00005D160000}"/>
    <cellStyle name="Note 2 2 3 3 2 2 2 2" xfId="2776" xr:uid="{00000000-0005-0000-0000-00005E160000}"/>
    <cellStyle name="Note 2 2 3 3 2 2 2 2 2" xfId="8606" xr:uid="{00000000-0005-0000-0000-00005F160000}"/>
    <cellStyle name="Note 2 2 3 3 2 2 2 3" xfId="4199" xr:uid="{00000000-0005-0000-0000-000060160000}"/>
    <cellStyle name="Note 2 2 3 3 2 2 2 3 2" xfId="10029" xr:uid="{00000000-0005-0000-0000-000061160000}"/>
    <cellStyle name="Note 2 2 3 3 2 2 2 4" xfId="5595" xr:uid="{00000000-0005-0000-0000-000062160000}"/>
    <cellStyle name="Note 2 2 3 3 2 2 2 4 2" xfId="11425" xr:uid="{00000000-0005-0000-0000-000063160000}"/>
    <cellStyle name="Note 2 2 3 3 2 2 2 5" xfId="7090" xr:uid="{00000000-0005-0000-0000-000064160000}"/>
    <cellStyle name="Note 2 2 3 3 2 2 3" xfId="2047" xr:uid="{00000000-0005-0000-0000-000065160000}"/>
    <cellStyle name="Note 2 2 3 3 2 2 3 2" xfId="7877" xr:uid="{00000000-0005-0000-0000-000066160000}"/>
    <cellStyle name="Note 2 2 3 3 2 2 4" xfId="3474" xr:uid="{00000000-0005-0000-0000-000067160000}"/>
    <cellStyle name="Note 2 2 3 3 2 2 4 2" xfId="9304" xr:uid="{00000000-0005-0000-0000-000068160000}"/>
    <cellStyle name="Note 2 2 3 3 2 2 5" xfId="4871" xr:uid="{00000000-0005-0000-0000-000069160000}"/>
    <cellStyle name="Note 2 2 3 3 2 2 5 2" xfId="10701" xr:uid="{00000000-0005-0000-0000-00006A160000}"/>
    <cellStyle name="Note 2 2 3 3 2 2 6" xfId="6366" xr:uid="{00000000-0005-0000-0000-00006B160000}"/>
    <cellStyle name="Note 2 2 3 3 2 3" xfId="769" xr:uid="{00000000-0005-0000-0000-00006C160000}"/>
    <cellStyle name="Note 2 2 3 3 2 3 2" xfId="1500" xr:uid="{00000000-0005-0000-0000-00006D160000}"/>
    <cellStyle name="Note 2 2 3 3 2 3 2 2" xfId="3016" xr:uid="{00000000-0005-0000-0000-00006E160000}"/>
    <cellStyle name="Note 2 2 3 3 2 3 2 2 2" xfId="8846" xr:uid="{00000000-0005-0000-0000-00006F160000}"/>
    <cellStyle name="Note 2 2 3 3 2 3 2 3" xfId="4439" xr:uid="{00000000-0005-0000-0000-000070160000}"/>
    <cellStyle name="Note 2 2 3 3 2 3 2 3 2" xfId="10269" xr:uid="{00000000-0005-0000-0000-000071160000}"/>
    <cellStyle name="Note 2 2 3 3 2 3 2 4" xfId="5835" xr:uid="{00000000-0005-0000-0000-000072160000}"/>
    <cellStyle name="Note 2 2 3 3 2 3 2 4 2" xfId="11665" xr:uid="{00000000-0005-0000-0000-000073160000}"/>
    <cellStyle name="Note 2 2 3 3 2 3 2 5" xfId="7330" xr:uid="{00000000-0005-0000-0000-000074160000}"/>
    <cellStyle name="Note 2 2 3 3 2 3 3" xfId="2289" xr:uid="{00000000-0005-0000-0000-000075160000}"/>
    <cellStyle name="Note 2 2 3 3 2 3 3 2" xfId="8119" xr:uid="{00000000-0005-0000-0000-000076160000}"/>
    <cellStyle name="Note 2 2 3 3 2 3 4" xfId="3715" xr:uid="{00000000-0005-0000-0000-000077160000}"/>
    <cellStyle name="Note 2 2 3 3 2 3 4 2" xfId="9545" xr:uid="{00000000-0005-0000-0000-000078160000}"/>
    <cellStyle name="Note 2 2 3 3 2 3 5" xfId="5111" xr:uid="{00000000-0005-0000-0000-000079160000}"/>
    <cellStyle name="Note 2 2 3 3 2 3 5 2" xfId="10941" xr:uid="{00000000-0005-0000-0000-00007A160000}"/>
    <cellStyle name="Note 2 2 3 3 2 3 6" xfId="6606" xr:uid="{00000000-0005-0000-0000-00007B160000}"/>
    <cellStyle name="Note 2 2 3 3 2 4" xfId="1013" xr:uid="{00000000-0005-0000-0000-00007C160000}"/>
    <cellStyle name="Note 2 2 3 3 2 4 2" xfId="2533" xr:uid="{00000000-0005-0000-0000-00007D160000}"/>
    <cellStyle name="Note 2 2 3 3 2 4 2 2" xfId="8363" xr:uid="{00000000-0005-0000-0000-00007E160000}"/>
    <cellStyle name="Note 2 2 3 3 2 4 3" xfId="3959" xr:uid="{00000000-0005-0000-0000-00007F160000}"/>
    <cellStyle name="Note 2 2 3 3 2 4 3 2" xfId="9789" xr:uid="{00000000-0005-0000-0000-000080160000}"/>
    <cellStyle name="Note 2 2 3 3 2 4 4" xfId="5355" xr:uid="{00000000-0005-0000-0000-000081160000}"/>
    <cellStyle name="Note 2 2 3 3 2 4 4 2" xfId="11185" xr:uid="{00000000-0005-0000-0000-000082160000}"/>
    <cellStyle name="Note 2 2 3 3 2 4 5" xfId="6850" xr:uid="{00000000-0005-0000-0000-000083160000}"/>
    <cellStyle name="Note 2 2 3 3 2 5" xfId="1787" xr:uid="{00000000-0005-0000-0000-000084160000}"/>
    <cellStyle name="Note 2 2 3 3 2 5 2" xfId="7617" xr:uid="{00000000-0005-0000-0000-000085160000}"/>
    <cellStyle name="Note 2 2 3 3 2 6" xfId="3218" xr:uid="{00000000-0005-0000-0000-000086160000}"/>
    <cellStyle name="Note 2 2 3 3 2 6 2" xfId="9048" xr:uid="{00000000-0005-0000-0000-000087160000}"/>
    <cellStyle name="Note 2 2 3 3 2 7" xfId="4630" xr:uid="{00000000-0005-0000-0000-000088160000}"/>
    <cellStyle name="Note 2 2 3 3 2 7 2" xfId="10460" xr:uid="{00000000-0005-0000-0000-000089160000}"/>
    <cellStyle name="Note 2 2 3 3 2 8" xfId="6125" xr:uid="{00000000-0005-0000-0000-00008A160000}"/>
    <cellStyle name="Note 2 2 3 3 3" xfId="326" xr:uid="{00000000-0005-0000-0000-00008B160000}"/>
    <cellStyle name="Note 2 2 3 3 3 2" xfId="605" xr:uid="{00000000-0005-0000-0000-00008C160000}"/>
    <cellStyle name="Note 2 2 3 3 3 2 2" xfId="1340" xr:uid="{00000000-0005-0000-0000-00008D160000}"/>
    <cellStyle name="Note 2 2 3 3 3 2 2 2" xfId="2856" xr:uid="{00000000-0005-0000-0000-00008E160000}"/>
    <cellStyle name="Note 2 2 3 3 3 2 2 2 2" xfId="8686" xr:uid="{00000000-0005-0000-0000-00008F160000}"/>
    <cellStyle name="Note 2 2 3 3 3 2 2 3" xfId="4279" xr:uid="{00000000-0005-0000-0000-000090160000}"/>
    <cellStyle name="Note 2 2 3 3 3 2 2 3 2" xfId="10109" xr:uid="{00000000-0005-0000-0000-000091160000}"/>
    <cellStyle name="Note 2 2 3 3 3 2 2 4" xfId="5675" xr:uid="{00000000-0005-0000-0000-000092160000}"/>
    <cellStyle name="Note 2 2 3 3 3 2 2 4 2" xfId="11505" xr:uid="{00000000-0005-0000-0000-000093160000}"/>
    <cellStyle name="Note 2 2 3 3 3 2 2 5" xfId="7170" xr:uid="{00000000-0005-0000-0000-000094160000}"/>
    <cellStyle name="Note 2 2 3 3 3 2 3" xfId="2127" xr:uid="{00000000-0005-0000-0000-000095160000}"/>
    <cellStyle name="Note 2 2 3 3 3 2 3 2" xfId="7957" xr:uid="{00000000-0005-0000-0000-000096160000}"/>
    <cellStyle name="Note 2 2 3 3 3 2 4" xfId="3554" xr:uid="{00000000-0005-0000-0000-000097160000}"/>
    <cellStyle name="Note 2 2 3 3 3 2 4 2" xfId="9384" xr:uid="{00000000-0005-0000-0000-000098160000}"/>
    <cellStyle name="Note 2 2 3 3 3 2 5" xfId="4951" xr:uid="{00000000-0005-0000-0000-000099160000}"/>
    <cellStyle name="Note 2 2 3 3 3 2 5 2" xfId="10781" xr:uid="{00000000-0005-0000-0000-00009A160000}"/>
    <cellStyle name="Note 2 2 3 3 3 2 6" xfId="6446" xr:uid="{00000000-0005-0000-0000-00009B160000}"/>
    <cellStyle name="Note 2 2 3 3 3 3" xfId="849" xr:uid="{00000000-0005-0000-0000-00009C160000}"/>
    <cellStyle name="Note 2 2 3 3 3 3 2" xfId="1580" xr:uid="{00000000-0005-0000-0000-00009D160000}"/>
    <cellStyle name="Note 2 2 3 3 3 3 2 2" xfId="3096" xr:uid="{00000000-0005-0000-0000-00009E160000}"/>
    <cellStyle name="Note 2 2 3 3 3 3 2 2 2" xfId="8926" xr:uid="{00000000-0005-0000-0000-00009F160000}"/>
    <cellStyle name="Note 2 2 3 3 3 3 2 3" xfId="4519" xr:uid="{00000000-0005-0000-0000-0000A0160000}"/>
    <cellStyle name="Note 2 2 3 3 3 3 2 3 2" xfId="10349" xr:uid="{00000000-0005-0000-0000-0000A1160000}"/>
    <cellStyle name="Note 2 2 3 3 3 3 2 4" xfId="5915" xr:uid="{00000000-0005-0000-0000-0000A2160000}"/>
    <cellStyle name="Note 2 2 3 3 3 3 2 4 2" xfId="11745" xr:uid="{00000000-0005-0000-0000-0000A3160000}"/>
    <cellStyle name="Note 2 2 3 3 3 3 2 5" xfId="7410" xr:uid="{00000000-0005-0000-0000-0000A4160000}"/>
    <cellStyle name="Note 2 2 3 3 3 3 3" xfId="2369" xr:uid="{00000000-0005-0000-0000-0000A5160000}"/>
    <cellStyle name="Note 2 2 3 3 3 3 3 2" xfId="8199" xr:uid="{00000000-0005-0000-0000-0000A6160000}"/>
    <cellStyle name="Note 2 2 3 3 3 3 4" xfId="3795" xr:uid="{00000000-0005-0000-0000-0000A7160000}"/>
    <cellStyle name="Note 2 2 3 3 3 3 4 2" xfId="9625" xr:uid="{00000000-0005-0000-0000-0000A8160000}"/>
    <cellStyle name="Note 2 2 3 3 3 3 5" xfId="5191" xr:uid="{00000000-0005-0000-0000-0000A9160000}"/>
    <cellStyle name="Note 2 2 3 3 3 3 5 2" xfId="11021" xr:uid="{00000000-0005-0000-0000-0000AA160000}"/>
    <cellStyle name="Note 2 2 3 3 3 3 6" xfId="6686" xr:uid="{00000000-0005-0000-0000-0000AB160000}"/>
    <cellStyle name="Note 2 2 3 3 3 4" xfId="1093" xr:uid="{00000000-0005-0000-0000-0000AC160000}"/>
    <cellStyle name="Note 2 2 3 3 3 4 2" xfId="2613" xr:uid="{00000000-0005-0000-0000-0000AD160000}"/>
    <cellStyle name="Note 2 2 3 3 3 4 2 2" xfId="8443" xr:uid="{00000000-0005-0000-0000-0000AE160000}"/>
    <cellStyle name="Note 2 2 3 3 3 4 3" xfId="4039" xr:uid="{00000000-0005-0000-0000-0000AF160000}"/>
    <cellStyle name="Note 2 2 3 3 3 4 3 2" xfId="9869" xr:uid="{00000000-0005-0000-0000-0000B0160000}"/>
    <cellStyle name="Note 2 2 3 3 3 4 4" xfId="5435" xr:uid="{00000000-0005-0000-0000-0000B1160000}"/>
    <cellStyle name="Note 2 2 3 3 3 4 4 2" xfId="11265" xr:uid="{00000000-0005-0000-0000-0000B2160000}"/>
    <cellStyle name="Note 2 2 3 3 3 4 5" xfId="6930" xr:uid="{00000000-0005-0000-0000-0000B3160000}"/>
    <cellStyle name="Note 2 2 3 3 3 5" xfId="1867" xr:uid="{00000000-0005-0000-0000-0000B4160000}"/>
    <cellStyle name="Note 2 2 3 3 3 5 2" xfId="7697" xr:uid="{00000000-0005-0000-0000-0000B5160000}"/>
    <cellStyle name="Note 2 2 3 3 3 6" xfId="3298" xr:uid="{00000000-0005-0000-0000-0000B6160000}"/>
    <cellStyle name="Note 2 2 3 3 3 6 2" xfId="9128" xr:uid="{00000000-0005-0000-0000-0000B7160000}"/>
    <cellStyle name="Note 2 2 3 3 3 7" xfId="4710" xr:uid="{00000000-0005-0000-0000-0000B8160000}"/>
    <cellStyle name="Note 2 2 3 3 3 7 2" xfId="10540" xr:uid="{00000000-0005-0000-0000-0000B9160000}"/>
    <cellStyle name="Note 2 2 3 3 3 8" xfId="6205" xr:uid="{00000000-0005-0000-0000-0000BA160000}"/>
    <cellStyle name="Note 2 2 3 3 4" xfId="445" xr:uid="{00000000-0005-0000-0000-0000BB160000}"/>
    <cellStyle name="Note 2 2 3 3 4 2" xfId="1180" xr:uid="{00000000-0005-0000-0000-0000BC160000}"/>
    <cellStyle name="Note 2 2 3 3 4 2 2" xfId="2696" xr:uid="{00000000-0005-0000-0000-0000BD160000}"/>
    <cellStyle name="Note 2 2 3 3 4 2 2 2" xfId="8526" xr:uid="{00000000-0005-0000-0000-0000BE160000}"/>
    <cellStyle name="Note 2 2 3 3 4 2 3" xfId="4119" xr:uid="{00000000-0005-0000-0000-0000BF160000}"/>
    <cellStyle name="Note 2 2 3 3 4 2 3 2" xfId="9949" xr:uid="{00000000-0005-0000-0000-0000C0160000}"/>
    <cellStyle name="Note 2 2 3 3 4 2 4" xfId="5515" xr:uid="{00000000-0005-0000-0000-0000C1160000}"/>
    <cellStyle name="Note 2 2 3 3 4 2 4 2" xfId="11345" xr:uid="{00000000-0005-0000-0000-0000C2160000}"/>
    <cellStyle name="Note 2 2 3 3 4 2 5" xfId="7010" xr:uid="{00000000-0005-0000-0000-0000C3160000}"/>
    <cellStyle name="Note 2 2 3 3 4 3" xfId="1967" xr:uid="{00000000-0005-0000-0000-0000C4160000}"/>
    <cellStyle name="Note 2 2 3 3 4 3 2" xfId="7797" xr:uid="{00000000-0005-0000-0000-0000C5160000}"/>
    <cellStyle name="Note 2 2 3 3 4 4" xfId="3394" xr:uid="{00000000-0005-0000-0000-0000C6160000}"/>
    <cellStyle name="Note 2 2 3 3 4 4 2" xfId="9224" xr:uid="{00000000-0005-0000-0000-0000C7160000}"/>
    <cellStyle name="Note 2 2 3 3 4 5" xfId="4791" xr:uid="{00000000-0005-0000-0000-0000C8160000}"/>
    <cellStyle name="Note 2 2 3 3 4 5 2" xfId="10621" xr:uid="{00000000-0005-0000-0000-0000C9160000}"/>
    <cellStyle name="Note 2 2 3 3 4 6" xfId="6286" xr:uid="{00000000-0005-0000-0000-0000CA160000}"/>
    <cellStyle name="Note 2 2 3 3 5" xfId="689" xr:uid="{00000000-0005-0000-0000-0000CB160000}"/>
    <cellStyle name="Note 2 2 3 3 5 2" xfId="1420" xr:uid="{00000000-0005-0000-0000-0000CC160000}"/>
    <cellStyle name="Note 2 2 3 3 5 2 2" xfId="2936" xr:uid="{00000000-0005-0000-0000-0000CD160000}"/>
    <cellStyle name="Note 2 2 3 3 5 2 2 2" xfId="8766" xr:uid="{00000000-0005-0000-0000-0000CE160000}"/>
    <cellStyle name="Note 2 2 3 3 5 2 3" xfId="4359" xr:uid="{00000000-0005-0000-0000-0000CF160000}"/>
    <cellStyle name="Note 2 2 3 3 5 2 3 2" xfId="10189" xr:uid="{00000000-0005-0000-0000-0000D0160000}"/>
    <cellStyle name="Note 2 2 3 3 5 2 4" xfId="5755" xr:uid="{00000000-0005-0000-0000-0000D1160000}"/>
    <cellStyle name="Note 2 2 3 3 5 2 4 2" xfId="11585" xr:uid="{00000000-0005-0000-0000-0000D2160000}"/>
    <cellStyle name="Note 2 2 3 3 5 2 5" xfId="7250" xr:uid="{00000000-0005-0000-0000-0000D3160000}"/>
    <cellStyle name="Note 2 2 3 3 5 3" xfId="2209" xr:uid="{00000000-0005-0000-0000-0000D4160000}"/>
    <cellStyle name="Note 2 2 3 3 5 3 2" xfId="8039" xr:uid="{00000000-0005-0000-0000-0000D5160000}"/>
    <cellStyle name="Note 2 2 3 3 5 4" xfId="3635" xr:uid="{00000000-0005-0000-0000-0000D6160000}"/>
    <cellStyle name="Note 2 2 3 3 5 4 2" xfId="9465" xr:uid="{00000000-0005-0000-0000-0000D7160000}"/>
    <cellStyle name="Note 2 2 3 3 5 5" xfId="5031" xr:uid="{00000000-0005-0000-0000-0000D8160000}"/>
    <cellStyle name="Note 2 2 3 3 5 5 2" xfId="10861" xr:uid="{00000000-0005-0000-0000-0000D9160000}"/>
    <cellStyle name="Note 2 2 3 3 5 6" xfId="6526" xr:uid="{00000000-0005-0000-0000-0000DA160000}"/>
    <cellStyle name="Note 2 2 3 3 6" xfId="933" xr:uid="{00000000-0005-0000-0000-0000DB160000}"/>
    <cellStyle name="Note 2 2 3 3 6 2" xfId="2453" xr:uid="{00000000-0005-0000-0000-0000DC160000}"/>
    <cellStyle name="Note 2 2 3 3 6 2 2" xfId="8283" xr:uid="{00000000-0005-0000-0000-0000DD160000}"/>
    <cellStyle name="Note 2 2 3 3 6 3" xfId="3879" xr:uid="{00000000-0005-0000-0000-0000DE160000}"/>
    <cellStyle name="Note 2 2 3 3 6 3 2" xfId="9709" xr:uid="{00000000-0005-0000-0000-0000DF160000}"/>
    <cellStyle name="Note 2 2 3 3 6 4" xfId="5275" xr:uid="{00000000-0005-0000-0000-0000E0160000}"/>
    <cellStyle name="Note 2 2 3 3 6 4 2" xfId="11105" xr:uid="{00000000-0005-0000-0000-0000E1160000}"/>
    <cellStyle name="Note 2 2 3 3 6 5" xfId="6770" xr:uid="{00000000-0005-0000-0000-0000E2160000}"/>
    <cellStyle name="Note 2 2 3 3 7" xfId="1707" xr:uid="{00000000-0005-0000-0000-0000E3160000}"/>
    <cellStyle name="Note 2 2 3 3 7 2" xfId="7537" xr:uid="{00000000-0005-0000-0000-0000E4160000}"/>
    <cellStyle name="Note 2 2 3 3 8" xfId="3138" xr:uid="{00000000-0005-0000-0000-0000E5160000}"/>
    <cellStyle name="Note 2 2 3 3 8 2" xfId="8968" xr:uid="{00000000-0005-0000-0000-0000E6160000}"/>
    <cellStyle name="Note 2 2 3 3 9" xfId="4550" xr:uid="{00000000-0005-0000-0000-0000E7160000}"/>
    <cellStyle name="Note 2 2 3 3 9 2" xfId="10380" xr:uid="{00000000-0005-0000-0000-0000E8160000}"/>
    <cellStyle name="Note 2 2 3 4" xfId="205" xr:uid="{00000000-0005-0000-0000-0000E9160000}"/>
    <cellStyle name="Note 2 2 3 4 2" xfId="485" xr:uid="{00000000-0005-0000-0000-0000EA160000}"/>
    <cellStyle name="Note 2 2 3 4 2 2" xfId="1220" xr:uid="{00000000-0005-0000-0000-0000EB160000}"/>
    <cellStyle name="Note 2 2 3 4 2 2 2" xfId="2736" xr:uid="{00000000-0005-0000-0000-0000EC160000}"/>
    <cellStyle name="Note 2 2 3 4 2 2 2 2" xfId="8566" xr:uid="{00000000-0005-0000-0000-0000ED160000}"/>
    <cellStyle name="Note 2 2 3 4 2 2 3" xfId="4159" xr:uid="{00000000-0005-0000-0000-0000EE160000}"/>
    <cellStyle name="Note 2 2 3 4 2 2 3 2" xfId="9989" xr:uid="{00000000-0005-0000-0000-0000EF160000}"/>
    <cellStyle name="Note 2 2 3 4 2 2 4" xfId="5555" xr:uid="{00000000-0005-0000-0000-0000F0160000}"/>
    <cellStyle name="Note 2 2 3 4 2 2 4 2" xfId="11385" xr:uid="{00000000-0005-0000-0000-0000F1160000}"/>
    <cellStyle name="Note 2 2 3 4 2 2 5" xfId="7050" xr:uid="{00000000-0005-0000-0000-0000F2160000}"/>
    <cellStyle name="Note 2 2 3 4 2 3" xfId="2007" xr:uid="{00000000-0005-0000-0000-0000F3160000}"/>
    <cellStyle name="Note 2 2 3 4 2 3 2" xfId="7837" xr:uid="{00000000-0005-0000-0000-0000F4160000}"/>
    <cellStyle name="Note 2 2 3 4 2 4" xfId="3434" xr:uid="{00000000-0005-0000-0000-0000F5160000}"/>
    <cellStyle name="Note 2 2 3 4 2 4 2" xfId="9264" xr:uid="{00000000-0005-0000-0000-0000F6160000}"/>
    <cellStyle name="Note 2 2 3 4 2 5" xfId="4831" xr:uid="{00000000-0005-0000-0000-0000F7160000}"/>
    <cellStyle name="Note 2 2 3 4 2 5 2" xfId="10661" xr:uid="{00000000-0005-0000-0000-0000F8160000}"/>
    <cellStyle name="Note 2 2 3 4 2 6" xfId="6326" xr:uid="{00000000-0005-0000-0000-0000F9160000}"/>
    <cellStyle name="Note 2 2 3 4 3" xfId="729" xr:uid="{00000000-0005-0000-0000-0000FA160000}"/>
    <cellStyle name="Note 2 2 3 4 3 2" xfId="1460" xr:uid="{00000000-0005-0000-0000-0000FB160000}"/>
    <cellStyle name="Note 2 2 3 4 3 2 2" xfId="2976" xr:uid="{00000000-0005-0000-0000-0000FC160000}"/>
    <cellStyle name="Note 2 2 3 4 3 2 2 2" xfId="8806" xr:uid="{00000000-0005-0000-0000-0000FD160000}"/>
    <cellStyle name="Note 2 2 3 4 3 2 3" xfId="4399" xr:uid="{00000000-0005-0000-0000-0000FE160000}"/>
    <cellStyle name="Note 2 2 3 4 3 2 3 2" xfId="10229" xr:uid="{00000000-0005-0000-0000-0000FF160000}"/>
    <cellStyle name="Note 2 2 3 4 3 2 4" xfId="5795" xr:uid="{00000000-0005-0000-0000-000000170000}"/>
    <cellStyle name="Note 2 2 3 4 3 2 4 2" xfId="11625" xr:uid="{00000000-0005-0000-0000-000001170000}"/>
    <cellStyle name="Note 2 2 3 4 3 2 5" xfId="7290" xr:uid="{00000000-0005-0000-0000-000002170000}"/>
    <cellStyle name="Note 2 2 3 4 3 3" xfId="2249" xr:uid="{00000000-0005-0000-0000-000003170000}"/>
    <cellStyle name="Note 2 2 3 4 3 3 2" xfId="8079" xr:uid="{00000000-0005-0000-0000-000004170000}"/>
    <cellStyle name="Note 2 2 3 4 3 4" xfId="3675" xr:uid="{00000000-0005-0000-0000-000005170000}"/>
    <cellStyle name="Note 2 2 3 4 3 4 2" xfId="9505" xr:uid="{00000000-0005-0000-0000-000006170000}"/>
    <cellStyle name="Note 2 2 3 4 3 5" xfId="5071" xr:uid="{00000000-0005-0000-0000-000007170000}"/>
    <cellStyle name="Note 2 2 3 4 3 5 2" xfId="10901" xr:uid="{00000000-0005-0000-0000-000008170000}"/>
    <cellStyle name="Note 2 2 3 4 3 6" xfId="6566" xr:uid="{00000000-0005-0000-0000-000009170000}"/>
    <cellStyle name="Note 2 2 3 4 4" xfId="973" xr:uid="{00000000-0005-0000-0000-00000A170000}"/>
    <cellStyle name="Note 2 2 3 4 4 2" xfId="2493" xr:uid="{00000000-0005-0000-0000-00000B170000}"/>
    <cellStyle name="Note 2 2 3 4 4 2 2" xfId="8323" xr:uid="{00000000-0005-0000-0000-00000C170000}"/>
    <cellStyle name="Note 2 2 3 4 4 3" xfId="3919" xr:uid="{00000000-0005-0000-0000-00000D170000}"/>
    <cellStyle name="Note 2 2 3 4 4 3 2" xfId="9749" xr:uid="{00000000-0005-0000-0000-00000E170000}"/>
    <cellStyle name="Note 2 2 3 4 4 4" xfId="5315" xr:uid="{00000000-0005-0000-0000-00000F170000}"/>
    <cellStyle name="Note 2 2 3 4 4 4 2" xfId="11145" xr:uid="{00000000-0005-0000-0000-000010170000}"/>
    <cellStyle name="Note 2 2 3 4 4 5" xfId="6810" xr:uid="{00000000-0005-0000-0000-000011170000}"/>
    <cellStyle name="Note 2 2 3 4 5" xfId="1747" xr:uid="{00000000-0005-0000-0000-000012170000}"/>
    <cellStyle name="Note 2 2 3 4 5 2" xfId="7577" xr:uid="{00000000-0005-0000-0000-000013170000}"/>
    <cellStyle name="Note 2 2 3 4 6" xfId="3178" xr:uid="{00000000-0005-0000-0000-000014170000}"/>
    <cellStyle name="Note 2 2 3 4 6 2" xfId="9008" xr:uid="{00000000-0005-0000-0000-000015170000}"/>
    <cellStyle name="Note 2 2 3 4 7" xfId="4590" xr:uid="{00000000-0005-0000-0000-000016170000}"/>
    <cellStyle name="Note 2 2 3 4 7 2" xfId="10420" xr:uid="{00000000-0005-0000-0000-000017170000}"/>
    <cellStyle name="Note 2 2 3 4 8" xfId="6085" xr:uid="{00000000-0005-0000-0000-000018170000}"/>
    <cellStyle name="Note 2 2 3 5" xfId="286" xr:uid="{00000000-0005-0000-0000-000019170000}"/>
    <cellStyle name="Note 2 2 3 5 2" xfId="565" xr:uid="{00000000-0005-0000-0000-00001A170000}"/>
    <cellStyle name="Note 2 2 3 5 2 2" xfId="1300" xr:uid="{00000000-0005-0000-0000-00001B170000}"/>
    <cellStyle name="Note 2 2 3 5 2 2 2" xfId="2816" xr:uid="{00000000-0005-0000-0000-00001C170000}"/>
    <cellStyle name="Note 2 2 3 5 2 2 2 2" xfId="8646" xr:uid="{00000000-0005-0000-0000-00001D170000}"/>
    <cellStyle name="Note 2 2 3 5 2 2 3" xfId="4239" xr:uid="{00000000-0005-0000-0000-00001E170000}"/>
    <cellStyle name="Note 2 2 3 5 2 2 3 2" xfId="10069" xr:uid="{00000000-0005-0000-0000-00001F170000}"/>
    <cellStyle name="Note 2 2 3 5 2 2 4" xfId="5635" xr:uid="{00000000-0005-0000-0000-000020170000}"/>
    <cellStyle name="Note 2 2 3 5 2 2 4 2" xfId="11465" xr:uid="{00000000-0005-0000-0000-000021170000}"/>
    <cellStyle name="Note 2 2 3 5 2 2 5" xfId="7130" xr:uid="{00000000-0005-0000-0000-000022170000}"/>
    <cellStyle name="Note 2 2 3 5 2 3" xfId="2087" xr:uid="{00000000-0005-0000-0000-000023170000}"/>
    <cellStyle name="Note 2 2 3 5 2 3 2" xfId="7917" xr:uid="{00000000-0005-0000-0000-000024170000}"/>
    <cellStyle name="Note 2 2 3 5 2 4" xfId="3514" xr:uid="{00000000-0005-0000-0000-000025170000}"/>
    <cellStyle name="Note 2 2 3 5 2 4 2" xfId="9344" xr:uid="{00000000-0005-0000-0000-000026170000}"/>
    <cellStyle name="Note 2 2 3 5 2 5" xfId="4911" xr:uid="{00000000-0005-0000-0000-000027170000}"/>
    <cellStyle name="Note 2 2 3 5 2 5 2" xfId="10741" xr:uid="{00000000-0005-0000-0000-000028170000}"/>
    <cellStyle name="Note 2 2 3 5 2 6" xfId="6406" xr:uid="{00000000-0005-0000-0000-000029170000}"/>
    <cellStyle name="Note 2 2 3 5 3" xfId="809" xr:uid="{00000000-0005-0000-0000-00002A170000}"/>
    <cellStyle name="Note 2 2 3 5 3 2" xfId="1540" xr:uid="{00000000-0005-0000-0000-00002B170000}"/>
    <cellStyle name="Note 2 2 3 5 3 2 2" xfId="3056" xr:uid="{00000000-0005-0000-0000-00002C170000}"/>
    <cellStyle name="Note 2 2 3 5 3 2 2 2" xfId="8886" xr:uid="{00000000-0005-0000-0000-00002D170000}"/>
    <cellStyle name="Note 2 2 3 5 3 2 3" xfId="4479" xr:uid="{00000000-0005-0000-0000-00002E170000}"/>
    <cellStyle name="Note 2 2 3 5 3 2 3 2" xfId="10309" xr:uid="{00000000-0005-0000-0000-00002F170000}"/>
    <cellStyle name="Note 2 2 3 5 3 2 4" xfId="5875" xr:uid="{00000000-0005-0000-0000-000030170000}"/>
    <cellStyle name="Note 2 2 3 5 3 2 4 2" xfId="11705" xr:uid="{00000000-0005-0000-0000-000031170000}"/>
    <cellStyle name="Note 2 2 3 5 3 2 5" xfId="7370" xr:uid="{00000000-0005-0000-0000-000032170000}"/>
    <cellStyle name="Note 2 2 3 5 3 3" xfId="2329" xr:uid="{00000000-0005-0000-0000-000033170000}"/>
    <cellStyle name="Note 2 2 3 5 3 3 2" xfId="8159" xr:uid="{00000000-0005-0000-0000-000034170000}"/>
    <cellStyle name="Note 2 2 3 5 3 4" xfId="3755" xr:uid="{00000000-0005-0000-0000-000035170000}"/>
    <cellStyle name="Note 2 2 3 5 3 4 2" xfId="9585" xr:uid="{00000000-0005-0000-0000-000036170000}"/>
    <cellStyle name="Note 2 2 3 5 3 5" xfId="5151" xr:uid="{00000000-0005-0000-0000-000037170000}"/>
    <cellStyle name="Note 2 2 3 5 3 5 2" xfId="10981" xr:uid="{00000000-0005-0000-0000-000038170000}"/>
    <cellStyle name="Note 2 2 3 5 3 6" xfId="6646" xr:uid="{00000000-0005-0000-0000-000039170000}"/>
    <cellStyle name="Note 2 2 3 5 4" xfId="1053" xr:uid="{00000000-0005-0000-0000-00003A170000}"/>
    <cellStyle name="Note 2 2 3 5 4 2" xfId="2573" xr:uid="{00000000-0005-0000-0000-00003B170000}"/>
    <cellStyle name="Note 2 2 3 5 4 2 2" xfId="8403" xr:uid="{00000000-0005-0000-0000-00003C170000}"/>
    <cellStyle name="Note 2 2 3 5 4 3" xfId="3999" xr:uid="{00000000-0005-0000-0000-00003D170000}"/>
    <cellStyle name="Note 2 2 3 5 4 3 2" xfId="9829" xr:uid="{00000000-0005-0000-0000-00003E170000}"/>
    <cellStyle name="Note 2 2 3 5 4 4" xfId="5395" xr:uid="{00000000-0005-0000-0000-00003F170000}"/>
    <cellStyle name="Note 2 2 3 5 4 4 2" xfId="11225" xr:uid="{00000000-0005-0000-0000-000040170000}"/>
    <cellStyle name="Note 2 2 3 5 4 5" xfId="6890" xr:uid="{00000000-0005-0000-0000-000041170000}"/>
    <cellStyle name="Note 2 2 3 5 5" xfId="1827" xr:uid="{00000000-0005-0000-0000-000042170000}"/>
    <cellStyle name="Note 2 2 3 5 5 2" xfId="7657" xr:uid="{00000000-0005-0000-0000-000043170000}"/>
    <cellStyle name="Note 2 2 3 5 6" xfId="3258" xr:uid="{00000000-0005-0000-0000-000044170000}"/>
    <cellStyle name="Note 2 2 3 5 6 2" xfId="9088" xr:uid="{00000000-0005-0000-0000-000045170000}"/>
    <cellStyle name="Note 2 2 3 5 7" xfId="4670" xr:uid="{00000000-0005-0000-0000-000046170000}"/>
    <cellStyle name="Note 2 2 3 5 7 2" xfId="10500" xr:uid="{00000000-0005-0000-0000-000047170000}"/>
    <cellStyle name="Note 2 2 3 5 8" xfId="6165" xr:uid="{00000000-0005-0000-0000-000048170000}"/>
    <cellStyle name="Note 2 2 3 6" xfId="405" xr:uid="{00000000-0005-0000-0000-000049170000}"/>
    <cellStyle name="Note 2 2 3 6 2" xfId="1140" xr:uid="{00000000-0005-0000-0000-00004A170000}"/>
    <cellStyle name="Note 2 2 3 6 2 2" xfId="2656" xr:uid="{00000000-0005-0000-0000-00004B170000}"/>
    <cellStyle name="Note 2 2 3 6 2 2 2" xfId="8486" xr:uid="{00000000-0005-0000-0000-00004C170000}"/>
    <cellStyle name="Note 2 2 3 6 2 3" xfId="4079" xr:uid="{00000000-0005-0000-0000-00004D170000}"/>
    <cellStyle name="Note 2 2 3 6 2 3 2" xfId="9909" xr:uid="{00000000-0005-0000-0000-00004E170000}"/>
    <cellStyle name="Note 2 2 3 6 2 4" xfId="5475" xr:uid="{00000000-0005-0000-0000-00004F170000}"/>
    <cellStyle name="Note 2 2 3 6 2 4 2" xfId="11305" xr:uid="{00000000-0005-0000-0000-000050170000}"/>
    <cellStyle name="Note 2 2 3 6 2 5" xfId="6970" xr:uid="{00000000-0005-0000-0000-000051170000}"/>
    <cellStyle name="Note 2 2 3 6 3" xfId="1927" xr:uid="{00000000-0005-0000-0000-000052170000}"/>
    <cellStyle name="Note 2 2 3 6 3 2" xfId="7757" xr:uid="{00000000-0005-0000-0000-000053170000}"/>
    <cellStyle name="Note 2 2 3 6 4" xfId="3354" xr:uid="{00000000-0005-0000-0000-000054170000}"/>
    <cellStyle name="Note 2 2 3 6 4 2" xfId="9184" xr:uid="{00000000-0005-0000-0000-000055170000}"/>
    <cellStyle name="Note 2 2 3 6 5" xfId="4751" xr:uid="{00000000-0005-0000-0000-000056170000}"/>
    <cellStyle name="Note 2 2 3 6 5 2" xfId="10581" xr:uid="{00000000-0005-0000-0000-000057170000}"/>
    <cellStyle name="Note 2 2 3 6 6" xfId="6246" xr:uid="{00000000-0005-0000-0000-000058170000}"/>
    <cellStyle name="Note 2 2 3 7" xfId="649" xr:uid="{00000000-0005-0000-0000-000059170000}"/>
    <cellStyle name="Note 2 2 3 7 2" xfId="1380" xr:uid="{00000000-0005-0000-0000-00005A170000}"/>
    <cellStyle name="Note 2 2 3 7 2 2" xfId="2896" xr:uid="{00000000-0005-0000-0000-00005B170000}"/>
    <cellStyle name="Note 2 2 3 7 2 2 2" xfId="8726" xr:uid="{00000000-0005-0000-0000-00005C170000}"/>
    <cellStyle name="Note 2 2 3 7 2 3" xfId="4319" xr:uid="{00000000-0005-0000-0000-00005D170000}"/>
    <cellStyle name="Note 2 2 3 7 2 3 2" xfId="10149" xr:uid="{00000000-0005-0000-0000-00005E170000}"/>
    <cellStyle name="Note 2 2 3 7 2 4" xfId="5715" xr:uid="{00000000-0005-0000-0000-00005F170000}"/>
    <cellStyle name="Note 2 2 3 7 2 4 2" xfId="11545" xr:uid="{00000000-0005-0000-0000-000060170000}"/>
    <cellStyle name="Note 2 2 3 7 2 5" xfId="7210" xr:uid="{00000000-0005-0000-0000-000061170000}"/>
    <cellStyle name="Note 2 2 3 7 3" xfId="2169" xr:uid="{00000000-0005-0000-0000-000062170000}"/>
    <cellStyle name="Note 2 2 3 7 3 2" xfId="7999" xr:uid="{00000000-0005-0000-0000-000063170000}"/>
    <cellStyle name="Note 2 2 3 7 4" xfId="3595" xr:uid="{00000000-0005-0000-0000-000064170000}"/>
    <cellStyle name="Note 2 2 3 7 4 2" xfId="9425" xr:uid="{00000000-0005-0000-0000-000065170000}"/>
    <cellStyle name="Note 2 2 3 7 5" xfId="4991" xr:uid="{00000000-0005-0000-0000-000066170000}"/>
    <cellStyle name="Note 2 2 3 7 5 2" xfId="10821" xr:uid="{00000000-0005-0000-0000-000067170000}"/>
    <cellStyle name="Note 2 2 3 7 6" xfId="6486" xr:uid="{00000000-0005-0000-0000-000068170000}"/>
    <cellStyle name="Note 2 2 3 8" xfId="893" xr:uid="{00000000-0005-0000-0000-000069170000}"/>
    <cellStyle name="Note 2 2 3 8 2" xfId="2413" xr:uid="{00000000-0005-0000-0000-00006A170000}"/>
    <cellStyle name="Note 2 2 3 8 2 2" xfId="8243" xr:uid="{00000000-0005-0000-0000-00006B170000}"/>
    <cellStyle name="Note 2 2 3 8 3" xfId="3839" xr:uid="{00000000-0005-0000-0000-00006C170000}"/>
    <cellStyle name="Note 2 2 3 8 3 2" xfId="9669" xr:uid="{00000000-0005-0000-0000-00006D170000}"/>
    <cellStyle name="Note 2 2 3 8 4" xfId="5235" xr:uid="{00000000-0005-0000-0000-00006E170000}"/>
    <cellStyle name="Note 2 2 3 8 4 2" xfId="11065" xr:uid="{00000000-0005-0000-0000-00006F170000}"/>
    <cellStyle name="Note 2 2 3 8 5" xfId="6730" xr:uid="{00000000-0005-0000-0000-000070170000}"/>
    <cellStyle name="Note 2 2 3 9" xfId="1667" xr:uid="{00000000-0005-0000-0000-000071170000}"/>
    <cellStyle name="Note 2 2 3 9 2" xfId="7497" xr:uid="{00000000-0005-0000-0000-000072170000}"/>
    <cellStyle name="Note 2 2 4" xfId="129" xr:uid="{00000000-0005-0000-0000-000073170000}"/>
    <cellStyle name="Note 2 2 4 10" xfId="1639" xr:uid="{00000000-0005-0000-0000-000074170000}"/>
    <cellStyle name="Note 2 2 4 10 2" xfId="7469" xr:uid="{00000000-0005-0000-0000-000075170000}"/>
    <cellStyle name="Note 2 2 4 11" xfId="2156" xr:uid="{00000000-0005-0000-0000-000076170000}"/>
    <cellStyle name="Note 2 2 4 11 2" xfId="7986" xr:uid="{00000000-0005-0000-0000-000077170000}"/>
    <cellStyle name="Note 2 2 4 12" xfId="6010" xr:uid="{00000000-0005-0000-0000-000078170000}"/>
    <cellStyle name="Note 2 2 4 2" xfId="150" xr:uid="{00000000-0005-0000-0000-000079170000}"/>
    <cellStyle name="Note 2 2 4 2 10" xfId="3333" xr:uid="{00000000-0005-0000-0000-00007A170000}"/>
    <cellStyle name="Note 2 2 4 2 10 2" xfId="9163" xr:uid="{00000000-0005-0000-0000-00007B170000}"/>
    <cellStyle name="Note 2 2 4 2 11" xfId="6030" xr:uid="{00000000-0005-0000-0000-00007C170000}"/>
    <cellStyle name="Note 2 2 4 2 2" xfId="190" xr:uid="{00000000-0005-0000-0000-00007D170000}"/>
    <cellStyle name="Note 2 2 4 2 2 10" xfId="6070" xr:uid="{00000000-0005-0000-0000-00007E170000}"/>
    <cellStyle name="Note 2 2 4 2 2 2" xfId="271" xr:uid="{00000000-0005-0000-0000-00007F170000}"/>
    <cellStyle name="Note 2 2 4 2 2 2 2" xfId="550" xr:uid="{00000000-0005-0000-0000-000080170000}"/>
    <cellStyle name="Note 2 2 4 2 2 2 2 2" xfId="1285" xr:uid="{00000000-0005-0000-0000-000081170000}"/>
    <cellStyle name="Note 2 2 4 2 2 2 2 2 2" xfId="2801" xr:uid="{00000000-0005-0000-0000-000082170000}"/>
    <cellStyle name="Note 2 2 4 2 2 2 2 2 2 2" xfId="8631" xr:uid="{00000000-0005-0000-0000-000083170000}"/>
    <cellStyle name="Note 2 2 4 2 2 2 2 2 3" xfId="4224" xr:uid="{00000000-0005-0000-0000-000084170000}"/>
    <cellStyle name="Note 2 2 4 2 2 2 2 2 3 2" xfId="10054" xr:uid="{00000000-0005-0000-0000-000085170000}"/>
    <cellStyle name="Note 2 2 4 2 2 2 2 2 4" xfId="5620" xr:uid="{00000000-0005-0000-0000-000086170000}"/>
    <cellStyle name="Note 2 2 4 2 2 2 2 2 4 2" xfId="11450" xr:uid="{00000000-0005-0000-0000-000087170000}"/>
    <cellStyle name="Note 2 2 4 2 2 2 2 2 5" xfId="7115" xr:uid="{00000000-0005-0000-0000-000088170000}"/>
    <cellStyle name="Note 2 2 4 2 2 2 2 3" xfId="2072" xr:uid="{00000000-0005-0000-0000-000089170000}"/>
    <cellStyle name="Note 2 2 4 2 2 2 2 3 2" xfId="7902" xr:uid="{00000000-0005-0000-0000-00008A170000}"/>
    <cellStyle name="Note 2 2 4 2 2 2 2 4" xfId="3499" xr:uid="{00000000-0005-0000-0000-00008B170000}"/>
    <cellStyle name="Note 2 2 4 2 2 2 2 4 2" xfId="9329" xr:uid="{00000000-0005-0000-0000-00008C170000}"/>
    <cellStyle name="Note 2 2 4 2 2 2 2 5" xfId="4896" xr:uid="{00000000-0005-0000-0000-00008D170000}"/>
    <cellStyle name="Note 2 2 4 2 2 2 2 5 2" xfId="10726" xr:uid="{00000000-0005-0000-0000-00008E170000}"/>
    <cellStyle name="Note 2 2 4 2 2 2 2 6" xfId="6391" xr:uid="{00000000-0005-0000-0000-00008F170000}"/>
    <cellStyle name="Note 2 2 4 2 2 2 3" xfId="794" xr:uid="{00000000-0005-0000-0000-000090170000}"/>
    <cellStyle name="Note 2 2 4 2 2 2 3 2" xfId="1525" xr:uid="{00000000-0005-0000-0000-000091170000}"/>
    <cellStyle name="Note 2 2 4 2 2 2 3 2 2" xfId="3041" xr:uid="{00000000-0005-0000-0000-000092170000}"/>
    <cellStyle name="Note 2 2 4 2 2 2 3 2 2 2" xfId="8871" xr:uid="{00000000-0005-0000-0000-000093170000}"/>
    <cellStyle name="Note 2 2 4 2 2 2 3 2 3" xfId="4464" xr:uid="{00000000-0005-0000-0000-000094170000}"/>
    <cellStyle name="Note 2 2 4 2 2 2 3 2 3 2" xfId="10294" xr:uid="{00000000-0005-0000-0000-000095170000}"/>
    <cellStyle name="Note 2 2 4 2 2 2 3 2 4" xfId="5860" xr:uid="{00000000-0005-0000-0000-000096170000}"/>
    <cellStyle name="Note 2 2 4 2 2 2 3 2 4 2" xfId="11690" xr:uid="{00000000-0005-0000-0000-000097170000}"/>
    <cellStyle name="Note 2 2 4 2 2 2 3 2 5" xfId="7355" xr:uid="{00000000-0005-0000-0000-000098170000}"/>
    <cellStyle name="Note 2 2 4 2 2 2 3 3" xfId="2314" xr:uid="{00000000-0005-0000-0000-000099170000}"/>
    <cellStyle name="Note 2 2 4 2 2 2 3 3 2" xfId="8144" xr:uid="{00000000-0005-0000-0000-00009A170000}"/>
    <cellStyle name="Note 2 2 4 2 2 2 3 4" xfId="3740" xr:uid="{00000000-0005-0000-0000-00009B170000}"/>
    <cellStyle name="Note 2 2 4 2 2 2 3 4 2" xfId="9570" xr:uid="{00000000-0005-0000-0000-00009C170000}"/>
    <cellStyle name="Note 2 2 4 2 2 2 3 5" xfId="5136" xr:uid="{00000000-0005-0000-0000-00009D170000}"/>
    <cellStyle name="Note 2 2 4 2 2 2 3 5 2" xfId="10966" xr:uid="{00000000-0005-0000-0000-00009E170000}"/>
    <cellStyle name="Note 2 2 4 2 2 2 3 6" xfId="6631" xr:uid="{00000000-0005-0000-0000-00009F170000}"/>
    <cellStyle name="Note 2 2 4 2 2 2 4" xfId="1038" xr:uid="{00000000-0005-0000-0000-0000A0170000}"/>
    <cellStyle name="Note 2 2 4 2 2 2 4 2" xfId="2558" xr:uid="{00000000-0005-0000-0000-0000A1170000}"/>
    <cellStyle name="Note 2 2 4 2 2 2 4 2 2" xfId="8388" xr:uid="{00000000-0005-0000-0000-0000A2170000}"/>
    <cellStyle name="Note 2 2 4 2 2 2 4 3" xfId="3984" xr:uid="{00000000-0005-0000-0000-0000A3170000}"/>
    <cellStyle name="Note 2 2 4 2 2 2 4 3 2" xfId="9814" xr:uid="{00000000-0005-0000-0000-0000A4170000}"/>
    <cellStyle name="Note 2 2 4 2 2 2 4 4" xfId="5380" xr:uid="{00000000-0005-0000-0000-0000A5170000}"/>
    <cellStyle name="Note 2 2 4 2 2 2 4 4 2" xfId="11210" xr:uid="{00000000-0005-0000-0000-0000A6170000}"/>
    <cellStyle name="Note 2 2 4 2 2 2 4 5" xfId="6875" xr:uid="{00000000-0005-0000-0000-0000A7170000}"/>
    <cellStyle name="Note 2 2 4 2 2 2 5" xfId="1812" xr:uid="{00000000-0005-0000-0000-0000A8170000}"/>
    <cellStyle name="Note 2 2 4 2 2 2 5 2" xfId="7642" xr:uid="{00000000-0005-0000-0000-0000A9170000}"/>
    <cellStyle name="Note 2 2 4 2 2 2 6" xfId="3243" xr:uid="{00000000-0005-0000-0000-0000AA170000}"/>
    <cellStyle name="Note 2 2 4 2 2 2 6 2" xfId="9073" xr:uid="{00000000-0005-0000-0000-0000AB170000}"/>
    <cellStyle name="Note 2 2 4 2 2 2 7" xfId="4655" xr:uid="{00000000-0005-0000-0000-0000AC170000}"/>
    <cellStyle name="Note 2 2 4 2 2 2 7 2" xfId="10485" xr:uid="{00000000-0005-0000-0000-0000AD170000}"/>
    <cellStyle name="Note 2 2 4 2 2 2 8" xfId="6150" xr:uid="{00000000-0005-0000-0000-0000AE170000}"/>
    <cellStyle name="Note 2 2 4 2 2 3" xfId="351" xr:uid="{00000000-0005-0000-0000-0000AF170000}"/>
    <cellStyle name="Note 2 2 4 2 2 3 2" xfId="630" xr:uid="{00000000-0005-0000-0000-0000B0170000}"/>
    <cellStyle name="Note 2 2 4 2 2 3 2 2" xfId="1365" xr:uid="{00000000-0005-0000-0000-0000B1170000}"/>
    <cellStyle name="Note 2 2 4 2 2 3 2 2 2" xfId="2881" xr:uid="{00000000-0005-0000-0000-0000B2170000}"/>
    <cellStyle name="Note 2 2 4 2 2 3 2 2 2 2" xfId="8711" xr:uid="{00000000-0005-0000-0000-0000B3170000}"/>
    <cellStyle name="Note 2 2 4 2 2 3 2 2 3" xfId="4304" xr:uid="{00000000-0005-0000-0000-0000B4170000}"/>
    <cellStyle name="Note 2 2 4 2 2 3 2 2 3 2" xfId="10134" xr:uid="{00000000-0005-0000-0000-0000B5170000}"/>
    <cellStyle name="Note 2 2 4 2 2 3 2 2 4" xfId="5700" xr:uid="{00000000-0005-0000-0000-0000B6170000}"/>
    <cellStyle name="Note 2 2 4 2 2 3 2 2 4 2" xfId="11530" xr:uid="{00000000-0005-0000-0000-0000B7170000}"/>
    <cellStyle name="Note 2 2 4 2 2 3 2 2 5" xfId="7195" xr:uid="{00000000-0005-0000-0000-0000B8170000}"/>
    <cellStyle name="Note 2 2 4 2 2 3 2 3" xfId="2152" xr:uid="{00000000-0005-0000-0000-0000B9170000}"/>
    <cellStyle name="Note 2 2 4 2 2 3 2 3 2" xfId="7982" xr:uid="{00000000-0005-0000-0000-0000BA170000}"/>
    <cellStyle name="Note 2 2 4 2 2 3 2 4" xfId="3579" xr:uid="{00000000-0005-0000-0000-0000BB170000}"/>
    <cellStyle name="Note 2 2 4 2 2 3 2 4 2" xfId="9409" xr:uid="{00000000-0005-0000-0000-0000BC170000}"/>
    <cellStyle name="Note 2 2 4 2 2 3 2 5" xfId="4976" xr:uid="{00000000-0005-0000-0000-0000BD170000}"/>
    <cellStyle name="Note 2 2 4 2 2 3 2 5 2" xfId="10806" xr:uid="{00000000-0005-0000-0000-0000BE170000}"/>
    <cellStyle name="Note 2 2 4 2 2 3 2 6" xfId="6471" xr:uid="{00000000-0005-0000-0000-0000BF170000}"/>
    <cellStyle name="Note 2 2 4 2 2 3 3" xfId="874" xr:uid="{00000000-0005-0000-0000-0000C0170000}"/>
    <cellStyle name="Note 2 2 4 2 2 3 3 2" xfId="1605" xr:uid="{00000000-0005-0000-0000-0000C1170000}"/>
    <cellStyle name="Note 2 2 4 2 2 3 3 2 2" xfId="3121" xr:uid="{00000000-0005-0000-0000-0000C2170000}"/>
    <cellStyle name="Note 2 2 4 2 2 3 3 2 2 2" xfId="8951" xr:uid="{00000000-0005-0000-0000-0000C3170000}"/>
    <cellStyle name="Note 2 2 4 2 2 3 3 2 3" xfId="4544" xr:uid="{00000000-0005-0000-0000-0000C4170000}"/>
    <cellStyle name="Note 2 2 4 2 2 3 3 2 3 2" xfId="10374" xr:uid="{00000000-0005-0000-0000-0000C5170000}"/>
    <cellStyle name="Note 2 2 4 2 2 3 3 2 4" xfId="5940" xr:uid="{00000000-0005-0000-0000-0000C6170000}"/>
    <cellStyle name="Note 2 2 4 2 2 3 3 2 4 2" xfId="11770" xr:uid="{00000000-0005-0000-0000-0000C7170000}"/>
    <cellStyle name="Note 2 2 4 2 2 3 3 2 5" xfId="7435" xr:uid="{00000000-0005-0000-0000-0000C8170000}"/>
    <cellStyle name="Note 2 2 4 2 2 3 3 3" xfId="2394" xr:uid="{00000000-0005-0000-0000-0000C9170000}"/>
    <cellStyle name="Note 2 2 4 2 2 3 3 3 2" xfId="8224" xr:uid="{00000000-0005-0000-0000-0000CA170000}"/>
    <cellStyle name="Note 2 2 4 2 2 3 3 4" xfId="3820" xr:uid="{00000000-0005-0000-0000-0000CB170000}"/>
    <cellStyle name="Note 2 2 4 2 2 3 3 4 2" xfId="9650" xr:uid="{00000000-0005-0000-0000-0000CC170000}"/>
    <cellStyle name="Note 2 2 4 2 2 3 3 5" xfId="5216" xr:uid="{00000000-0005-0000-0000-0000CD170000}"/>
    <cellStyle name="Note 2 2 4 2 2 3 3 5 2" xfId="11046" xr:uid="{00000000-0005-0000-0000-0000CE170000}"/>
    <cellStyle name="Note 2 2 4 2 2 3 3 6" xfId="6711" xr:uid="{00000000-0005-0000-0000-0000CF170000}"/>
    <cellStyle name="Note 2 2 4 2 2 3 4" xfId="1118" xr:uid="{00000000-0005-0000-0000-0000D0170000}"/>
    <cellStyle name="Note 2 2 4 2 2 3 4 2" xfId="2638" xr:uid="{00000000-0005-0000-0000-0000D1170000}"/>
    <cellStyle name="Note 2 2 4 2 2 3 4 2 2" xfId="8468" xr:uid="{00000000-0005-0000-0000-0000D2170000}"/>
    <cellStyle name="Note 2 2 4 2 2 3 4 3" xfId="4064" xr:uid="{00000000-0005-0000-0000-0000D3170000}"/>
    <cellStyle name="Note 2 2 4 2 2 3 4 3 2" xfId="9894" xr:uid="{00000000-0005-0000-0000-0000D4170000}"/>
    <cellStyle name="Note 2 2 4 2 2 3 4 4" xfId="5460" xr:uid="{00000000-0005-0000-0000-0000D5170000}"/>
    <cellStyle name="Note 2 2 4 2 2 3 4 4 2" xfId="11290" xr:uid="{00000000-0005-0000-0000-0000D6170000}"/>
    <cellStyle name="Note 2 2 4 2 2 3 4 5" xfId="6955" xr:uid="{00000000-0005-0000-0000-0000D7170000}"/>
    <cellStyle name="Note 2 2 4 2 2 3 5" xfId="1892" xr:uid="{00000000-0005-0000-0000-0000D8170000}"/>
    <cellStyle name="Note 2 2 4 2 2 3 5 2" xfId="7722" xr:uid="{00000000-0005-0000-0000-0000D9170000}"/>
    <cellStyle name="Note 2 2 4 2 2 3 6" xfId="3323" xr:uid="{00000000-0005-0000-0000-0000DA170000}"/>
    <cellStyle name="Note 2 2 4 2 2 3 6 2" xfId="9153" xr:uid="{00000000-0005-0000-0000-0000DB170000}"/>
    <cellStyle name="Note 2 2 4 2 2 3 7" xfId="4735" xr:uid="{00000000-0005-0000-0000-0000DC170000}"/>
    <cellStyle name="Note 2 2 4 2 2 3 7 2" xfId="10565" xr:uid="{00000000-0005-0000-0000-0000DD170000}"/>
    <cellStyle name="Note 2 2 4 2 2 3 8" xfId="6230" xr:uid="{00000000-0005-0000-0000-0000DE170000}"/>
    <cellStyle name="Note 2 2 4 2 2 4" xfId="470" xr:uid="{00000000-0005-0000-0000-0000DF170000}"/>
    <cellStyle name="Note 2 2 4 2 2 4 2" xfId="1205" xr:uid="{00000000-0005-0000-0000-0000E0170000}"/>
    <cellStyle name="Note 2 2 4 2 2 4 2 2" xfId="2721" xr:uid="{00000000-0005-0000-0000-0000E1170000}"/>
    <cellStyle name="Note 2 2 4 2 2 4 2 2 2" xfId="8551" xr:uid="{00000000-0005-0000-0000-0000E2170000}"/>
    <cellStyle name="Note 2 2 4 2 2 4 2 3" xfId="4144" xr:uid="{00000000-0005-0000-0000-0000E3170000}"/>
    <cellStyle name="Note 2 2 4 2 2 4 2 3 2" xfId="9974" xr:uid="{00000000-0005-0000-0000-0000E4170000}"/>
    <cellStyle name="Note 2 2 4 2 2 4 2 4" xfId="5540" xr:uid="{00000000-0005-0000-0000-0000E5170000}"/>
    <cellStyle name="Note 2 2 4 2 2 4 2 4 2" xfId="11370" xr:uid="{00000000-0005-0000-0000-0000E6170000}"/>
    <cellStyle name="Note 2 2 4 2 2 4 2 5" xfId="7035" xr:uid="{00000000-0005-0000-0000-0000E7170000}"/>
    <cellStyle name="Note 2 2 4 2 2 4 3" xfId="1992" xr:uid="{00000000-0005-0000-0000-0000E8170000}"/>
    <cellStyle name="Note 2 2 4 2 2 4 3 2" xfId="7822" xr:uid="{00000000-0005-0000-0000-0000E9170000}"/>
    <cellStyle name="Note 2 2 4 2 2 4 4" xfId="3419" xr:uid="{00000000-0005-0000-0000-0000EA170000}"/>
    <cellStyle name="Note 2 2 4 2 2 4 4 2" xfId="9249" xr:uid="{00000000-0005-0000-0000-0000EB170000}"/>
    <cellStyle name="Note 2 2 4 2 2 4 5" xfId="4816" xr:uid="{00000000-0005-0000-0000-0000EC170000}"/>
    <cellStyle name="Note 2 2 4 2 2 4 5 2" xfId="10646" xr:uid="{00000000-0005-0000-0000-0000ED170000}"/>
    <cellStyle name="Note 2 2 4 2 2 4 6" xfId="6311" xr:uid="{00000000-0005-0000-0000-0000EE170000}"/>
    <cellStyle name="Note 2 2 4 2 2 5" xfId="714" xr:uid="{00000000-0005-0000-0000-0000EF170000}"/>
    <cellStyle name="Note 2 2 4 2 2 5 2" xfId="1445" xr:uid="{00000000-0005-0000-0000-0000F0170000}"/>
    <cellStyle name="Note 2 2 4 2 2 5 2 2" xfId="2961" xr:uid="{00000000-0005-0000-0000-0000F1170000}"/>
    <cellStyle name="Note 2 2 4 2 2 5 2 2 2" xfId="8791" xr:uid="{00000000-0005-0000-0000-0000F2170000}"/>
    <cellStyle name="Note 2 2 4 2 2 5 2 3" xfId="4384" xr:uid="{00000000-0005-0000-0000-0000F3170000}"/>
    <cellStyle name="Note 2 2 4 2 2 5 2 3 2" xfId="10214" xr:uid="{00000000-0005-0000-0000-0000F4170000}"/>
    <cellStyle name="Note 2 2 4 2 2 5 2 4" xfId="5780" xr:uid="{00000000-0005-0000-0000-0000F5170000}"/>
    <cellStyle name="Note 2 2 4 2 2 5 2 4 2" xfId="11610" xr:uid="{00000000-0005-0000-0000-0000F6170000}"/>
    <cellStyle name="Note 2 2 4 2 2 5 2 5" xfId="7275" xr:uid="{00000000-0005-0000-0000-0000F7170000}"/>
    <cellStyle name="Note 2 2 4 2 2 5 3" xfId="2234" xr:uid="{00000000-0005-0000-0000-0000F8170000}"/>
    <cellStyle name="Note 2 2 4 2 2 5 3 2" xfId="8064" xr:uid="{00000000-0005-0000-0000-0000F9170000}"/>
    <cellStyle name="Note 2 2 4 2 2 5 4" xfId="3660" xr:uid="{00000000-0005-0000-0000-0000FA170000}"/>
    <cellStyle name="Note 2 2 4 2 2 5 4 2" xfId="9490" xr:uid="{00000000-0005-0000-0000-0000FB170000}"/>
    <cellStyle name="Note 2 2 4 2 2 5 5" xfId="5056" xr:uid="{00000000-0005-0000-0000-0000FC170000}"/>
    <cellStyle name="Note 2 2 4 2 2 5 5 2" xfId="10886" xr:uid="{00000000-0005-0000-0000-0000FD170000}"/>
    <cellStyle name="Note 2 2 4 2 2 5 6" xfId="6551" xr:uid="{00000000-0005-0000-0000-0000FE170000}"/>
    <cellStyle name="Note 2 2 4 2 2 6" xfId="958" xr:uid="{00000000-0005-0000-0000-0000FF170000}"/>
    <cellStyle name="Note 2 2 4 2 2 6 2" xfId="2478" xr:uid="{00000000-0005-0000-0000-000000180000}"/>
    <cellStyle name="Note 2 2 4 2 2 6 2 2" xfId="8308" xr:uid="{00000000-0005-0000-0000-000001180000}"/>
    <cellStyle name="Note 2 2 4 2 2 6 3" xfId="3904" xr:uid="{00000000-0005-0000-0000-000002180000}"/>
    <cellStyle name="Note 2 2 4 2 2 6 3 2" xfId="9734" xr:uid="{00000000-0005-0000-0000-000003180000}"/>
    <cellStyle name="Note 2 2 4 2 2 6 4" xfId="5300" xr:uid="{00000000-0005-0000-0000-000004180000}"/>
    <cellStyle name="Note 2 2 4 2 2 6 4 2" xfId="11130" xr:uid="{00000000-0005-0000-0000-000005180000}"/>
    <cellStyle name="Note 2 2 4 2 2 6 5" xfId="6795" xr:uid="{00000000-0005-0000-0000-000006180000}"/>
    <cellStyle name="Note 2 2 4 2 2 7" xfId="1732" xr:uid="{00000000-0005-0000-0000-000007180000}"/>
    <cellStyle name="Note 2 2 4 2 2 7 2" xfId="7562" xr:uid="{00000000-0005-0000-0000-000008180000}"/>
    <cellStyle name="Note 2 2 4 2 2 8" xfId="3163" xr:uid="{00000000-0005-0000-0000-000009180000}"/>
    <cellStyle name="Note 2 2 4 2 2 8 2" xfId="8993" xr:uid="{00000000-0005-0000-0000-00000A180000}"/>
    <cellStyle name="Note 2 2 4 2 2 9" xfId="4575" xr:uid="{00000000-0005-0000-0000-00000B180000}"/>
    <cellStyle name="Note 2 2 4 2 2 9 2" xfId="10405" xr:uid="{00000000-0005-0000-0000-00000C180000}"/>
    <cellStyle name="Note 2 2 4 2 3" xfId="231" xr:uid="{00000000-0005-0000-0000-00000D180000}"/>
    <cellStyle name="Note 2 2 4 2 3 2" xfId="510" xr:uid="{00000000-0005-0000-0000-00000E180000}"/>
    <cellStyle name="Note 2 2 4 2 3 2 2" xfId="1245" xr:uid="{00000000-0005-0000-0000-00000F180000}"/>
    <cellStyle name="Note 2 2 4 2 3 2 2 2" xfId="2761" xr:uid="{00000000-0005-0000-0000-000010180000}"/>
    <cellStyle name="Note 2 2 4 2 3 2 2 2 2" xfId="8591" xr:uid="{00000000-0005-0000-0000-000011180000}"/>
    <cellStyle name="Note 2 2 4 2 3 2 2 3" xfId="4184" xr:uid="{00000000-0005-0000-0000-000012180000}"/>
    <cellStyle name="Note 2 2 4 2 3 2 2 3 2" xfId="10014" xr:uid="{00000000-0005-0000-0000-000013180000}"/>
    <cellStyle name="Note 2 2 4 2 3 2 2 4" xfId="5580" xr:uid="{00000000-0005-0000-0000-000014180000}"/>
    <cellStyle name="Note 2 2 4 2 3 2 2 4 2" xfId="11410" xr:uid="{00000000-0005-0000-0000-000015180000}"/>
    <cellStyle name="Note 2 2 4 2 3 2 2 5" xfId="7075" xr:uid="{00000000-0005-0000-0000-000016180000}"/>
    <cellStyle name="Note 2 2 4 2 3 2 3" xfId="2032" xr:uid="{00000000-0005-0000-0000-000017180000}"/>
    <cellStyle name="Note 2 2 4 2 3 2 3 2" xfId="7862" xr:uid="{00000000-0005-0000-0000-000018180000}"/>
    <cellStyle name="Note 2 2 4 2 3 2 4" xfId="3459" xr:uid="{00000000-0005-0000-0000-000019180000}"/>
    <cellStyle name="Note 2 2 4 2 3 2 4 2" xfId="9289" xr:uid="{00000000-0005-0000-0000-00001A180000}"/>
    <cellStyle name="Note 2 2 4 2 3 2 5" xfId="4856" xr:uid="{00000000-0005-0000-0000-00001B180000}"/>
    <cellStyle name="Note 2 2 4 2 3 2 5 2" xfId="10686" xr:uid="{00000000-0005-0000-0000-00001C180000}"/>
    <cellStyle name="Note 2 2 4 2 3 2 6" xfId="6351" xr:uid="{00000000-0005-0000-0000-00001D180000}"/>
    <cellStyle name="Note 2 2 4 2 3 3" xfId="754" xr:uid="{00000000-0005-0000-0000-00001E180000}"/>
    <cellStyle name="Note 2 2 4 2 3 3 2" xfId="1485" xr:uid="{00000000-0005-0000-0000-00001F180000}"/>
    <cellStyle name="Note 2 2 4 2 3 3 2 2" xfId="3001" xr:uid="{00000000-0005-0000-0000-000020180000}"/>
    <cellStyle name="Note 2 2 4 2 3 3 2 2 2" xfId="8831" xr:uid="{00000000-0005-0000-0000-000021180000}"/>
    <cellStyle name="Note 2 2 4 2 3 3 2 3" xfId="4424" xr:uid="{00000000-0005-0000-0000-000022180000}"/>
    <cellStyle name="Note 2 2 4 2 3 3 2 3 2" xfId="10254" xr:uid="{00000000-0005-0000-0000-000023180000}"/>
    <cellStyle name="Note 2 2 4 2 3 3 2 4" xfId="5820" xr:uid="{00000000-0005-0000-0000-000024180000}"/>
    <cellStyle name="Note 2 2 4 2 3 3 2 4 2" xfId="11650" xr:uid="{00000000-0005-0000-0000-000025180000}"/>
    <cellStyle name="Note 2 2 4 2 3 3 2 5" xfId="7315" xr:uid="{00000000-0005-0000-0000-000026180000}"/>
    <cellStyle name="Note 2 2 4 2 3 3 3" xfId="2274" xr:uid="{00000000-0005-0000-0000-000027180000}"/>
    <cellStyle name="Note 2 2 4 2 3 3 3 2" xfId="8104" xr:uid="{00000000-0005-0000-0000-000028180000}"/>
    <cellStyle name="Note 2 2 4 2 3 3 4" xfId="3700" xr:uid="{00000000-0005-0000-0000-000029180000}"/>
    <cellStyle name="Note 2 2 4 2 3 3 4 2" xfId="9530" xr:uid="{00000000-0005-0000-0000-00002A180000}"/>
    <cellStyle name="Note 2 2 4 2 3 3 5" xfId="5096" xr:uid="{00000000-0005-0000-0000-00002B180000}"/>
    <cellStyle name="Note 2 2 4 2 3 3 5 2" xfId="10926" xr:uid="{00000000-0005-0000-0000-00002C180000}"/>
    <cellStyle name="Note 2 2 4 2 3 3 6" xfId="6591" xr:uid="{00000000-0005-0000-0000-00002D180000}"/>
    <cellStyle name="Note 2 2 4 2 3 4" xfId="998" xr:uid="{00000000-0005-0000-0000-00002E180000}"/>
    <cellStyle name="Note 2 2 4 2 3 4 2" xfId="2518" xr:uid="{00000000-0005-0000-0000-00002F180000}"/>
    <cellStyle name="Note 2 2 4 2 3 4 2 2" xfId="8348" xr:uid="{00000000-0005-0000-0000-000030180000}"/>
    <cellStyle name="Note 2 2 4 2 3 4 3" xfId="3944" xr:uid="{00000000-0005-0000-0000-000031180000}"/>
    <cellStyle name="Note 2 2 4 2 3 4 3 2" xfId="9774" xr:uid="{00000000-0005-0000-0000-000032180000}"/>
    <cellStyle name="Note 2 2 4 2 3 4 4" xfId="5340" xr:uid="{00000000-0005-0000-0000-000033180000}"/>
    <cellStyle name="Note 2 2 4 2 3 4 4 2" xfId="11170" xr:uid="{00000000-0005-0000-0000-000034180000}"/>
    <cellStyle name="Note 2 2 4 2 3 4 5" xfId="6835" xr:uid="{00000000-0005-0000-0000-000035180000}"/>
    <cellStyle name="Note 2 2 4 2 3 5" xfId="1772" xr:uid="{00000000-0005-0000-0000-000036180000}"/>
    <cellStyle name="Note 2 2 4 2 3 5 2" xfId="7602" xr:uid="{00000000-0005-0000-0000-000037180000}"/>
    <cellStyle name="Note 2 2 4 2 3 6" xfId="3203" xr:uid="{00000000-0005-0000-0000-000038180000}"/>
    <cellStyle name="Note 2 2 4 2 3 6 2" xfId="9033" xr:uid="{00000000-0005-0000-0000-000039180000}"/>
    <cellStyle name="Note 2 2 4 2 3 7" xfId="4615" xr:uid="{00000000-0005-0000-0000-00003A180000}"/>
    <cellStyle name="Note 2 2 4 2 3 7 2" xfId="10445" xr:uid="{00000000-0005-0000-0000-00003B180000}"/>
    <cellStyle name="Note 2 2 4 2 3 8" xfId="6110" xr:uid="{00000000-0005-0000-0000-00003C180000}"/>
    <cellStyle name="Note 2 2 4 2 4" xfId="311" xr:uid="{00000000-0005-0000-0000-00003D180000}"/>
    <cellStyle name="Note 2 2 4 2 4 2" xfId="590" xr:uid="{00000000-0005-0000-0000-00003E180000}"/>
    <cellStyle name="Note 2 2 4 2 4 2 2" xfId="1325" xr:uid="{00000000-0005-0000-0000-00003F180000}"/>
    <cellStyle name="Note 2 2 4 2 4 2 2 2" xfId="2841" xr:uid="{00000000-0005-0000-0000-000040180000}"/>
    <cellStyle name="Note 2 2 4 2 4 2 2 2 2" xfId="8671" xr:uid="{00000000-0005-0000-0000-000041180000}"/>
    <cellStyle name="Note 2 2 4 2 4 2 2 3" xfId="4264" xr:uid="{00000000-0005-0000-0000-000042180000}"/>
    <cellStyle name="Note 2 2 4 2 4 2 2 3 2" xfId="10094" xr:uid="{00000000-0005-0000-0000-000043180000}"/>
    <cellStyle name="Note 2 2 4 2 4 2 2 4" xfId="5660" xr:uid="{00000000-0005-0000-0000-000044180000}"/>
    <cellStyle name="Note 2 2 4 2 4 2 2 4 2" xfId="11490" xr:uid="{00000000-0005-0000-0000-000045180000}"/>
    <cellStyle name="Note 2 2 4 2 4 2 2 5" xfId="7155" xr:uid="{00000000-0005-0000-0000-000046180000}"/>
    <cellStyle name="Note 2 2 4 2 4 2 3" xfId="2112" xr:uid="{00000000-0005-0000-0000-000047180000}"/>
    <cellStyle name="Note 2 2 4 2 4 2 3 2" xfId="7942" xr:uid="{00000000-0005-0000-0000-000048180000}"/>
    <cellStyle name="Note 2 2 4 2 4 2 4" xfId="3539" xr:uid="{00000000-0005-0000-0000-000049180000}"/>
    <cellStyle name="Note 2 2 4 2 4 2 4 2" xfId="9369" xr:uid="{00000000-0005-0000-0000-00004A180000}"/>
    <cellStyle name="Note 2 2 4 2 4 2 5" xfId="4936" xr:uid="{00000000-0005-0000-0000-00004B180000}"/>
    <cellStyle name="Note 2 2 4 2 4 2 5 2" xfId="10766" xr:uid="{00000000-0005-0000-0000-00004C180000}"/>
    <cellStyle name="Note 2 2 4 2 4 2 6" xfId="6431" xr:uid="{00000000-0005-0000-0000-00004D180000}"/>
    <cellStyle name="Note 2 2 4 2 4 3" xfId="834" xr:uid="{00000000-0005-0000-0000-00004E180000}"/>
    <cellStyle name="Note 2 2 4 2 4 3 2" xfId="1565" xr:uid="{00000000-0005-0000-0000-00004F180000}"/>
    <cellStyle name="Note 2 2 4 2 4 3 2 2" xfId="3081" xr:uid="{00000000-0005-0000-0000-000050180000}"/>
    <cellStyle name="Note 2 2 4 2 4 3 2 2 2" xfId="8911" xr:uid="{00000000-0005-0000-0000-000051180000}"/>
    <cellStyle name="Note 2 2 4 2 4 3 2 3" xfId="4504" xr:uid="{00000000-0005-0000-0000-000052180000}"/>
    <cellStyle name="Note 2 2 4 2 4 3 2 3 2" xfId="10334" xr:uid="{00000000-0005-0000-0000-000053180000}"/>
    <cellStyle name="Note 2 2 4 2 4 3 2 4" xfId="5900" xr:uid="{00000000-0005-0000-0000-000054180000}"/>
    <cellStyle name="Note 2 2 4 2 4 3 2 4 2" xfId="11730" xr:uid="{00000000-0005-0000-0000-000055180000}"/>
    <cellStyle name="Note 2 2 4 2 4 3 2 5" xfId="7395" xr:uid="{00000000-0005-0000-0000-000056180000}"/>
    <cellStyle name="Note 2 2 4 2 4 3 3" xfId="2354" xr:uid="{00000000-0005-0000-0000-000057180000}"/>
    <cellStyle name="Note 2 2 4 2 4 3 3 2" xfId="8184" xr:uid="{00000000-0005-0000-0000-000058180000}"/>
    <cellStyle name="Note 2 2 4 2 4 3 4" xfId="3780" xr:uid="{00000000-0005-0000-0000-000059180000}"/>
    <cellStyle name="Note 2 2 4 2 4 3 4 2" xfId="9610" xr:uid="{00000000-0005-0000-0000-00005A180000}"/>
    <cellStyle name="Note 2 2 4 2 4 3 5" xfId="5176" xr:uid="{00000000-0005-0000-0000-00005B180000}"/>
    <cellStyle name="Note 2 2 4 2 4 3 5 2" xfId="11006" xr:uid="{00000000-0005-0000-0000-00005C180000}"/>
    <cellStyle name="Note 2 2 4 2 4 3 6" xfId="6671" xr:uid="{00000000-0005-0000-0000-00005D180000}"/>
    <cellStyle name="Note 2 2 4 2 4 4" xfId="1078" xr:uid="{00000000-0005-0000-0000-00005E180000}"/>
    <cellStyle name="Note 2 2 4 2 4 4 2" xfId="2598" xr:uid="{00000000-0005-0000-0000-00005F180000}"/>
    <cellStyle name="Note 2 2 4 2 4 4 2 2" xfId="8428" xr:uid="{00000000-0005-0000-0000-000060180000}"/>
    <cellStyle name="Note 2 2 4 2 4 4 3" xfId="4024" xr:uid="{00000000-0005-0000-0000-000061180000}"/>
    <cellStyle name="Note 2 2 4 2 4 4 3 2" xfId="9854" xr:uid="{00000000-0005-0000-0000-000062180000}"/>
    <cellStyle name="Note 2 2 4 2 4 4 4" xfId="5420" xr:uid="{00000000-0005-0000-0000-000063180000}"/>
    <cellStyle name="Note 2 2 4 2 4 4 4 2" xfId="11250" xr:uid="{00000000-0005-0000-0000-000064180000}"/>
    <cellStyle name="Note 2 2 4 2 4 4 5" xfId="6915" xr:uid="{00000000-0005-0000-0000-000065180000}"/>
    <cellStyle name="Note 2 2 4 2 4 5" xfId="1852" xr:uid="{00000000-0005-0000-0000-000066180000}"/>
    <cellStyle name="Note 2 2 4 2 4 5 2" xfId="7682" xr:uid="{00000000-0005-0000-0000-000067180000}"/>
    <cellStyle name="Note 2 2 4 2 4 6" xfId="3283" xr:uid="{00000000-0005-0000-0000-000068180000}"/>
    <cellStyle name="Note 2 2 4 2 4 6 2" xfId="9113" xr:uid="{00000000-0005-0000-0000-000069180000}"/>
    <cellStyle name="Note 2 2 4 2 4 7" xfId="4695" xr:uid="{00000000-0005-0000-0000-00006A180000}"/>
    <cellStyle name="Note 2 2 4 2 4 7 2" xfId="10525" xr:uid="{00000000-0005-0000-0000-00006B180000}"/>
    <cellStyle name="Note 2 2 4 2 4 8" xfId="6190" xr:uid="{00000000-0005-0000-0000-00006C180000}"/>
    <cellStyle name="Note 2 2 4 2 5" xfId="430" xr:uid="{00000000-0005-0000-0000-00006D180000}"/>
    <cellStyle name="Note 2 2 4 2 5 2" xfId="1165" xr:uid="{00000000-0005-0000-0000-00006E180000}"/>
    <cellStyle name="Note 2 2 4 2 5 2 2" xfId="2681" xr:uid="{00000000-0005-0000-0000-00006F180000}"/>
    <cellStyle name="Note 2 2 4 2 5 2 2 2" xfId="8511" xr:uid="{00000000-0005-0000-0000-000070180000}"/>
    <cellStyle name="Note 2 2 4 2 5 2 3" xfId="4104" xr:uid="{00000000-0005-0000-0000-000071180000}"/>
    <cellStyle name="Note 2 2 4 2 5 2 3 2" xfId="9934" xr:uid="{00000000-0005-0000-0000-000072180000}"/>
    <cellStyle name="Note 2 2 4 2 5 2 4" xfId="5500" xr:uid="{00000000-0005-0000-0000-000073180000}"/>
    <cellStyle name="Note 2 2 4 2 5 2 4 2" xfId="11330" xr:uid="{00000000-0005-0000-0000-000074180000}"/>
    <cellStyle name="Note 2 2 4 2 5 2 5" xfId="6995" xr:uid="{00000000-0005-0000-0000-000075180000}"/>
    <cellStyle name="Note 2 2 4 2 5 3" xfId="1952" xr:uid="{00000000-0005-0000-0000-000076180000}"/>
    <cellStyle name="Note 2 2 4 2 5 3 2" xfId="7782" xr:uid="{00000000-0005-0000-0000-000077180000}"/>
    <cellStyle name="Note 2 2 4 2 5 4" xfId="3379" xr:uid="{00000000-0005-0000-0000-000078180000}"/>
    <cellStyle name="Note 2 2 4 2 5 4 2" xfId="9209" xr:uid="{00000000-0005-0000-0000-000079180000}"/>
    <cellStyle name="Note 2 2 4 2 5 5" xfId="4776" xr:uid="{00000000-0005-0000-0000-00007A180000}"/>
    <cellStyle name="Note 2 2 4 2 5 5 2" xfId="10606" xr:uid="{00000000-0005-0000-0000-00007B180000}"/>
    <cellStyle name="Note 2 2 4 2 5 6" xfId="6271" xr:uid="{00000000-0005-0000-0000-00007C180000}"/>
    <cellStyle name="Note 2 2 4 2 6" xfId="674" xr:uid="{00000000-0005-0000-0000-00007D180000}"/>
    <cellStyle name="Note 2 2 4 2 6 2" xfId="1405" xr:uid="{00000000-0005-0000-0000-00007E180000}"/>
    <cellStyle name="Note 2 2 4 2 6 2 2" xfId="2921" xr:uid="{00000000-0005-0000-0000-00007F180000}"/>
    <cellStyle name="Note 2 2 4 2 6 2 2 2" xfId="8751" xr:uid="{00000000-0005-0000-0000-000080180000}"/>
    <cellStyle name="Note 2 2 4 2 6 2 3" xfId="4344" xr:uid="{00000000-0005-0000-0000-000081180000}"/>
    <cellStyle name="Note 2 2 4 2 6 2 3 2" xfId="10174" xr:uid="{00000000-0005-0000-0000-000082180000}"/>
    <cellStyle name="Note 2 2 4 2 6 2 4" xfId="5740" xr:uid="{00000000-0005-0000-0000-000083180000}"/>
    <cellStyle name="Note 2 2 4 2 6 2 4 2" xfId="11570" xr:uid="{00000000-0005-0000-0000-000084180000}"/>
    <cellStyle name="Note 2 2 4 2 6 2 5" xfId="7235" xr:uid="{00000000-0005-0000-0000-000085180000}"/>
    <cellStyle name="Note 2 2 4 2 6 3" xfId="2194" xr:uid="{00000000-0005-0000-0000-000086180000}"/>
    <cellStyle name="Note 2 2 4 2 6 3 2" xfId="8024" xr:uid="{00000000-0005-0000-0000-000087180000}"/>
    <cellStyle name="Note 2 2 4 2 6 4" xfId="3620" xr:uid="{00000000-0005-0000-0000-000088180000}"/>
    <cellStyle name="Note 2 2 4 2 6 4 2" xfId="9450" xr:uid="{00000000-0005-0000-0000-000089180000}"/>
    <cellStyle name="Note 2 2 4 2 6 5" xfId="5016" xr:uid="{00000000-0005-0000-0000-00008A180000}"/>
    <cellStyle name="Note 2 2 4 2 6 5 2" xfId="10846" xr:uid="{00000000-0005-0000-0000-00008B180000}"/>
    <cellStyle name="Note 2 2 4 2 6 6" xfId="6511" xr:uid="{00000000-0005-0000-0000-00008C180000}"/>
    <cellStyle name="Note 2 2 4 2 7" xfId="918" xr:uid="{00000000-0005-0000-0000-00008D180000}"/>
    <cellStyle name="Note 2 2 4 2 7 2" xfId="2438" xr:uid="{00000000-0005-0000-0000-00008E180000}"/>
    <cellStyle name="Note 2 2 4 2 7 2 2" xfId="8268" xr:uid="{00000000-0005-0000-0000-00008F180000}"/>
    <cellStyle name="Note 2 2 4 2 7 3" xfId="3864" xr:uid="{00000000-0005-0000-0000-000090180000}"/>
    <cellStyle name="Note 2 2 4 2 7 3 2" xfId="9694" xr:uid="{00000000-0005-0000-0000-000091180000}"/>
    <cellStyle name="Note 2 2 4 2 7 4" xfId="5260" xr:uid="{00000000-0005-0000-0000-000092180000}"/>
    <cellStyle name="Note 2 2 4 2 7 4 2" xfId="11090" xr:uid="{00000000-0005-0000-0000-000093180000}"/>
    <cellStyle name="Note 2 2 4 2 7 5" xfId="6755" xr:uid="{00000000-0005-0000-0000-000094180000}"/>
    <cellStyle name="Note 2 2 4 2 8" xfId="1692" xr:uid="{00000000-0005-0000-0000-000095180000}"/>
    <cellStyle name="Note 2 2 4 2 8 2" xfId="7522" xr:uid="{00000000-0005-0000-0000-000096180000}"/>
    <cellStyle name="Note 2 2 4 2 9" xfId="1622" xr:uid="{00000000-0005-0000-0000-000097180000}"/>
    <cellStyle name="Note 2 2 4 2 9 2" xfId="7452" xr:uid="{00000000-0005-0000-0000-000098180000}"/>
    <cellStyle name="Note 2 2 4 3" xfId="170" xr:uid="{00000000-0005-0000-0000-000099180000}"/>
    <cellStyle name="Note 2 2 4 3 10" xfId="6050" xr:uid="{00000000-0005-0000-0000-00009A180000}"/>
    <cellStyle name="Note 2 2 4 3 2" xfId="251" xr:uid="{00000000-0005-0000-0000-00009B180000}"/>
    <cellStyle name="Note 2 2 4 3 2 2" xfId="530" xr:uid="{00000000-0005-0000-0000-00009C180000}"/>
    <cellStyle name="Note 2 2 4 3 2 2 2" xfId="1265" xr:uid="{00000000-0005-0000-0000-00009D180000}"/>
    <cellStyle name="Note 2 2 4 3 2 2 2 2" xfId="2781" xr:uid="{00000000-0005-0000-0000-00009E180000}"/>
    <cellStyle name="Note 2 2 4 3 2 2 2 2 2" xfId="8611" xr:uid="{00000000-0005-0000-0000-00009F180000}"/>
    <cellStyle name="Note 2 2 4 3 2 2 2 3" xfId="4204" xr:uid="{00000000-0005-0000-0000-0000A0180000}"/>
    <cellStyle name="Note 2 2 4 3 2 2 2 3 2" xfId="10034" xr:uid="{00000000-0005-0000-0000-0000A1180000}"/>
    <cellStyle name="Note 2 2 4 3 2 2 2 4" xfId="5600" xr:uid="{00000000-0005-0000-0000-0000A2180000}"/>
    <cellStyle name="Note 2 2 4 3 2 2 2 4 2" xfId="11430" xr:uid="{00000000-0005-0000-0000-0000A3180000}"/>
    <cellStyle name="Note 2 2 4 3 2 2 2 5" xfId="7095" xr:uid="{00000000-0005-0000-0000-0000A4180000}"/>
    <cellStyle name="Note 2 2 4 3 2 2 3" xfId="2052" xr:uid="{00000000-0005-0000-0000-0000A5180000}"/>
    <cellStyle name="Note 2 2 4 3 2 2 3 2" xfId="7882" xr:uid="{00000000-0005-0000-0000-0000A6180000}"/>
    <cellStyle name="Note 2 2 4 3 2 2 4" xfId="3479" xr:uid="{00000000-0005-0000-0000-0000A7180000}"/>
    <cellStyle name="Note 2 2 4 3 2 2 4 2" xfId="9309" xr:uid="{00000000-0005-0000-0000-0000A8180000}"/>
    <cellStyle name="Note 2 2 4 3 2 2 5" xfId="4876" xr:uid="{00000000-0005-0000-0000-0000A9180000}"/>
    <cellStyle name="Note 2 2 4 3 2 2 5 2" xfId="10706" xr:uid="{00000000-0005-0000-0000-0000AA180000}"/>
    <cellStyle name="Note 2 2 4 3 2 2 6" xfId="6371" xr:uid="{00000000-0005-0000-0000-0000AB180000}"/>
    <cellStyle name="Note 2 2 4 3 2 3" xfId="774" xr:uid="{00000000-0005-0000-0000-0000AC180000}"/>
    <cellStyle name="Note 2 2 4 3 2 3 2" xfId="1505" xr:uid="{00000000-0005-0000-0000-0000AD180000}"/>
    <cellStyle name="Note 2 2 4 3 2 3 2 2" xfId="3021" xr:uid="{00000000-0005-0000-0000-0000AE180000}"/>
    <cellStyle name="Note 2 2 4 3 2 3 2 2 2" xfId="8851" xr:uid="{00000000-0005-0000-0000-0000AF180000}"/>
    <cellStyle name="Note 2 2 4 3 2 3 2 3" xfId="4444" xr:uid="{00000000-0005-0000-0000-0000B0180000}"/>
    <cellStyle name="Note 2 2 4 3 2 3 2 3 2" xfId="10274" xr:uid="{00000000-0005-0000-0000-0000B1180000}"/>
    <cellStyle name="Note 2 2 4 3 2 3 2 4" xfId="5840" xr:uid="{00000000-0005-0000-0000-0000B2180000}"/>
    <cellStyle name="Note 2 2 4 3 2 3 2 4 2" xfId="11670" xr:uid="{00000000-0005-0000-0000-0000B3180000}"/>
    <cellStyle name="Note 2 2 4 3 2 3 2 5" xfId="7335" xr:uid="{00000000-0005-0000-0000-0000B4180000}"/>
    <cellStyle name="Note 2 2 4 3 2 3 3" xfId="2294" xr:uid="{00000000-0005-0000-0000-0000B5180000}"/>
    <cellStyle name="Note 2 2 4 3 2 3 3 2" xfId="8124" xr:uid="{00000000-0005-0000-0000-0000B6180000}"/>
    <cellStyle name="Note 2 2 4 3 2 3 4" xfId="3720" xr:uid="{00000000-0005-0000-0000-0000B7180000}"/>
    <cellStyle name="Note 2 2 4 3 2 3 4 2" xfId="9550" xr:uid="{00000000-0005-0000-0000-0000B8180000}"/>
    <cellStyle name="Note 2 2 4 3 2 3 5" xfId="5116" xr:uid="{00000000-0005-0000-0000-0000B9180000}"/>
    <cellStyle name="Note 2 2 4 3 2 3 5 2" xfId="10946" xr:uid="{00000000-0005-0000-0000-0000BA180000}"/>
    <cellStyle name="Note 2 2 4 3 2 3 6" xfId="6611" xr:uid="{00000000-0005-0000-0000-0000BB180000}"/>
    <cellStyle name="Note 2 2 4 3 2 4" xfId="1018" xr:uid="{00000000-0005-0000-0000-0000BC180000}"/>
    <cellStyle name="Note 2 2 4 3 2 4 2" xfId="2538" xr:uid="{00000000-0005-0000-0000-0000BD180000}"/>
    <cellStyle name="Note 2 2 4 3 2 4 2 2" xfId="8368" xr:uid="{00000000-0005-0000-0000-0000BE180000}"/>
    <cellStyle name="Note 2 2 4 3 2 4 3" xfId="3964" xr:uid="{00000000-0005-0000-0000-0000BF180000}"/>
    <cellStyle name="Note 2 2 4 3 2 4 3 2" xfId="9794" xr:uid="{00000000-0005-0000-0000-0000C0180000}"/>
    <cellStyle name="Note 2 2 4 3 2 4 4" xfId="5360" xr:uid="{00000000-0005-0000-0000-0000C1180000}"/>
    <cellStyle name="Note 2 2 4 3 2 4 4 2" xfId="11190" xr:uid="{00000000-0005-0000-0000-0000C2180000}"/>
    <cellStyle name="Note 2 2 4 3 2 4 5" xfId="6855" xr:uid="{00000000-0005-0000-0000-0000C3180000}"/>
    <cellStyle name="Note 2 2 4 3 2 5" xfId="1792" xr:uid="{00000000-0005-0000-0000-0000C4180000}"/>
    <cellStyle name="Note 2 2 4 3 2 5 2" xfId="7622" xr:uid="{00000000-0005-0000-0000-0000C5180000}"/>
    <cellStyle name="Note 2 2 4 3 2 6" xfId="3223" xr:uid="{00000000-0005-0000-0000-0000C6180000}"/>
    <cellStyle name="Note 2 2 4 3 2 6 2" xfId="9053" xr:uid="{00000000-0005-0000-0000-0000C7180000}"/>
    <cellStyle name="Note 2 2 4 3 2 7" xfId="4635" xr:uid="{00000000-0005-0000-0000-0000C8180000}"/>
    <cellStyle name="Note 2 2 4 3 2 7 2" xfId="10465" xr:uid="{00000000-0005-0000-0000-0000C9180000}"/>
    <cellStyle name="Note 2 2 4 3 2 8" xfId="6130" xr:uid="{00000000-0005-0000-0000-0000CA180000}"/>
    <cellStyle name="Note 2 2 4 3 3" xfId="331" xr:uid="{00000000-0005-0000-0000-0000CB180000}"/>
    <cellStyle name="Note 2 2 4 3 3 2" xfId="610" xr:uid="{00000000-0005-0000-0000-0000CC180000}"/>
    <cellStyle name="Note 2 2 4 3 3 2 2" xfId="1345" xr:uid="{00000000-0005-0000-0000-0000CD180000}"/>
    <cellStyle name="Note 2 2 4 3 3 2 2 2" xfId="2861" xr:uid="{00000000-0005-0000-0000-0000CE180000}"/>
    <cellStyle name="Note 2 2 4 3 3 2 2 2 2" xfId="8691" xr:uid="{00000000-0005-0000-0000-0000CF180000}"/>
    <cellStyle name="Note 2 2 4 3 3 2 2 3" xfId="4284" xr:uid="{00000000-0005-0000-0000-0000D0180000}"/>
    <cellStyle name="Note 2 2 4 3 3 2 2 3 2" xfId="10114" xr:uid="{00000000-0005-0000-0000-0000D1180000}"/>
    <cellStyle name="Note 2 2 4 3 3 2 2 4" xfId="5680" xr:uid="{00000000-0005-0000-0000-0000D2180000}"/>
    <cellStyle name="Note 2 2 4 3 3 2 2 4 2" xfId="11510" xr:uid="{00000000-0005-0000-0000-0000D3180000}"/>
    <cellStyle name="Note 2 2 4 3 3 2 2 5" xfId="7175" xr:uid="{00000000-0005-0000-0000-0000D4180000}"/>
    <cellStyle name="Note 2 2 4 3 3 2 3" xfId="2132" xr:uid="{00000000-0005-0000-0000-0000D5180000}"/>
    <cellStyle name="Note 2 2 4 3 3 2 3 2" xfId="7962" xr:uid="{00000000-0005-0000-0000-0000D6180000}"/>
    <cellStyle name="Note 2 2 4 3 3 2 4" xfId="3559" xr:uid="{00000000-0005-0000-0000-0000D7180000}"/>
    <cellStyle name="Note 2 2 4 3 3 2 4 2" xfId="9389" xr:uid="{00000000-0005-0000-0000-0000D8180000}"/>
    <cellStyle name="Note 2 2 4 3 3 2 5" xfId="4956" xr:uid="{00000000-0005-0000-0000-0000D9180000}"/>
    <cellStyle name="Note 2 2 4 3 3 2 5 2" xfId="10786" xr:uid="{00000000-0005-0000-0000-0000DA180000}"/>
    <cellStyle name="Note 2 2 4 3 3 2 6" xfId="6451" xr:uid="{00000000-0005-0000-0000-0000DB180000}"/>
    <cellStyle name="Note 2 2 4 3 3 3" xfId="854" xr:uid="{00000000-0005-0000-0000-0000DC180000}"/>
    <cellStyle name="Note 2 2 4 3 3 3 2" xfId="1585" xr:uid="{00000000-0005-0000-0000-0000DD180000}"/>
    <cellStyle name="Note 2 2 4 3 3 3 2 2" xfId="3101" xr:uid="{00000000-0005-0000-0000-0000DE180000}"/>
    <cellStyle name="Note 2 2 4 3 3 3 2 2 2" xfId="8931" xr:uid="{00000000-0005-0000-0000-0000DF180000}"/>
    <cellStyle name="Note 2 2 4 3 3 3 2 3" xfId="4524" xr:uid="{00000000-0005-0000-0000-0000E0180000}"/>
    <cellStyle name="Note 2 2 4 3 3 3 2 3 2" xfId="10354" xr:uid="{00000000-0005-0000-0000-0000E1180000}"/>
    <cellStyle name="Note 2 2 4 3 3 3 2 4" xfId="5920" xr:uid="{00000000-0005-0000-0000-0000E2180000}"/>
    <cellStyle name="Note 2 2 4 3 3 3 2 4 2" xfId="11750" xr:uid="{00000000-0005-0000-0000-0000E3180000}"/>
    <cellStyle name="Note 2 2 4 3 3 3 2 5" xfId="7415" xr:uid="{00000000-0005-0000-0000-0000E4180000}"/>
    <cellStyle name="Note 2 2 4 3 3 3 3" xfId="2374" xr:uid="{00000000-0005-0000-0000-0000E5180000}"/>
    <cellStyle name="Note 2 2 4 3 3 3 3 2" xfId="8204" xr:uid="{00000000-0005-0000-0000-0000E6180000}"/>
    <cellStyle name="Note 2 2 4 3 3 3 4" xfId="3800" xr:uid="{00000000-0005-0000-0000-0000E7180000}"/>
    <cellStyle name="Note 2 2 4 3 3 3 4 2" xfId="9630" xr:uid="{00000000-0005-0000-0000-0000E8180000}"/>
    <cellStyle name="Note 2 2 4 3 3 3 5" xfId="5196" xr:uid="{00000000-0005-0000-0000-0000E9180000}"/>
    <cellStyle name="Note 2 2 4 3 3 3 5 2" xfId="11026" xr:uid="{00000000-0005-0000-0000-0000EA180000}"/>
    <cellStyle name="Note 2 2 4 3 3 3 6" xfId="6691" xr:uid="{00000000-0005-0000-0000-0000EB180000}"/>
    <cellStyle name="Note 2 2 4 3 3 4" xfId="1098" xr:uid="{00000000-0005-0000-0000-0000EC180000}"/>
    <cellStyle name="Note 2 2 4 3 3 4 2" xfId="2618" xr:uid="{00000000-0005-0000-0000-0000ED180000}"/>
    <cellStyle name="Note 2 2 4 3 3 4 2 2" xfId="8448" xr:uid="{00000000-0005-0000-0000-0000EE180000}"/>
    <cellStyle name="Note 2 2 4 3 3 4 3" xfId="4044" xr:uid="{00000000-0005-0000-0000-0000EF180000}"/>
    <cellStyle name="Note 2 2 4 3 3 4 3 2" xfId="9874" xr:uid="{00000000-0005-0000-0000-0000F0180000}"/>
    <cellStyle name="Note 2 2 4 3 3 4 4" xfId="5440" xr:uid="{00000000-0005-0000-0000-0000F1180000}"/>
    <cellStyle name="Note 2 2 4 3 3 4 4 2" xfId="11270" xr:uid="{00000000-0005-0000-0000-0000F2180000}"/>
    <cellStyle name="Note 2 2 4 3 3 4 5" xfId="6935" xr:uid="{00000000-0005-0000-0000-0000F3180000}"/>
    <cellStyle name="Note 2 2 4 3 3 5" xfId="1872" xr:uid="{00000000-0005-0000-0000-0000F4180000}"/>
    <cellStyle name="Note 2 2 4 3 3 5 2" xfId="7702" xr:uid="{00000000-0005-0000-0000-0000F5180000}"/>
    <cellStyle name="Note 2 2 4 3 3 6" xfId="3303" xr:uid="{00000000-0005-0000-0000-0000F6180000}"/>
    <cellStyle name="Note 2 2 4 3 3 6 2" xfId="9133" xr:uid="{00000000-0005-0000-0000-0000F7180000}"/>
    <cellStyle name="Note 2 2 4 3 3 7" xfId="4715" xr:uid="{00000000-0005-0000-0000-0000F8180000}"/>
    <cellStyle name="Note 2 2 4 3 3 7 2" xfId="10545" xr:uid="{00000000-0005-0000-0000-0000F9180000}"/>
    <cellStyle name="Note 2 2 4 3 3 8" xfId="6210" xr:uid="{00000000-0005-0000-0000-0000FA180000}"/>
    <cellStyle name="Note 2 2 4 3 4" xfId="450" xr:uid="{00000000-0005-0000-0000-0000FB180000}"/>
    <cellStyle name="Note 2 2 4 3 4 2" xfId="1185" xr:uid="{00000000-0005-0000-0000-0000FC180000}"/>
    <cellStyle name="Note 2 2 4 3 4 2 2" xfId="2701" xr:uid="{00000000-0005-0000-0000-0000FD180000}"/>
    <cellStyle name="Note 2 2 4 3 4 2 2 2" xfId="8531" xr:uid="{00000000-0005-0000-0000-0000FE180000}"/>
    <cellStyle name="Note 2 2 4 3 4 2 3" xfId="4124" xr:uid="{00000000-0005-0000-0000-0000FF180000}"/>
    <cellStyle name="Note 2 2 4 3 4 2 3 2" xfId="9954" xr:uid="{00000000-0005-0000-0000-000000190000}"/>
    <cellStyle name="Note 2 2 4 3 4 2 4" xfId="5520" xr:uid="{00000000-0005-0000-0000-000001190000}"/>
    <cellStyle name="Note 2 2 4 3 4 2 4 2" xfId="11350" xr:uid="{00000000-0005-0000-0000-000002190000}"/>
    <cellStyle name="Note 2 2 4 3 4 2 5" xfId="7015" xr:uid="{00000000-0005-0000-0000-000003190000}"/>
    <cellStyle name="Note 2 2 4 3 4 3" xfId="1972" xr:uid="{00000000-0005-0000-0000-000004190000}"/>
    <cellStyle name="Note 2 2 4 3 4 3 2" xfId="7802" xr:uid="{00000000-0005-0000-0000-000005190000}"/>
    <cellStyle name="Note 2 2 4 3 4 4" xfId="3399" xr:uid="{00000000-0005-0000-0000-000006190000}"/>
    <cellStyle name="Note 2 2 4 3 4 4 2" xfId="9229" xr:uid="{00000000-0005-0000-0000-000007190000}"/>
    <cellStyle name="Note 2 2 4 3 4 5" xfId="4796" xr:uid="{00000000-0005-0000-0000-000008190000}"/>
    <cellStyle name="Note 2 2 4 3 4 5 2" xfId="10626" xr:uid="{00000000-0005-0000-0000-000009190000}"/>
    <cellStyle name="Note 2 2 4 3 4 6" xfId="6291" xr:uid="{00000000-0005-0000-0000-00000A190000}"/>
    <cellStyle name="Note 2 2 4 3 5" xfId="694" xr:uid="{00000000-0005-0000-0000-00000B190000}"/>
    <cellStyle name="Note 2 2 4 3 5 2" xfId="1425" xr:uid="{00000000-0005-0000-0000-00000C190000}"/>
    <cellStyle name="Note 2 2 4 3 5 2 2" xfId="2941" xr:uid="{00000000-0005-0000-0000-00000D190000}"/>
    <cellStyle name="Note 2 2 4 3 5 2 2 2" xfId="8771" xr:uid="{00000000-0005-0000-0000-00000E190000}"/>
    <cellStyle name="Note 2 2 4 3 5 2 3" xfId="4364" xr:uid="{00000000-0005-0000-0000-00000F190000}"/>
    <cellStyle name="Note 2 2 4 3 5 2 3 2" xfId="10194" xr:uid="{00000000-0005-0000-0000-000010190000}"/>
    <cellStyle name="Note 2 2 4 3 5 2 4" xfId="5760" xr:uid="{00000000-0005-0000-0000-000011190000}"/>
    <cellStyle name="Note 2 2 4 3 5 2 4 2" xfId="11590" xr:uid="{00000000-0005-0000-0000-000012190000}"/>
    <cellStyle name="Note 2 2 4 3 5 2 5" xfId="7255" xr:uid="{00000000-0005-0000-0000-000013190000}"/>
    <cellStyle name="Note 2 2 4 3 5 3" xfId="2214" xr:uid="{00000000-0005-0000-0000-000014190000}"/>
    <cellStyle name="Note 2 2 4 3 5 3 2" xfId="8044" xr:uid="{00000000-0005-0000-0000-000015190000}"/>
    <cellStyle name="Note 2 2 4 3 5 4" xfId="3640" xr:uid="{00000000-0005-0000-0000-000016190000}"/>
    <cellStyle name="Note 2 2 4 3 5 4 2" xfId="9470" xr:uid="{00000000-0005-0000-0000-000017190000}"/>
    <cellStyle name="Note 2 2 4 3 5 5" xfId="5036" xr:uid="{00000000-0005-0000-0000-000018190000}"/>
    <cellStyle name="Note 2 2 4 3 5 5 2" xfId="10866" xr:uid="{00000000-0005-0000-0000-000019190000}"/>
    <cellStyle name="Note 2 2 4 3 5 6" xfId="6531" xr:uid="{00000000-0005-0000-0000-00001A190000}"/>
    <cellStyle name="Note 2 2 4 3 6" xfId="938" xr:uid="{00000000-0005-0000-0000-00001B190000}"/>
    <cellStyle name="Note 2 2 4 3 6 2" xfId="2458" xr:uid="{00000000-0005-0000-0000-00001C190000}"/>
    <cellStyle name="Note 2 2 4 3 6 2 2" xfId="8288" xr:uid="{00000000-0005-0000-0000-00001D190000}"/>
    <cellStyle name="Note 2 2 4 3 6 3" xfId="3884" xr:uid="{00000000-0005-0000-0000-00001E190000}"/>
    <cellStyle name="Note 2 2 4 3 6 3 2" xfId="9714" xr:uid="{00000000-0005-0000-0000-00001F190000}"/>
    <cellStyle name="Note 2 2 4 3 6 4" xfId="5280" xr:uid="{00000000-0005-0000-0000-000020190000}"/>
    <cellStyle name="Note 2 2 4 3 6 4 2" xfId="11110" xr:uid="{00000000-0005-0000-0000-000021190000}"/>
    <cellStyle name="Note 2 2 4 3 6 5" xfId="6775" xr:uid="{00000000-0005-0000-0000-000022190000}"/>
    <cellStyle name="Note 2 2 4 3 7" xfId="1712" xr:uid="{00000000-0005-0000-0000-000023190000}"/>
    <cellStyle name="Note 2 2 4 3 7 2" xfId="7542" xr:uid="{00000000-0005-0000-0000-000024190000}"/>
    <cellStyle name="Note 2 2 4 3 8" xfId="3143" xr:uid="{00000000-0005-0000-0000-000025190000}"/>
    <cellStyle name="Note 2 2 4 3 8 2" xfId="8973" xr:uid="{00000000-0005-0000-0000-000026190000}"/>
    <cellStyle name="Note 2 2 4 3 9" xfId="4555" xr:uid="{00000000-0005-0000-0000-000027190000}"/>
    <cellStyle name="Note 2 2 4 3 9 2" xfId="10385" xr:uid="{00000000-0005-0000-0000-000028190000}"/>
    <cellStyle name="Note 2 2 4 4" xfId="210" xr:uid="{00000000-0005-0000-0000-000029190000}"/>
    <cellStyle name="Note 2 2 4 4 2" xfId="490" xr:uid="{00000000-0005-0000-0000-00002A190000}"/>
    <cellStyle name="Note 2 2 4 4 2 2" xfId="1225" xr:uid="{00000000-0005-0000-0000-00002B190000}"/>
    <cellStyle name="Note 2 2 4 4 2 2 2" xfId="2741" xr:uid="{00000000-0005-0000-0000-00002C190000}"/>
    <cellStyle name="Note 2 2 4 4 2 2 2 2" xfId="8571" xr:uid="{00000000-0005-0000-0000-00002D190000}"/>
    <cellStyle name="Note 2 2 4 4 2 2 3" xfId="4164" xr:uid="{00000000-0005-0000-0000-00002E190000}"/>
    <cellStyle name="Note 2 2 4 4 2 2 3 2" xfId="9994" xr:uid="{00000000-0005-0000-0000-00002F190000}"/>
    <cellStyle name="Note 2 2 4 4 2 2 4" xfId="5560" xr:uid="{00000000-0005-0000-0000-000030190000}"/>
    <cellStyle name="Note 2 2 4 4 2 2 4 2" xfId="11390" xr:uid="{00000000-0005-0000-0000-000031190000}"/>
    <cellStyle name="Note 2 2 4 4 2 2 5" xfId="7055" xr:uid="{00000000-0005-0000-0000-000032190000}"/>
    <cellStyle name="Note 2 2 4 4 2 3" xfId="2012" xr:uid="{00000000-0005-0000-0000-000033190000}"/>
    <cellStyle name="Note 2 2 4 4 2 3 2" xfId="7842" xr:uid="{00000000-0005-0000-0000-000034190000}"/>
    <cellStyle name="Note 2 2 4 4 2 4" xfId="3439" xr:uid="{00000000-0005-0000-0000-000035190000}"/>
    <cellStyle name="Note 2 2 4 4 2 4 2" xfId="9269" xr:uid="{00000000-0005-0000-0000-000036190000}"/>
    <cellStyle name="Note 2 2 4 4 2 5" xfId="4836" xr:uid="{00000000-0005-0000-0000-000037190000}"/>
    <cellStyle name="Note 2 2 4 4 2 5 2" xfId="10666" xr:uid="{00000000-0005-0000-0000-000038190000}"/>
    <cellStyle name="Note 2 2 4 4 2 6" xfId="6331" xr:uid="{00000000-0005-0000-0000-000039190000}"/>
    <cellStyle name="Note 2 2 4 4 3" xfId="734" xr:uid="{00000000-0005-0000-0000-00003A190000}"/>
    <cellStyle name="Note 2 2 4 4 3 2" xfId="1465" xr:uid="{00000000-0005-0000-0000-00003B190000}"/>
    <cellStyle name="Note 2 2 4 4 3 2 2" xfId="2981" xr:uid="{00000000-0005-0000-0000-00003C190000}"/>
    <cellStyle name="Note 2 2 4 4 3 2 2 2" xfId="8811" xr:uid="{00000000-0005-0000-0000-00003D190000}"/>
    <cellStyle name="Note 2 2 4 4 3 2 3" xfId="4404" xr:uid="{00000000-0005-0000-0000-00003E190000}"/>
    <cellStyle name="Note 2 2 4 4 3 2 3 2" xfId="10234" xr:uid="{00000000-0005-0000-0000-00003F190000}"/>
    <cellStyle name="Note 2 2 4 4 3 2 4" xfId="5800" xr:uid="{00000000-0005-0000-0000-000040190000}"/>
    <cellStyle name="Note 2 2 4 4 3 2 4 2" xfId="11630" xr:uid="{00000000-0005-0000-0000-000041190000}"/>
    <cellStyle name="Note 2 2 4 4 3 2 5" xfId="7295" xr:uid="{00000000-0005-0000-0000-000042190000}"/>
    <cellStyle name="Note 2 2 4 4 3 3" xfId="2254" xr:uid="{00000000-0005-0000-0000-000043190000}"/>
    <cellStyle name="Note 2 2 4 4 3 3 2" xfId="8084" xr:uid="{00000000-0005-0000-0000-000044190000}"/>
    <cellStyle name="Note 2 2 4 4 3 4" xfId="3680" xr:uid="{00000000-0005-0000-0000-000045190000}"/>
    <cellStyle name="Note 2 2 4 4 3 4 2" xfId="9510" xr:uid="{00000000-0005-0000-0000-000046190000}"/>
    <cellStyle name="Note 2 2 4 4 3 5" xfId="5076" xr:uid="{00000000-0005-0000-0000-000047190000}"/>
    <cellStyle name="Note 2 2 4 4 3 5 2" xfId="10906" xr:uid="{00000000-0005-0000-0000-000048190000}"/>
    <cellStyle name="Note 2 2 4 4 3 6" xfId="6571" xr:uid="{00000000-0005-0000-0000-000049190000}"/>
    <cellStyle name="Note 2 2 4 4 4" xfId="978" xr:uid="{00000000-0005-0000-0000-00004A190000}"/>
    <cellStyle name="Note 2 2 4 4 4 2" xfId="2498" xr:uid="{00000000-0005-0000-0000-00004B190000}"/>
    <cellStyle name="Note 2 2 4 4 4 2 2" xfId="8328" xr:uid="{00000000-0005-0000-0000-00004C190000}"/>
    <cellStyle name="Note 2 2 4 4 4 3" xfId="3924" xr:uid="{00000000-0005-0000-0000-00004D190000}"/>
    <cellStyle name="Note 2 2 4 4 4 3 2" xfId="9754" xr:uid="{00000000-0005-0000-0000-00004E190000}"/>
    <cellStyle name="Note 2 2 4 4 4 4" xfId="5320" xr:uid="{00000000-0005-0000-0000-00004F190000}"/>
    <cellStyle name="Note 2 2 4 4 4 4 2" xfId="11150" xr:uid="{00000000-0005-0000-0000-000050190000}"/>
    <cellStyle name="Note 2 2 4 4 4 5" xfId="6815" xr:uid="{00000000-0005-0000-0000-000051190000}"/>
    <cellStyle name="Note 2 2 4 4 5" xfId="1752" xr:uid="{00000000-0005-0000-0000-000052190000}"/>
    <cellStyle name="Note 2 2 4 4 5 2" xfId="7582" xr:uid="{00000000-0005-0000-0000-000053190000}"/>
    <cellStyle name="Note 2 2 4 4 6" xfId="3183" xr:uid="{00000000-0005-0000-0000-000054190000}"/>
    <cellStyle name="Note 2 2 4 4 6 2" xfId="9013" xr:uid="{00000000-0005-0000-0000-000055190000}"/>
    <cellStyle name="Note 2 2 4 4 7" xfId="4595" xr:uid="{00000000-0005-0000-0000-000056190000}"/>
    <cellStyle name="Note 2 2 4 4 7 2" xfId="10425" xr:uid="{00000000-0005-0000-0000-000057190000}"/>
    <cellStyle name="Note 2 2 4 4 8" xfId="6090" xr:uid="{00000000-0005-0000-0000-000058190000}"/>
    <cellStyle name="Note 2 2 4 5" xfId="291" xr:uid="{00000000-0005-0000-0000-000059190000}"/>
    <cellStyle name="Note 2 2 4 5 2" xfId="570" xr:uid="{00000000-0005-0000-0000-00005A190000}"/>
    <cellStyle name="Note 2 2 4 5 2 2" xfId="1305" xr:uid="{00000000-0005-0000-0000-00005B190000}"/>
    <cellStyle name="Note 2 2 4 5 2 2 2" xfId="2821" xr:uid="{00000000-0005-0000-0000-00005C190000}"/>
    <cellStyle name="Note 2 2 4 5 2 2 2 2" xfId="8651" xr:uid="{00000000-0005-0000-0000-00005D190000}"/>
    <cellStyle name="Note 2 2 4 5 2 2 3" xfId="4244" xr:uid="{00000000-0005-0000-0000-00005E190000}"/>
    <cellStyle name="Note 2 2 4 5 2 2 3 2" xfId="10074" xr:uid="{00000000-0005-0000-0000-00005F190000}"/>
    <cellStyle name="Note 2 2 4 5 2 2 4" xfId="5640" xr:uid="{00000000-0005-0000-0000-000060190000}"/>
    <cellStyle name="Note 2 2 4 5 2 2 4 2" xfId="11470" xr:uid="{00000000-0005-0000-0000-000061190000}"/>
    <cellStyle name="Note 2 2 4 5 2 2 5" xfId="7135" xr:uid="{00000000-0005-0000-0000-000062190000}"/>
    <cellStyle name="Note 2 2 4 5 2 3" xfId="2092" xr:uid="{00000000-0005-0000-0000-000063190000}"/>
    <cellStyle name="Note 2 2 4 5 2 3 2" xfId="7922" xr:uid="{00000000-0005-0000-0000-000064190000}"/>
    <cellStyle name="Note 2 2 4 5 2 4" xfId="3519" xr:uid="{00000000-0005-0000-0000-000065190000}"/>
    <cellStyle name="Note 2 2 4 5 2 4 2" xfId="9349" xr:uid="{00000000-0005-0000-0000-000066190000}"/>
    <cellStyle name="Note 2 2 4 5 2 5" xfId="4916" xr:uid="{00000000-0005-0000-0000-000067190000}"/>
    <cellStyle name="Note 2 2 4 5 2 5 2" xfId="10746" xr:uid="{00000000-0005-0000-0000-000068190000}"/>
    <cellStyle name="Note 2 2 4 5 2 6" xfId="6411" xr:uid="{00000000-0005-0000-0000-000069190000}"/>
    <cellStyle name="Note 2 2 4 5 3" xfId="814" xr:uid="{00000000-0005-0000-0000-00006A190000}"/>
    <cellStyle name="Note 2 2 4 5 3 2" xfId="1545" xr:uid="{00000000-0005-0000-0000-00006B190000}"/>
    <cellStyle name="Note 2 2 4 5 3 2 2" xfId="3061" xr:uid="{00000000-0005-0000-0000-00006C190000}"/>
    <cellStyle name="Note 2 2 4 5 3 2 2 2" xfId="8891" xr:uid="{00000000-0005-0000-0000-00006D190000}"/>
    <cellStyle name="Note 2 2 4 5 3 2 3" xfId="4484" xr:uid="{00000000-0005-0000-0000-00006E190000}"/>
    <cellStyle name="Note 2 2 4 5 3 2 3 2" xfId="10314" xr:uid="{00000000-0005-0000-0000-00006F190000}"/>
    <cellStyle name="Note 2 2 4 5 3 2 4" xfId="5880" xr:uid="{00000000-0005-0000-0000-000070190000}"/>
    <cellStyle name="Note 2 2 4 5 3 2 4 2" xfId="11710" xr:uid="{00000000-0005-0000-0000-000071190000}"/>
    <cellStyle name="Note 2 2 4 5 3 2 5" xfId="7375" xr:uid="{00000000-0005-0000-0000-000072190000}"/>
    <cellStyle name="Note 2 2 4 5 3 3" xfId="2334" xr:uid="{00000000-0005-0000-0000-000073190000}"/>
    <cellStyle name="Note 2 2 4 5 3 3 2" xfId="8164" xr:uid="{00000000-0005-0000-0000-000074190000}"/>
    <cellStyle name="Note 2 2 4 5 3 4" xfId="3760" xr:uid="{00000000-0005-0000-0000-000075190000}"/>
    <cellStyle name="Note 2 2 4 5 3 4 2" xfId="9590" xr:uid="{00000000-0005-0000-0000-000076190000}"/>
    <cellStyle name="Note 2 2 4 5 3 5" xfId="5156" xr:uid="{00000000-0005-0000-0000-000077190000}"/>
    <cellStyle name="Note 2 2 4 5 3 5 2" xfId="10986" xr:uid="{00000000-0005-0000-0000-000078190000}"/>
    <cellStyle name="Note 2 2 4 5 3 6" xfId="6651" xr:uid="{00000000-0005-0000-0000-000079190000}"/>
    <cellStyle name="Note 2 2 4 5 4" xfId="1058" xr:uid="{00000000-0005-0000-0000-00007A190000}"/>
    <cellStyle name="Note 2 2 4 5 4 2" xfId="2578" xr:uid="{00000000-0005-0000-0000-00007B190000}"/>
    <cellStyle name="Note 2 2 4 5 4 2 2" xfId="8408" xr:uid="{00000000-0005-0000-0000-00007C190000}"/>
    <cellStyle name="Note 2 2 4 5 4 3" xfId="4004" xr:uid="{00000000-0005-0000-0000-00007D190000}"/>
    <cellStyle name="Note 2 2 4 5 4 3 2" xfId="9834" xr:uid="{00000000-0005-0000-0000-00007E190000}"/>
    <cellStyle name="Note 2 2 4 5 4 4" xfId="5400" xr:uid="{00000000-0005-0000-0000-00007F190000}"/>
    <cellStyle name="Note 2 2 4 5 4 4 2" xfId="11230" xr:uid="{00000000-0005-0000-0000-000080190000}"/>
    <cellStyle name="Note 2 2 4 5 4 5" xfId="6895" xr:uid="{00000000-0005-0000-0000-000081190000}"/>
    <cellStyle name="Note 2 2 4 5 5" xfId="1832" xr:uid="{00000000-0005-0000-0000-000082190000}"/>
    <cellStyle name="Note 2 2 4 5 5 2" xfId="7662" xr:uid="{00000000-0005-0000-0000-000083190000}"/>
    <cellStyle name="Note 2 2 4 5 6" xfId="3263" xr:uid="{00000000-0005-0000-0000-000084190000}"/>
    <cellStyle name="Note 2 2 4 5 6 2" xfId="9093" xr:uid="{00000000-0005-0000-0000-000085190000}"/>
    <cellStyle name="Note 2 2 4 5 7" xfId="4675" xr:uid="{00000000-0005-0000-0000-000086190000}"/>
    <cellStyle name="Note 2 2 4 5 7 2" xfId="10505" xr:uid="{00000000-0005-0000-0000-000087190000}"/>
    <cellStyle name="Note 2 2 4 5 8" xfId="6170" xr:uid="{00000000-0005-0000-0000-000088190000}"/>
    <cellStyle name="Note 2 2 4 6" xfId="410" xr:uid="{00000000-0005-0000-0000-000089190000}"/>
    <cellStyle name="Note 2 2 4 6 2" xfId="1145" xr:uid="{00000000-0005-0000-0000-00008A190000}"/>
    <cellStyle name="Note 2 2 4 6 2 2" xfId="2661" xr:uid="{00000000-0005-0000-0000-00008B190000}"/>
    <cellStyle name="Note 2 2 4 6 2 2 2" xfId="8491" xr:uid="{00000000-0005-0000-0000-00008C190000}"/>
    <cellStyle name="Note 2 2 4 6 2 3" xfId="4084" xr:uid="{00000000-0005-0000-0000-00008D190000}"/>
    <cellStyle name="Note 2 2 4 6 2 3 2" xfId="9914" xr:uid="{00000000-0005-0000-0000-00008E190000}"/>
    <cellStyle name="Note 2 2 4 6 2 4" xfId="5480" xr:uid="{00000000-0005-0000-0000-00008F190000}"/>
    <cellStyle name="Note 2 2 4 6 2 4 2" xfId="11310" xr:uid="{00000000-0005-0000-0000-000090190000}"/>
    <cellStyle name="Note 2 2 4 6 2 5" xfId="6975" xr:uid="{00000000-0005-0000-0000-000091190000}"/>
    <cellStyle name="Note 2 2 4 6 3" xfId="1932" xr:uid="{00000000-0005-0000-0000-000092190000}"/>
    <cellStyle name="Note 2 2 4 6 3 2" xfId="7762" xr:uid="{00000000-0005-0000-0000-000093190000}"/>
    <cellStyle name="Note 2 2 4 6 4" xfId="3359" xr:uid="{00000000-0005-0000-0000-000094190000}"/>
    <cellStyle name="Note 2 2 4 6 4 2" xfId="9189" xr:uid="{00000000-0005-0000-0000-000095190000}"/>
    <cellStyle name="Note 2 2 4 6 5" xfId="4756" xr:uid="{00000000-0005-0000-0000-000096190000}"/>
    <cellStyle name="Note 2 2 4 6 5 2" xfId="10586" xr:uid="{00000000-0005-0000-0000-000097190000}"/>
    <cellStyle name="Note 2 2 4 6 6" xfId="6251" xr:uid="{00000000-0005-0000-0000-000098190000}"/>
    <cellStyle name="Note 2 2 4 7" xfId="654" xr:uid="{00000000-0005-0000-0000-000099190000}"/>
    <cellStyle name="Note 2 2 4 7 2" xfId="1385" xr:uid="{00000000-0005-0000-0000-00009A190000}"/>
    <cellStyle name="Note 2 2 4 7 2 2" xfId="2901" xr:uid="{00000000-0005-0000-0000-00009B190000}"/>
    <cellStyle name="Note 2 2 4 7 2 2 2" xfId="8731" xr:uid="{00000000-0005-0000-0000-00009C190000}"/>
    <cellStyle name="Note 2 2 4 7 2 3" xfId="4324" xr:uid="{00000000-0005-0000-0000-00009D190000}"/>
    <cellStyle name="Note 2 2 4 7 2 3 2" xfId="10154" xr:uid="{00000000-0005-0000-0000-00009E190000}"/>
    <cellStyle name="Note 2 2 4 7 2 4" xfId="5720" xr:uid="{00000000-0005-0000-0000-00009F190000}"/>
    <cellStyle name="Note 2 2 4 7 2 4 2" xfId="11550" xr:uid="{00000000-0005-0000-0000-0000A0190000}"/>
    <cellStyle name="Note 2 2 4 7 2 5" xfId="7215" xr:uid="{00000000-0005-0000-0000-0000A1190000}"/>
    <cellStyle name="Note 2 2 4 7 3" xfId="2174" xr:uid="{00000000-0005-0000-0000-0000A2190000}"/>
    <cellStyle name="Note 2 2 4 7 3 2" xfId="8004" xr:uid="{00000000-0005-0000-0000-0000A3190000}"/>
    <cellStyle name="Note 2 2 4 7 4" xfId="3600" xr:uid="{00000000-0005-0000-0000-0000A4190000}"/>
    <cellStyle name="Note 2 2 4 7 4 2" xfId="9430" xr:uid="{00000000-0005-0000-0000-0000A5190000}"/>
    <cellStyle name="Note 2 2 4 7 5" xfId="4996" xr:uid="{00000000-0005-0000-0000-0000A6190000}"/>
    <cellStyle name="Note 2 2 4 7 5 2" xfId="10826" xr:uid="{00000000-0005-0000-0000-0000A7190000}"/>
    <cellStyle name="Note 2 2 4 7 6" xfId="6491" xr:uid="{00000000-0005-0000-0000-0000A8190000}"/>
    <cellStyle name="Note 2 2 4 8" xfId="898" xr:uid="{00000000-0005-0000-0000-0000A9190000}"/>
    <cellStyle name="Note 2 2 4 8 2" xfId="2418" xr:uid="{00000000-0005-0000-0000-0000AA190000}"/>
    <cellStyle name="Note 2 2 4 8 2 2" xfId="8248" xr:uid="{00000000-0005-0000-0000-0000AB190000}"/>
    <cellStyle name="Note 2 2 4 8 3" xfId="3844" xr:uid="{00000000-0005-0000-0000-0000AC190000}"/>
    <cellStyle name="Note 2 2 4 8 3 2" xfId="9674" xr:uid="{00000000-0005-0000-0000-0000AD190000}"/>
    <cellStyle name="Note 2 2 4 8 4" xfId="5240" xr:uid="{00000000-0005-0000-0000-0000AE190000}"/>
    <cellStyle name="Note 2 2 4 8 4 2" xfId="11070" xr:uid="{00000000-0005-0000-0000-0000AF190000}"/>
    <cellStyle name="Note 2 2 4 8 5" xfId="6735" xr:uid="{00000000-0005-0000-0000-0000B0190000}"/>
    <cellStyle name="Note 2 2 4 9" xfId="1672" xr:uid="{00000000-0005-0000-0000-0000B1190000}"/>
    <cellStyle name="Note 2 2 4 9 2" xfId="7502" xr:uid="{00000000-0005-0000-0000-0000B2190000}"/>
    <cellStyle name="Note 2 2 5" xfId="134" xr:uid="{00000000-0005-0000-0000-0000B3190000}"/>
    <cellStyle name="Note 2 2 5 10" xfId="1908" xr:uid="{00000000-0005-0000-0000-0000B4190000}"/>
    <cellStyle name="Note 2 2 5 10 2" xfId="7738" xr:uid="{00000000-0005-0000-0000-0000B5190000}"/>
    <cellStyle name="Note 2 2 5 11" xfId="6015" xr:uid="{00000000-0005-0000-0000-0000B6190000}"/>
    <cellStyle name="Note 2 2 5 2" xfId="175" xr:uid="{00000000-0005-0000-0000-0000B7190000}"/>
    <cellStyle name="Note 2 2 5 2 10" xfId="6055" xr:uid="{00000000-0005-0000-0000-0000B8190000}"/>
    <cellStyle name="Note 2 2 5 2 2" xfId="256" xr:uid="{00000000-0005-0000-0000-0000B9190000}"/>
    <cellStyle name="Note 2 2 5 2 2 2" xfId="535" xr:uid="{00000000-0005-0000-0000-0000BA190000}"/>
    <cellStyle name="Note 2 2 5 2 2 2 2" xfId="1270" xr:uid="{00000000-0005-0000-0000-0000BB190000}"/>
    <cellStyle name="Note 2 2 5 2 2 2 2 2" xfId="2786" xr:uid="{00000000-0005-0000-0000-0000BC190000}"/>
    <cellStyle name="Note 2 2 5 2 2 2 2 2 2" xfId="8616" xr:uid="{00000000-0005-0000-0000-0000BD190000}"/>
    <cellStyle name="Note 2 2 5 2 2 2 2 3" xfId="4209" xr:uid="{00000000-0005-0000-0000-0000BE190000}"/>
    <cellStyle name="Note 2 2 5 2 2 2 2 3 2" xfId="10039" xr:uid="{00000000-0005-0000-0000-0000BF190000}"/>
    <cellStyle name="Note 2 2 5 2 2 2 2 4" xfId="5605" xr:uid="{00000000-0005-0000-0000-0000C0190000}"/>
    <cellStyle name="Note 2 2 5 2 2 2 2 4 2" xfId="11435" xr:uid="{00000000-0005-0000-0000-0000C1190000}"/>
    <cellStyle name="Note 2 2 5 2 2 2 2 5" xfId="7100" xr:uid="{00000000-0005-0000-0000-0000C2190000}"/>
    <cellStyle name="Note 2 2 5 2 2 2 3" xfId="2057" xr:uid="{00000000-0005-0000-0000-0000C3190000}"/>
    <cellStyle name="Note 2 2 5 2 2 2 3 2" xfId="7887" xr:uid="{00000000-0005-0000-0000-0000C4190000}"/>
    <cellStyle name="Note 2 2 5 2 2 2 4" xfId="3484" xr:uid="{00000000-0005-0000-0000-0000C5190000}"/>
    <cellStyle name="Note 2 2 5 2 2 2 4 2" xfId="9314" xr:uid="{00000000-0005-0000-0000-0000C6190000}"/>
    <cellStyle name="Note 2 2 5 2 2 2 5" xfId="4881" xr:uid="{00000000-0005-0000-0000-0000C7190000}"/>
    <cellStyle name="Note 2 2 5 2 2 2 5 2" xfId="10711" xr:uid="{00000000-0005-0000-0000-0000C8190000}"/>
    <cellStyle name="Note 2 2 5 2 2 2 6" xfId="6376" xr:uid="{00000000-0005-0000-0000-0000C9190000}"/>
    <cellStyle name="Note 2 2 5 2 2 3" xfId="779" xr:uid="{00000000-0005-0000-0000-0000CA190000}"/>
    <cellStyle name="Note 2 2 5 2 2 3 2" xfId="1510" xr:uid="{00000000-0005-0000-0000-0000CB190000}"/>
    <cellStyle name="Note 2 2 5 2 2 3 2 2" xfId="3026" xr:uid="{00000000-0005-0000-0000-0000CC190000}"/>
    <cellStyle name="Note 2 2 5 2 2 3 2 2 2" xfId="8856" xr:uid="{00000000-0005-0000-0000-0000CD190000}"/>
    <cellStyle name="Note 2 2 5 2 2 3 2 3" xfId="4449" xr:uid="{00000000-0005-0000-0000-0000CE190000}"/>
    <cellStyle name="Note 2 2 5 2 2 3 2 3 2" xfId="10279" xr:uid="{00000000-0005-0000-0000-0000CF190000}"/>
    <cellStyle name="Note 2 2 5 2 2 3 2 4" xfId="5845" xr:uid="{00000000-0005-0000-0000-0000D0190000}"/>
    <cellStyle name="Note 2 2 5 2 2 3 2 4 2" xfId="11675" xr:uid="{00000000-0005-0000-0000-0000D1190000}"/>
    <cellStyle name="Note 2 2 5 2 2 3 2 5" xfId="7340" xr:uid="{00000000-0005-0000-0000-0000D2190000}"/>
    <cellStyle name="Note 2 2 5 2 2 3 3" xfId="2299" xr:uid="{00000000-0005-0000-0000-0000D3190000}"/>
    <cellStyle name="Note 2 2 5 2 2 3 3 2" xfId="8129" xr:uid="{00000000-0005-0000-0000-0000D4190000}"/>
    <cellStyle name="Note 2 2 5 2 2 3 4" xfId="3725" xr:uid="{00000000-0005-0000-0000-0000D5190000}"/>
    <cellStyle name="Note 2 2 5 2 2 3 4 2" xfId="9555" xr:uid="{00000000-0005-0000-0000-0000D6190000}"/>
    <cellStyle name="Note 2 2 5 2 2 3 5" xfId="5121" xr:uid="{00000000-0005-0000-0000-0000D7190000}"/>
    <cellStyle name="Note 2 2 5 2 2 3 5 2" xfId="10951" xr:uid="{00000000-0005-0000-0000-0000D8190000}"/>
    <cellStyle name="Note 2 2 5 2 2 3 6" xfId="6616" xr:uid="{00000000-0005-0000-0000-0000D9190000}"/>
    <cellStyle name="Note 2 2 5 2 2 4" xfId="1023" xr:uid="{00000000-0005-0000-0000-0000DA190000}"/>
    <cellStyle name="Note 2 2 5 2 2 4 2" xfId="2543" xr:uid="{00000000-0005-0000-0000-0000DB190000}"/>
    <cellStyle name="Note 2 2 5 2 2 4 2 2" xfId="8373" xr:uid="{00000000-0005-0000-0000-0000DC190000}"/>
    <cellStyle name="Note 2 2 5 2 2 4 3" xfId="3969" xr:uid="{00000000-0005-0000-0000-0000DD190000}"/>
    <cellStyle name="Note 2 2 5 2 2 4 3 2" xfId="9799" xr:uid="{00000000-0005-0000-0000-0000DE190000}"/>
    <cellStyle name="Note 2 2 5 2 2 4 4" xfId="5365" xr:uid="{00000000-0005-0000-0000-0000DF190000}"/>
    <cellStyle name="Note 2 2 5 2 2 4 4 2" xfId="11195" xr:uid="{00000000-0005-0000-0000-0000E0190000}"/>
    <cellStyle name="Note 2 2 5 2 2 4 5" xfId="6860" xr:uid="{00000000-0005-0000-0000-0000E1190000}"/>
    <cellStyle name="Note 2 2 5 2 2 5" xfId="1797" xr:uid="{00000000-0005-0000-0000-0000E2190000}"/>
    <cellStyle name="Note 2 2 5 2 2 5 2" xfId="7627" xr:uid="{00000000-0005-0000-0000-0000E3190000}"/>
    <cellStyle name="Note 2 2 5 2 2 6" xfId="3228" xr:uid="{00000000-0005-0000-0000-0000E4190000}"/>
    <cellStyle name="Note 2 2 5 2 2 6 2" xfId="9058" xr:uid="{00000000-0005-0000-0000-0000E5190000}"/>
    <cellStyle name="Note 2 2 5 2 2 7" xfId="4640" xr:uid="{00000000-0005-0000-0000-0000E6190000}"/>
    <cellStyle name="Note 2 2 5 2 2 7 2" xfId="10470" xr:uid="{00000000-0005-0000-0000-0000E7190000}"/>
    <cellStyle name="Note 2 2 5 2 2 8" xfId="6135" xr:uid="{00000000-0005-0000-0000-0000E8190000}"/>
    <cellStyle name="Note 2 2 5 2 3" xfId="336" xr:uid="{00000000-0005-0000-0000-0000E9190000}"/>
    <cellStyle name="Note 2 2 5 2 3 2" xfId="615" xr:uid="{00000000-0005-0000-0000-0000EA190000}"/>
    <cellStyle name="Note 2 2 5 2 3 2 2" xfId="1350" xr:uid="{00000000-0005-0000-0000-0000EB190000}"/>
    <cellStyle name="Note 2 2 5 2 3 2 2 2" xfId="2866" xr:uid="{00000000-0005-0000-0000-0000EC190000}"/>
    <cellStyle name="Note 2 2 5 2 3 2 2 2 2" xfId="8696" xr:uid="{00000000-0005-0000-0000-0000ED190000}"/>
    <cellStyle name="Note 2 2 5 2 3 2 2 3" xfId="4289" xr:uid="{00000000-0005-0000-0000-0000EE190000}"/>
    <cellStyle name="Note 2 2 5 2 3 2 2 3 2" xfId="10119" xr:uid="{00000000-0005-0000-0000-0000EF190000}"/>
    <cellStyle name="Note 2 2 5 2 3 2 2 4" xfId="5685" xr:uid="{00000000-0005-0000-0000-0000F0190000}"/>
    <cellStyle name="Note 2 2 5 2 3 2 2 4 2" xfId="11515" xr:uid="{00000000-0005-0000-0000-0000F1190000}"/>
    <cellStyle name="Note 2 2 5 2 3 2 2 5" xfId="7180" xr:uid="{00000000-0005-0000-0000-0000F2190000}"/>
    <cellStyle name="Note 2 2 5 2 3 2 3" xfId="2137" xr:uid="{00000000-0005-0000-0000-0000F3190000}"/>
    <cellStyle name="Note 2 2 5 2 3 2 3 2" xfId="7967" xr:uid="{00000000-0005-0000-0000-0000F4190000}"/>
    <cellStyle name="Note 2 2 5 2 3 2 4" xfId="3564" xr:uid="{00000000-0005-0000-0000-0000F5190000}"/>
    <cellStyle name="Note 2 2 5 2 3 2 4 2" xfId="9394" xr:uid="{00000000-0005-0000-0000-0000F6190000}"/>
    <cellStyle name="Note 2 2 5 2 3 2 5" xfId="4961" xr:uid="{00000000-0005-0000-0000-0000F7190000}"/>
    <cellStyle name="Note 2 2 5 2 3 2 5 2" xfId="10791" xr:uid="{00000000-0005-0000-0000-0000F8190000}"/>
    <cellStyle name="Note 2 2 5 2 3 2 6" xfId="6456" xr:uid="{00000000-0005-0000-0000-0000F9190000}"/>
    <cellStyle name="Note 2 2 5 2 3 3" xfId="859" xr:uid="{00000000-0005-0000-0000-0000FA190000}"/>
    <cellStyle name="Note 2 2 5 2 3 3 2" xfId="1590" xr:uid="{00000000-0005-0000-0000-0000FB190000}"/>
    <cellStyle name="Note 2 2 5 2 3 3 2 2" xfId="3106" xr:uid="{00000000-0005-0000-0000-0000FC190000}"/>
    <cellStyle name="Note 2 2 5 2 3 3 2 2 2" xfId="8936" xr:uid="{00000000-0005-0000-0000-0000FD190000}"/>
    <cellStyle name="Note 2 2 5 2 3 3 2 3" xfId="4529" xr:uid="{00000000-0005-0000-0000-0000FE190000}"/>
    <cellStyle name="Note 2 2 5 2 3 3 2 3 2" xfId="10359" xr:uid="{00000000-0005-0000-0000-0000FF190000}"/>
    <cellStyle name="Note 2 2 5 2 3 3 2 4" xfId="5925" xr:uid="{00000000-0005-0000-0000-0000001A0000}"/>
    <cellStyle name="Note 2 2 5 2 3 3 2 4 2" xfId="11755" xr:uid="{00000000-0005-0000-0000-0000011A0000}"/>
    <cellStyle name="Note 2 2 5 2 3 3 2 5" xfId="7420" xr:uid="{00000000-0005-0000-0000-0000021A0000}"/>
    <cellStyle name="Note 2 2 5 2 3 3 3" xfId="2379" xr:uid="{00000000-0005-0000-0000-0000031A0000}"/>
    <cellStyle name="Note 2 2 5 2 3 3 3 2" xfId="8209" xr:uid="{00000000-0005-0000-0000-0000041A0000}"/>
    <cellStyle name="Note 2 2 5 2 3 3 4" xfId="3805" xr:uid="{00000000-0005-0000-0000-0000051A0000}"/>
    <cellStyle name="Note 2 2 5 2 3 3 4 2" xfId="9635" xr:uid="{00000000-0005-0000-0000-0000061A0000}"/>
    <cellStyle name="Note 2 2 5 2 3 3 5" xfId="5201" xr:uid="{00000000-0005-0000-0000-0000071A0000}"/>
    <cellStyle name="Note 2 2 5 2 3 3 5 2" xfId="11031" xr:uid="{00000000-0005-0000-0000-0000081A0000}"/>
    <cellStyle name="Note 2 2 5 2 3 3 6" xfId="6696" xr:uid="{00000000-0005-0000-0000-0000091A0000}"/>
    <cellStyle name="Note 2 2 5 2 3 4" xfId="1103" xr:uid="{00000000-0005-0000-0000-00000A1A0000}"/>
    <cellStyle name="Note 2 2 5 2 3 4 2" xfId="2623" xr:uid="{00000000-0005-0000-0000-00000B1A0000}"/>
    <cellStyle name="Note 2 2 5 2 3 4 2 2" xfId="8453" xr:uid="{00000000-0005-0000-0000-00000C1A0000}"/>
    <cellStyle name="Note 2 2 5 2 3 4 3" xfId="4049" xr:uid="{00000000-0005-0000-0000-00000D1A0000}"/>
    <cellStyle name="Note 2 2 5 2 3 4 3 2" xfId="9879" xr:uid="{00000000-0005-0000-0000-00000E1A0000}"/>
    <cellStyle name="Note 2 2 5 2 3 4 4" xfId="5445" xr:uid="{00000000-0005-0000-0000-00000F1A0000}"/>
    <cellStyle name="Note 2 2 5 2 3 4 4 2" xfId="11275" xr:uid="{00000000-0005-0000-0000-0000101A0000}"/>
    <cellStyle name="Note 2 2 5 2 3 4 5" xfId="6940" xr:uid="{00000000-0005-0000-0000-0000111A0000}"/>
    <cellStyle name="Note 2 2 5 2 3 5" xfId="1877" xr:uid="{00000000-0005-0000-0000-0000121A0000}"/>
    <cellStyle name="Note 2 2 5 2 3 5 2" xfId="7707" xr:uid="{00000000-0005-0000-0000-0000131A0000}"/>
    <cellStyle name="Note 2 2 5 2 3 6" xfId="3308" xr:uid="{00000000-0005-0000-0000-0000141A0000}"/>
    <cellStyle name="Note 2 2 5 2 3 6 2" xfId="9138" xr:uid="{00000000-0005-0000-0000-0000151A0000}"/>
    <cellStyle name="Note 2 2 5 2 3 7" xfId="4720" xr:uid="{00000000-0005-0000-0000-0000161A0000}"/>
    <cellStyle name="Note 2 2 5 2 3 7 2" xfId="10550" xr:uid="{00000000-0005-0000-0000-0000171A0000}"/>
    <cellStyle name="Note 2 2 5 2 3 8" xfId="6215" xr:uid="{00000000-0005-0000-0000-0000181A0000}"/>
    <cellStyle name="Note 2 2 5 2 4" xfId="455" xr:uid="{00000000-0005-0000-0000-0000191A0000}"/>
    <cellStyle name="Note 2 2 5 2 4 2" xfId="1190" xr:uid="{00000000-0005-0000-0000-00001A1A0000}"/>
    <cellStyle name="Note 2 2 5 2 4 2 2" xfId="2706" xr:uid="{00000000-0005-0000-0000-00001B1A0000}"/>
    <cellStyle name="Note 2 2 5 2 4 2 2 2" xfId="8536" xr:uid="{00000000-0005-0000-0000-00001C1A0000}"/>
    <cellStyle name="Note 2 2 5 2 4 2 3" xfId="4129" xr:uid="{00000000-0005-0000-0000-00001D1A0000}"/>
    <cellStyle name="Note 2 2 5 2 4 2 3 2" xfId="9959" xr:uid="{00000000-0005-0000-0000-00001E1A0000}"/>
    <cellStyle name="Note 2 2 5 2 4 2 4" xfId="5525" xr:uid="{00000000-0005-0000-0000-00001F1A0000}"/>
    <cellStyle name="Note 2 2 5 2 4 2 4 2" xfId="11355" xr:uid="{00000000-0005-0000-0000-0000201A0000}"/>
    <cellStyle name="Note 2 2 5 2 4 2 5" xfId="7020" xr:uid="{00000000-0005-0000-0000-0000211A0000}"/>
    <cellStyle name="Note 2 2 5 2 4 3" xfId="1977" xr:uid="{00000000-0005-0000-0000-0000221A0000}"/>
    <cellStyle name="Note 2 2 5 2 4 3 2" xfId="7807" xr:uid="{00000000-0005-0000-0000-0000231A0000}"/>
    <cellStyle name="Note 2 2 5 2 4 4" xfId="3404" xr:uid="{00000000-0005-0000-0000-0000241A0000}"/>
    <cellStyle name="Note 2 2 5 2 4 4 2" xfId="9234" xr:uid="{00000000-0005-0000-0000-0000251A0000}"/>
    <cellStyle name="Note 2 2 5 2 4 5" xfId="4801" xr:uid="{00000000-0005-0000-0000-0000261A0000}"/>
    <cellStyle name="Note 2 2 5 2 4 5 2" xfId="10631" xr:uid="{00000000-0005-0000-0000-0000271A0000}"/>
    <cellStyle name="Note 2 2 5 2 4 6" xfId="6296" xr:uid="{00000000-0005-0000-0000-0000281A0000}"/>
    <cellStyle name="Note 2 2 5 2 5" xfId="699" xr:uid="{00000000-0005-0000-0000-0000291A0000}"/>
    <cellStyle name="Note 2 2 5 2 5 2" xfId="1430" xr:uid="{00000000-0005-0000-0000-00002A1A0000}"/>
    <cellStyle name="Note 2 2 5 2 5 2 2" xfId="2946" xr:uid="{00000000-0005-0000-0000-00002B1A0000}"/>
    <cellStyle name="Note 2 2 5 2 5 2 2 2" xfId="8776" xr:uid="{00000000-0005-0000-0000-00002C1A0000}"/>
    <cellStyle name="Note 2 2 5 2 5 2 3" xfId="4369" xr:uid="{00000000-0005-0000-0000-00002D1A0000}"/>
    <cellStyle name="Note 2 2 5 2 5 2 3 2" xfId="10199" xr:uid="{00000000-0005-0000-0000-00002E1A0000}"/>
    <cellStyle name="Note 2 2 5 2 5 2 4" xfId="5765" xr:uid="{00000000-0005-0000-0000-00002F1A0000}"/>
    <cellStyle name="Note 2 2 5 2 5 2 4 2" xfId="11595" xr:uid="{00000000-0005-0000-0000-0000301A0000}"/>
    <cellStyle name="Note 2 2 5 2 5 2 5" xfId="7260" xr:uid="{00000000-0005-0000-0000-0000311A0000}"/>
    <cellStyle name="Note 2 2 5 2 5 3" xfId="2219" xr:uid="{00000000-0005-0000-0000-0000321A0000}"/>
    <cellStyle name="Note 2 2 5 2 5 3 2" xfId="8049" xr:uid="{00000000-0005-0000-0000-0000331A0000}"/>
    <cellStyle name="Note 2 2 5 2 5 4" xfId="3645" xr:uid="{00000000-0005-0000-0000-0000341A0000}"/>
    <cellStyle name="Note 2 2 5 2 5 4 2" xfId="9475" xr:uid="{00000000-0005-0000-0000-0000351A0000}"/>
    <cellStyle name="Note 2 2 5 2 5 5" xfId="5041" xr:uid="{00000000-0005-0000-0000-0000361A0000}"/>
    <cellStyle name="Note 2 2 5 2 5 5 2" xfId="10871" xr:uid="{00000000-0005-0000-0000-0000371A0000}"/>
    <cellStyle name="Note 2 2 5 2 5 6" xfId="6536" xr:uid="{00000000-0005-0000-0000-0000381A0000}"/>
    <cellStyle name="Note 2 2 5 2 6" xfId="943" xr:uid="{00000000-0005-0000-0000-0000391A0000}"/>
    <cellStyle name="Note 2 2 5 2 6 2" xfId="2463" xr:uid="{00000000-0005-0000-0000-00003A1A0000}"/>
    <cellStyle name="Note 2 2 5 2 6 2 2" xfId="8293" xr:uid="{00000000-0005-0000-0000-00003B1A0000}"/>
    <cellStyle name="Note 2 2 5 2 6 3" xfId="3889" xr:uid="{00000000-0005-0000-0000-00003C1A0000}"/>
    <cellStyle name="Note 2 2 5 2 6 3 2" xfId="9719" xr:uid="{00000000-0005-0000-0000-00003D1A0000}"/>
    <cellStyle name="Note 2 2 5 2 6 4" xfId="5285" xr:uid="{00000000-0005-0000-0000-00003E1A0000}"/>
    <cellStyle name="Note 2 2 5 2 6 4 2" xfId="11115" xr:uid="{00000000-0005-0000-0000-00003F1A0000}"/>
    <cellStyle name="Note 2 2 5 2 6 5" xfId="6780" xr:uid="{00000000-0005-0000-0000-0000401A0000}"/>
    <cellStyle name="Note 2 2 5 2 7" xfId="1717" xr:uid="{00000000-0005-0000-0000-0000411A0000}"/>
    <cellStyle name="Note 2 2 5 2 7 2" xfId="7547" xr:uid="{00000000-0005-0000-0000-0000421A0000}"/>
    <cellStyle name="Note 2 2 5 2 8" xfId="3148" xr:uid="{00000000-0005-0000-0000-0000431A0000}"/>
    <cellStyle name="Note 2 2 5 2 8 2" xfId="8978" xr:uid="{00000000-0005-0000-0000-0000441A0000}"/>
    <cellStyle name="Note 2 2 5 2 9" xfId="4560" xr:uid="{00000000-0005-0000-0000-0000451A0000}"/>
    <cellStyle name="Note 2 2 5 2 9 2" xfId="10390" xr:uid="{00000000-0005-0000-0000-0000461A0000}"/>
    <cellStyle name="Note 2 2 5 3" xfId="216" xr:uid="{00000000-0005-0000-0000-0000471A0000}"/>
    <cellStyle name="Note 2 2 5 3 2" xfId="495" xr:uid="{00000000-0005-0000-0000-0000481A0000}"/>
    <cellStyle name="Note 2 2 5 3 2 2" xfId="1230" xr:uid="{00000000-0005-0000-0000-0000491A0000}"/>
    <cellStyle name="Note 2 2 5 3 2 2 2" xfId="2746" xr:uid="{00000000-0005-0000-0000-00004A1A0000}"/>
    <cellStyle name="Note 2 2 5 3 2 2 2 2" xfId="8576" xr:uid="{00000000-0005-0000-0000-00004B1A0000}"/>
    <cellStyle name="Note 2 2 5 3 2 2 3" xfId="4169" xr:uid="{00000000-0005-0000-0000-00004C1A0000}"/>
    <cellStyle name="Note 2 2 5 3 2 2 3 2" xfId="9999" xr:uid="{00000000-0005-0000-0000-00004D1A0000}"/>
    <cellStyle name="Note 2 2 5 3 2 2 4" xfId="5565" xr:uid="{00000000-0005-0000-0000-00004E1A0000}"/>
    <cellStyle name="Note 2 2 5 3 2 2 4 2" xfId="11395" xr:uid="{00000000-0005-0000-0000-00004F1A0000}"/>
    <cellStyle name="Note 2 2 5 3 2 2 5" xfId="7060" xr:uid="{00000000-0005-0000-0000-0000501A0000}"/>
    <cellStyle name="Note 2 2 5 3 2 3" xfId="2017" xr:uid="{00000000-0005-0000-0000-0000511A0000}"/>
    <cellStyle name="Note 2 2 5 3 2 3 2" xfId="7847" xr:uid="{00000000-0005-0000-0000-0000521A0000}"/>
    <cellStyle name="Note 2 2 5 3 2 4" xfId="3444" xr:uid="{00000000-0005-0000-0000-0000531A0000}"/>
    <cellStyle name="Note 2 2 5 3 2 4 2" xfId="9274" xr:uid="{00000000-0005-0000-0000-0000541A0000}"/>
    <cellStyle name="Note 2 2 5 3 2 5" xfId="4841" xr:uid="{00000000-0005-0000-0000-0000551A0000}"/>
    <cellStyle name="Note 2 2 5 3 2 5 2" xfId="10671" xr:uid="{00000000-0005-0000-0000-0000561A0000}"/>
    <cellStyle name="Note 2 2 5 3 2 6" xfId="6336" xr:uid="{00000000-0005-0000-0000-0000571A0000}"/>
    <cellStyle name="Note 2 2 5 3 3" xfId="739" xr:uid="{00000000-0005-0000-0000-0000581A0000}"/>
    <cellStyle name="Note 2 2 5 3 3 2" xfId="1470" xr:uid="{00000000-0005-0000-0000-0000591A0000}"/>
    <cellStyle name="Note 2 2 5 3 3 2 2" xfId="2986" xr:uid="{00000000-0005-0000-0000-00005A1A0000}"/>
    <cellStyle name="Note 2 2 5 3 3 2 2 2" xfId="8816" xr:uid="{00000000-0005-0000-0000-00005B1A0000}"/>
    <cellStyle name="Note 2 2 5 3 3 2 3" xfId="4409" xr:uid="{00000000-0005-0000-0000-00005C1A0000}"/>
    <cellStyle name="Note 2 2 5 3 3 2 3 2" xfId="10239" xr:uid="{00000000-0005-0000-0000-00005D1A0000}"/>
    <cellStyle name="Note 2 2 5 3 3 2 4" xfId="5805" xr:uid="{00000000-0005-0000-0000-00005E1A0000}"/>
    <cellStyle name="Note 2 2 5 3 3 2 4 2" xfId="11635" xr:uid="{00000000-0005-0000-0000-00005F1A0000}"/>
    <cellStyle name="Note 2 2 5 3 3 2 5" xfId="7300" xr:uid="{00000000-0005-0000-0000-0000601A0000}"/>
    <cellStyle name="Note 2 2 5 3 3 3" xfId="2259" xr:uid="{00000000-0005-0000-0000-0000611A0000}"/>
    <cellStyle name="Note 2 2 5 3 3 3 2" xfId="8089" xr:uid="{00000000-0005-0000-0000-0000621A0000}"/>
    <cellStyle name="Note 2 2 5 3 3 4" xfId="3685" xr:uid="{00000000-0005-0000-0000-0000631A0000}"/>
    <cellStyle name="Note 2 2 5 3 3 4 2" xfId="9515" xr:uid="{00000000-0005-0000-0000-0000641A0000}"/>
    <cellStyle name="Note 2 2 5 3 3 5" xfId="5081" xr:uid="{00000000-0005-0000-0000-0000651A0000}"/>
    <cellStyle name="Note 2 2 5 3 3 5 2" xfId="10911" xr:uid="{00000000-0005-0000-0000-0000661A0000}"/>
    <cellStyle name="Note 2 2 5 3 3 6" xfId="6576" xr:uid="{00000000-0005-0000-0000-0000671A0000}"/>
    <cellStyle name="Note 2 2 5 3 4" xfId="983" xr:uid="{00000000-0005-0000-0000-0000681A0000}"/>
    <cellStyle name="Note 2 2 5 3 4 2" xfId="2503" xr:uid="{00000000-0005-0000-0000-0000691A0000}"/>
    <cellStyle name="Note 2 2 5 3 4 2 2" xfId="8333" xr:uid="{00000000-0005-0000-0000-00006A1A0000}"/>
    <cellStyle name="Note 2 2 5 3 4 3" xfId="3929" xr:uid="{00000000-0005-0000-0000-00006B1A0000}"/>
    <cellStyle name="Note 2 2 5 3 4 3 2" xfId="9759" xr:uid="{00000000-0005-0000-0000-00006C1A0000}"/>
    <cellStyle name="Note 2 2 5 3 4 4" xfId="5325" xr:uid="{00000000-0005-0000-0000-00006D1A0000}"/>
    <cellStyle name="Note 2 2 5 3 4 4 2" xfId="11155" xr:uid="{00000000-0005-0000-0000-00006E1A0000}"/>
    <cellStyle name="Note 2 2 5 3 4 5" xfId="6820" xr:uid="{00000000-0005-0000-0000-00006F1A0000}"/>
    <cellStyle name="Note 2 2 5 3 5" xfId="1757" xr:uid="{00000000-0005-0000-0000-0000701A0000}"/>
    <cellStyle name="Note 2 2 5 3 5 2" xfId="7587" xr:uid="{00000000-0005-0000-0000-0000711A0000}"/>
    <cellStyle name="Note 2 2 5 3 6" xfId="3188" xr:uid="{00000000-0005-0000-0000-0000721A0000}"/>
    <cellStyle name="Note 2 2 5 3 6 2" xfId="9018" xr:uid="{00000000-0005-0000-0000-0000731A0000}"/>
    <cellStyle name="Note 2 2 5 3 7" xfId="4600" xr:uid="{00000000-0005-0000-0000-0000741A0000}"/>
    <cellStyle name="Note 2 2 5 3 7 2" xfId="10430" xr:uid="{00000000-0005-0000-0000-0000751A0000}"/>
    <cellStyle name="Note 2 2 5 3 8" xfId="6095" xr:uid="{00000000-0005-0000-0000-0000761A0000}"/>
    <cellStyle name="Note 2 2 5 4" xfId="296" xr:uid="{00000000-0005-0000-0000-0000771A0000}"/>
    <cellStyle name="Note 2 2 5 4 2" xfId="575" xr:uid="{00000000-0005-0000-0000-0000781A0000}"/>
    <cellStyle name="Note 2 2 5 4 2 2" xfId="1310" xr:uid="{00000000-0005-0000-0000-0000791A0000}"/>
    <cellStyle name="Note 2 2 5 4 2 2 2" xfId="2826" xr:uid="{00000000-0005-0000-0000-00007A1A0000}"/>
    <cellStyle name="Note 2 2 5 4 2 2 2 2" xfId="8656" xr:uid="{00000000-0005-0000-0000-00007B1A0000}"/>
    <cellStyle name="Note 2 2 5 4 2 2 3" xfId="4249" xr:uid="{00000000-0005-0000-0000-00007C1A0000}"/>
    <cellStyle name="Note 2 2 5 4 2 2 3 2" xfId="10079" xr:uid="{00000000-0005-0000-0000-00007D1A0000}"/>
    <cellStyle name="Note 2 2 5 4 2 2 4" xfId="5645" xr:uid="{00000000-0005-0000-0000-00007E1A0000}"/>
    <cellStyle name="Note 2 2 5 4 2 2 4 2" xfId="11475" xr:uid="{00000000-0005-0000-0000-00007F1A0000}"/>
    <cellStyle name="Note 2 2 5 4 2 2 5" xfId="7140" xr:uid="{00000000-0005-0000-0000-0000801A0000}"/>
    <cellStyle name="Note 2 2 5 4 2 3" xfId="2097" xr:uid="{00000000-0005-0000-0000-0000811A0000}"/>
    <cellStyle name="Note 2 2 5 4 2 3 2" xfId="7927" xr:uid="{00000000-0005-0000-0000-0000821A0000}"/>
    <cellStyle name="Note 2 2 5 4 2 4" xfId="3524" xr:uid="{00000000-0005-0000-0000-0000831A0000}"/>
    <cellStyle name="Note 2 2 5 4 2 4 2" xfId="9354" xr:uid="{00000000-0005-0000-0000-0000841A0000}"/>
    <cellStyle name="Note 2 2 5 4 2 5" xfId="4921" xr:uid="{00000000-0005-0000-0000-0000851A0000}"/>
    <cellStyle name="Note 2 2 5 4 2 5 2" xfId="10751" xr:uid="{00000000-0005-0000-0000-0000861A0000}"/>
    <cellStyle name="Note 2 2 5 4 2 6" xfId="6416" xr:uid="{00000000-0005-0000-0000-0000871A0000}"/>
    <cellStyle name="Note 2 2 5 4 3" xfId="819" xr:uid="{00000000-0005-0000-0000-0000881A0000}"/>
    <cellStyle name="Note 2 2 5 4 3 2" xfId="1550" xr:uid="{00000000-0005-0000-0000-0000891A0000}"/>
    <cellStyle name="Note 2 2 5 4 3 2 2" xfId="3066" xr:uid="{00000000-0005-0000-0000-00008A1A0000}"/>
    <cellStyle name="Note 2 2 5 4 3 2 2 2" xfId="8896" xr:uid="{00000000-0005-0000-0000-00008B1A0000}"/>
    <cellStyle name="Note 2 2 5 4 3 2 3" xfId="4489" xr:uid="{00000000-0005-0000-0000-00008C1A0000}"/>
    <cellStyle name="Note 2 2 5 4 3 2 3 2" xfId="10319" xr:uid="{00000000-0005-0000-0000-00008D1A0000}"/>
    <cellStyle name="Note 2 2 5 4 3 2 4" xfId="5885" xr:uid="{00000000-0005-0000-0000-00008E1A0000}"/>
    <cellStyle name="Note 2 2 5 4 3 2 4 2" xfId="11715" xr:uid="{00000000-0005-0000-0000-00008F1A0000}"/>
    <cellStyle name="Note 2 2 5 4 3 2 5" xfId="7380" xr:uid="{00000000-0005-0000-0000-0000901A0000}"/>
    <cellStyle name="Note 2 2 5 4 3 3" xfId="2339" xr:uid="{00000000-0005-0000-0000-0000911A0000}"/>
    <cellStyle name="Note 2 2 5 4 3 3 2" xfId="8169" xr:uid="{00000000-0005-0000-0000-0000921A0000}"/>
    <cellStyle name="Note 2 2 5 4 3 4" xfId="3765" xr:uid="{00000000-0005-0000-0000-0000931A0000}"/>
    <cellStyle name="Note 2 2 5 4 3 4 2" xfId="9595" xr:uid="{00000000-0005-0000-0000-0000941A0000}"/>
    <cellStyle name="Note 2 2 5 4 3 5" xfId="5161" xr:uid="{00000000-0005-0000-0000-0000951A0000}"/>
    <cellStyle name="Note 2 2 5 4 3 5 2" xfId="10991" xr:uid="{00000000-0005-0000-0000-0000961A0000}"/>
    <cellStyle name="Note 2 2 5 4 3 6" xfId="6656" xr:uid="{00000000-0005-0000-0000-0000971A0000}"/>
    <cellStyle name="Note 2 2 5 4 4" xfId="1063" xr:uid="{00000000-0005-0000-0000-0000981A0000}"/>
    <cellStyle name="Note 2 2 5 4 4 2" xfId="2583" xr:uid="{00000000-0005-0000-0000-0000991A0000}"/>
    <cellStyle name="Note 2 2 5 4 4 2 2" xfId="8413" xr:uid="{00000000-0005-0000-0000-00009A1A0000}"/>
    <cellStyle name="Note 2 2 5 4 4 3" xfId="4009" xr:uid="{00000000-0005-0000-0000-00009B1A0000}"/>
    <cellStyle name="Note 2 2 5 4 4 3 2" xfId="9839" xr:uid="{00000000-0005-0000-0000-00009C1A0000}"/>
    <cellStyle name="Note 2 2 5 4 4 4" xfId="5405" xr:uid="{00000000-0005-0000-0000-00009D1A0000}"/>
    <cellStyle name="Note 2 2 5 4 4 4 2" xfId="11235" xr:uid="{00000000-0005-0000-0000-00009E1A0000}"/>
    <cellStyle name="Note 2 2 5 4 4 5" xfId="6900" xr:uid="{00000000-0005-0000-0000-00009F1A0000}"/>
    <cellStyle name="Note 2 2 5 4 5" xfId="1837" xr:uid="{00000000-0005-0000-0000-0000A01A0000}"/>
    <cellStyle name="Note 2 2 5 4 5 2" xfId="7667" xr:uid="{00000000-0005-0000-0000-0000A11A0000}"/>
    <cellStyle name="Note 2 2 5 4 6" xfId="3268" xr:uid="{00000000-0005-0000-0000-0000A21A0000}"/>
    <cellStyle name="Note 2 2 5 4 6 2" xfId="9098" xr:uid="{00000000-0005-0000-0000-0000A31A0000}"/>
    <cellStyle name="Note 2 2 5 4 7" xfId="4680" xr:uid="{00000000-0005-0000-0000-0000A41A0000}"/>
    <cellStyle name="Note 2 2 5 4 7 2" xfId="10510" xr:uid="{00000000-0005-0000-0000-0000A51A0000}"/>
    <cellStyle name="Note 2 2 5 4 8" xfId="6175" xr:uid="{00000000-0005-0000-0000-0000A61A0000}"/>
    <cellStyle name="Note 2 2 5 5" xfId="415" xr:uid="{00000000-0005-0000-0000-0000A71A0000}"/>
    <cellStyle name="Note 2 2 5 5 2" xfId="1150" xr:uid="{00000000-0005-0000-0000-0000A81A0000}"/>
    <cellStyle name="Note 2 2 5 5 2 2" xfId="2666" xr:uid="{00000000-0005-0000-0000-0000A91A0000}"/>
    <cellStyle name="Note 2 2 5 5 2 2 2" xfId="8496" xr:uid="{00000000-0005-0000-0000-0000AA1A0000}"/>
    <cellStyle name="Note 2 2 5 5 2 3" xfId="4089" xr:uid="{00000000-0005-0000-0000-0000AB1A0000}"/>
    <cellStyle name="Note 2 2 5 5 2 3 2" xfId="9919" xr:uid="{00000000-0005-0000-0000-0000AC1A0000}"/>
    <cellStyle name="Note 2 2 5 5 2 4" xfId="5485" xr:uid="{00000000-0005-0000-0000-0000AD1A0000}"/>
    <cellStyle name="Note 2 2 5 5 2 4 2" xfId="11315" xr:uid="{00000000-0005-0000-0000-0000AE1A0000}"/>
    <cellStyle name="Note 2 2 5 5 2 5" xfId="6980" xr:uid="{00000000-0005-0000-0000-0000AF1A0000}"/>
    <cellStyle name="Note 2 2 5 5 3" xfId="1937" xr:uid="{00000000-0005-0000-0000-0000B01A0000}"/>
    <cellStyle name="Note 2 2 5 5 3 2" xfId="7767" xr:uid="{00000000-0005-0000-0000-0000B11A0000}"/>
    <cellStyle name="Note 2 2 5 5 4" xfId="3364" xr:uid="{00000000-0005-0000-0000-0000B21A0000}"/>
    <cellStyle name="Note 2 2 5 5 4 2" xfId="9194" xr:uid="{00000000-0005-0000-0000-0000B31A0000}"/>
    <cellStyle name="Note 2 2 5 5 5" xfId="4761" xr:uid="{00000000-0005-0000-0000-0000B41A0000}"/>
    <cellStyle name="Note 2 2 5 5 5 2" xfId="10591" xr:uid="{00000000-0005-0000-0000-0000B51A0000}"/>
    <cellStyle name="Note 2 2 5 5 6" xfId="6256" xr:uid="{00000000-0005-0000-0000-0000B61A0000}"/>
    <cellStyle name="Note 2 2 5 6" xfId="659" xr:uid="{00000000-0005-0000-0000-0000B71A0000}"/>
    <cellStyle name="Note 2 2 5 6 2" xfId="1390" xr:uid="{00000000-0005-0000-0000-0000B81A0000}"/>
    <cellStyle name="Note 2 2 5 6 2 2" xfId="2906" xr:uid="{00000000-0005-0000-0000-0000B91A0000}"/>
    <cellStyle name="Note 2 2 5 6 2 2 2" xfId="8736" xr:uid="{00000000-0005-0000-0000-0000BA1A0000}"/>
    <cellStyle name="Note 2 2 5 6 2 3" xfId="4329" xr:uid="{00000000-0005-0000-0000-0000BB1A0000}"/>
    <cellStyle name="Note 2 2 5 6 2 3 2" xfId="10159" xr:uid="{00000000-0005-0000-0000-0000BC1A0000}"/>
    <cellStyle name="Note 2 2 5 6 2 4" xfId="5725" xr:uid="{00000000-0005-0000-0000-0000BD1A0000}"/>
    <cellStyle name="Note 2 2 5 6 2 4 2" xfId="11555" xr:uid="{00000000-0005-0000-0000-0000BE1A0000}"/>
    <cellStyle name="Note 2 2 5 6 2 5" xfId="7220" xr:uid="{00000000-0005-0000-0000-0000BF1A0000}"/>
    <cellStyle name="Note 2 2 5 6 3" xfId="2179" xr:uid="{00000000-0005-0000-0000-0000C01A0000}"/>
    <cellStyle name="Note 2 2 5 6 3 2" xfId="8009" xr:uid="{00000000-0005-0000-0000-0000C11A0000}"/>
    <cellStyle name="Note 2 2 5 6 4" xfId="3605" xr:uid="{00000000-0005-0000-0000-0000C21A0000}"/>
    <cellStyle name="Note 2 2 5 6 4 2" xfId="9435" xr:uid="{00000000-0005-0000-0000-0000C31A0000}"/>
    <cellStyle name="Note 2 2 5 6 5" xfId="5001" xr:uid="{00000000-0005-0000-0000-0000C41A0000}"/>
    <cellStyle name="Note 2 2 5 6 5 2" xfId="10831" xr:uid="{00000000-0005-0000-0000-0000C51A0000}"/>
    <cellStyle name="Note 2 2 5 6 6" xfId="6496" xr:uid="{00000000-0005-0000-0000-0000C61A0000}"/>
    <cellStyle name="Note 2 2 5 7" xfId="903" xr:uid="{00000000-0005-0000-0000-0000C71A0000}"/>
    <cellStyle name="Note 2 2 5 7 2" xfId="2423" xr:uid="{00000000-0005-0000-0000-0000C81A0000}"/>
    <cellStyle name="Note 2 2 5 7 2 2" xfId="8253" xr:uid="{00000000-0005-0000-0000-0000C91A0000}"/>
    <cellStyle name="Note 2 2 5 7 3" xfId="3849" xr:uid="{00000000-0005-0000-0000-0000CA1A0000}"/>
    <cellStyle name="Note 2 2 5 7 3 2" xfId="9679" xr:uid="{00000000-0005-0000-0000-0000CB1A0000}"/>
    <cellStyle name="Note 2 2 5 7 4" xfId="5245" xr:uid="{00000000-0005-0000-0000-0000CC1A0000}"/>
    <cellStyle name="Note 2 2 5 7 4 2" xfId="11075" xr:uid="{00000000-0005-0000-0000-0000CD1A0000}"/>
    <cellStyle name="Note 2 2 5 7 5" xfId="6740" xr:uid="{00000000-0005-0000-0000-0000CE1A0000}"/>
    <cellStyle name="Note 2 2 5 8" xfId="1677" xr:uid="{00000000-0005-0000-0000-0000CF1A0000}"/>
    <cellStyle name="Note 2 2 5 8 2" xfId="7507" xr:uid="{00000000-0005-0000-0000-0000D01A0000}"/>
    <cellStyle name="Note 2 2 5 9" xfId="1640" xr:uid="{00000000-0005-0000-0000-0000D11A0000}"/>
    <cellStyle name="Note 2 2 5 9 2" xfId="7470" xr:uid="{00000000-0005-0000-0000-0000D21A0000}"/>
    <cellStyle name="Note 2 2 6" xfId="155" xr:uid="{00000000-0005-0000-0000-0000D31A0000}"/>
    <cellStyle name="Note 2 2 6 10" xfId="6035" xr:uid="{00000000-0005-0000-0000-0000D41A0000}"/>
    <cellStyle name="Note 2 2 6 2" xfId="236" xr:uid="{00000000-0005-0000-0000-0000D51A0000}"/>
    <cellStyle name="Note 2 2 6 2 2" xfId="515" xr:uid="{00000000-0005-0000-0000-0000D61A0000}"/>
    <cellStyle name="Note 2 2 6 2 2 2" xfId="1250" xr:uid="{00000000-0005-0000-0000-0000D71A0000}"/>
    <cellStyle name="Note 2 2 6 2 2 2 2" xfId="2766" xr:uid="{00000000-0005-0000-0000-0000D81A0000}"/>
    <cellStyle name="Note 2 2 6 2 2 2 2 2" xfId="8596" xr:uid="{00000000-0005-0000-0000-0000D91A0000}"/>
    <cellStyle name="Note 2 2 6 2 2 2 3" xfId="4189" xr:uid="{00000000-0005-0000-0000-0000DA1A0000}"/>
    <cellStyle name="Note 2 2 6 2 2 2 3 2" xfId="10019" xr:uid="{00000000-0005-0000-0000-0000DB1A0000}"/>
    <cellStyle name="Note 2 2 6 2 2 2 4" xfId="5585" xr:uid="{00000000-0005-0000-0000-0000DC1A0000}"/>
    <cellStyle name="Note 2 2 6 2 2 2 4 2" xfId="11415" xr:uid="{00000000-0005-0000-0000-0000DD1A0000}"/>
    <cellStyle name="Note 2 2 6 2 2 2 5" xfId="7080" xr:uid="{00000000-0005-0000-0000-0000DE1A0000}"/>
    <cellStyle name="Note 2 2 6 2 2 3" xfId="2037" xr:uid="{00000000-0005-0000-0000-0000DF1A0000}"/>
    <cellStyle name="Note 2 2 6 2 2 3 2" xfId="7867" xr:uid="{00000000-0005-0000-0000-0000E01A0000}"/>
    <cellStyle name="Note 2 2 6 2 2 4" xfId="3464" xr:uid="{00000000-0005-0000-0000-0000E11A0000}"/>
    <cellStyle name="Note 2 2 6 2 2 4 2" xfId="9294" xr:uid="{00000000-0005-0000-0000-0000E21A0000}"/>
    <cellStyle name="Note 2 2 6 2 2 5" xfId="4861" xr:uid="{00000000-0005-0000-0000-0000E31A0000}"/>
    <cellStyle name="Note 2 2 6 2 2 5 2" xfId="10691" xr:uid="{00000000-0005-0000-0000-0000E41A0000}"/>
    <cellStyle name="Note 2 2 6 2 2 6" xfId="6356" xr:uid="{00000000-0005-0000-0000-0000E51A0000}"/>
    <cellStyle name="Note 2 2 6 2 3" xfId="759" xr:uid="{00000000-0005-0000-0000-0000E61A0000}"/>
    <cellStyle name="Note 2 2 6 2 3 2" xfId="1490" xr:uid="{00000000-0005-0000-0000-0000E71A0000}"/>
    <cellStyle name="Note 2 2 6 2 3 2 2" xfId="3006" xr:uid="{00000000-0005-0000-0000-0000E81A0000}"/>
    <cellStyle name="Note 2 2 6 2 3 2 2 2" xfId="8836" xr:uid="{00000000-0005-0000-0000-0000E91A0000}"/>
    <cellStyle name="Note 2 2 6 2 3 2 3" xfId="4429" xr:uid="{00000000-0005-0000-0000-0000EA1A0000}"/>
    <cellStyle name="Note 2 2 6 2 3 2 3 2" xfId="10259" xr:uid="{00000000-0005-0000-0000-0000EB1A0000}"/>
    <cellStyle name="Note 2 2 6 2 3 2 4" xfId="5825" xr:uid="{00000000-0005-0000-0000-0000EC1A0000}"/>
    <cellStyle name="Note 2 2 6 2 3 2 4 2" xfId="11655" xr:uid="{00000000-0005-0000-0000-0000ED1A0000}"/>
    <cellStyle name="Note 2 2 6 2 3 2 5" xfId="7320" xr:uid="{00000000-0005-0000-0000-0000EE1A0000}"/>
    <cellStyle name="Note 2 2 6 2 3 3" xfId="2279" xr:uid="{00000000-0005-0000-0000-0000EF1A0000}"/>
    <cellStyle name="Note 2 2 6 2 3 3 2" xfId="8109" xr:uid="{00000000-0005-0000-0000-0000F01A0000}"/>
    <cellStyle name="Note 2 2 6 2 3 4" xfId="3705" xr:uid="{00000000-0005-0000-0000-0000F11A0000}"/>
    <cellStyle name="Note 2 2 6 2 3 4 2" xfId="9535" xr:uid="{00000000-0005-0000-0000-0000F21A0000}"/>
    <cellStyle name="Note 2 2 6 2 3 5" xfId="5101" xr:uid="{00000000-0005-0000-0000-0000F31A0000}"/>
    <cellStyle name="Note 2 2 6 2 3 5 2" xfId="10931" xr:uid="{00000000-0005-0000-0000-0000F41A0000}"/>
    <cellStyle name="Note 2 2 6 2 3 6" xfId="6596" xr:uid="{00000000-0005-0000-0000-0000F51A0000}"/>
    <cellStyle name="Note 2 2 6 2 4" xfId="1003" xr:uid="{00000000-0005-0000-0000-0000F61A0000}"/>
    <cellStyle name="Note 2 2 6 2 4 2" xfId="2523" xr:uid="{00000000-0005-0000-0000-0000F71A0000}"/>
    <cellStyle name="Note 2 2 6 2 4 2 2" xfId="8353" xr:uid="{00000000-0005-0000-0000-0000F81A0000}"/>
    <cellStyle name="Note 2 2 6 2 4 3" xfId="3949" xr:uid="{00000000-0005-0000-0000-0000F91A0000}"/>
    <cellStyle name="Note 2 2 6 2 4 3 2" xfId="9779" xr:uid="{00000000-0005-0000-0000-0000FA1A0000}"/>
    <cellStyle name="Note 2 2 6 2 4 4" xfId="5345" xr:uid="{00000000-0005-0000-0000-0000FB1A0000}"/>
    <cellStyle name="Note 2 2 6 2 4 4 2" xfId="11175" xr:uid="{00000000-0005-0000-0000-0000FC1A0000}"/>
    <cellStyle name="Note 2 2 6 2 4 5" xfId="6840" xr:uid="{00000000-0005-0000-0000-0000FD1A0000}"/>
    <cellStyle name="Note 2 2 6 2 5" xfId="1777" xr:uid="{00000000-0005-0000-0000-0000FE1A0000}"/>
    <cellStyle name="Note 2 2 6 2 5 2" xfId="7607" xr:uid="{00000000-0005-0000-0000-0000FF1A0000}"/>
    <cellStyle name="Note 2 2 6 2 6" xfId="3208" xr:uid="{00000000-0005-0000-0000-0000001B0000}"/>
    <cellStyle name="Note 2 2 6 2 6 2" xfId="9038" xr:uid="{00000000-0005-0000-0000-0000011B0000}"/>
    <cellStyle name="Note 2 2 6 2 7" xfId="4620" xr:uid="{00000000-0005-0000-0000-0000021B0000}"/>
    <cellStyle name="Note 2 2 6 2 7 2" xfId="10450" xr:uid="{00000000-0005-0000-0000-0000031B0000}"/>
    <cellStyle name="Note 2 2 6 2 8" xfId="6115" xr:uid="{00000000-0005-0000-0000-0000041B0000}"/>
    <cellStyle name="Note 2 2 6 3" xfId="316" xr:uid="{00000000-0005-0000-0000-0000051B0000}"/>
    <cellStyle name="Note 2 2 6 3 2" xfId="595" xr:uid="{00000000-0005-0000-0000-0000061B0000}"/>
    <cellStyle name="Note 2 2 6 3 2 2" xfId="1330" xr:uid="{00000000-0005-0000-0000-0000071B0000}"/>
    <cellStyle name="Note 2 2 6 3 2 2 2" xfId="2846" xr:uid="{00000000-0005-0000-0000-0000081B0000}"/>
    <cellStyle name="Note 2 2 6 3 2 2 2 2" xfId="8676" xr:uid="{00000000-0005-0000-0000-0000091B0000}"/>
    <cellStyle name="Note 2 2 6 3 2 2 3" xfId="4269" xr:uid="{00000000-0005-0000-0000-00000A1B0000}"/>
    <cellStyle name="Note 2 2 6 3 2 2 3 2" xfId="10099" xr:uid="{00000000-0005-0000-0000-00000B1B0000}"/>
    <cellStyle name="Note 2 2 6 3 2 2 4" xfId="5665" xr:uid="{00000000-0005-0000-0000-00000C1B0000}"/>
    <cellStyle name="Note 2 2 6 3 2 2 4 2" xfId="11495" xr:uid="{00000000-0005-0000-0000-00000D1B0000}"/>
    <cellStyle name="Note 2 2 6 3 2 2 5" xfId="7160" xr:uid="{00000000-0005-0000-0000-00000E1B0000}"/>
    <cellStyle name="Note 2 2 6 3 2 3" xfId="2117" xr:uid="{00000000-0005-0000-0000-00000F1B0000}"/>
    <cellStyle name="Note 2 2 6 3 2 3 2" xfId="7947" xr:uid="{00000000-0005-0000-0000-0000101B0000}"/>
    <cellStyle name="Note 2 2 6 3 2 4" xfId="3544" xr:uid="{00000000-0005-0000-0000-0000111B0000}"/>
    <cellStyle name="Note 2 2 6 3 2 4 2" xfId="9374" xr:uid="{00000000-0005-0000-0000-0000121B0000}"/>
    <cellStyle name="Note 2 2 6 3 2 5" xfId="4941" xr:uid="{00000000-0005-0000-0000-0000131B0000}"/>
    <cellStyle name="Note 2 2 6 3 2 5 2" xfId="10771" xr:uid="{00000000-0005-0000-0000-0000141B0000}"/>
    <cellStyle name="Note 2 2 6 3 2 6" xfId="6436" xr:uid="{00000000-0005-0000-0000-0000151B0000}"/>
    <cellStyle name="Note 2 2 6 3 3" xfId="839" xr:uid="{00000000-0005-0000-0000-0000161B0000}"/>
    <cellStyle name="Note 2 2 6 3 3 2" xfId="1570" xr:uid="{00000000-0005-0000-0000-0000171B0000}"/>
    <cellStyle name="Note 2 2 6 3 3 2 2" xfId="3086" xr:uid="{00000000-0005-0000-0000-0000181B0000}"/>
    <cellStyle name="Note 2 2 6 3 3 2 2 2" xfId="8916" xr:uid="{00000000-0005-0000-0000-0000191B0000}"/>
    <cellStyle name="Note 2 2 6 3 3 2 3" xfId="4509" xr:uid="{00000000-0005-0000-0000-00001A1B0000}"/>
    <cellStyle name="Note 2 2 6 3 3 2 3 2" xfId="10339" xr:uid="{00000000-0005-0000-0000-00001B1B0000}"/>
    <cellStyle name="Note 2 2 6 3 3 2 4" xfId="5905" xr:uid="{00000000-0005-0000-0000-00001C1B0000}"/>
    <cellStyle name="Note 2 2 6 3 3 2 4 2" xfId="11735" xr:uid="{00000000-0005-0000-0000-00001D1B0000}"/>
    <cellStyle name="Note 2 2 6 3 3 2 5" xfId="7400" xr:uid="{00000000-0005-0000-0000-00001E1B0000}"/>
    <cellStyle name="Note 2 2 6 3 3 3" xfId="2359" xr:uid="{00000000-0005-0000-0000-00001F1B0000}"/>
    <cellStyle name="Note 2 2 6 3 3 3 2" xfId="8189" xr:uid="{00000000-0005-0000-0000-0000201B0000}"/>
    <cellStyle name="Note 2 2 6 3 3 4" xfId="3785" xr:uid="{00000000-0005-0000-0000-0000211B0000}"/>
    <cellStyle name="Note 2 2 6 3 3 4 2" xfId="9615" xr:uid="{00000000-0005-0000-0000-0000221B0000}"/>
    <cellStyle name="Note 2 2 6 3 3 5" xfId="5181" xr:uid="{00000000-0005-0000-0000-0000231B0000}"/>
    <cellStyle name="Note 2 2 6 3 3 5 2" xfId="11011" xr:uid="{00000000-0005-0000-0000-0000241B0000}"/>
    <cellStyle name="Note 2 2 6 3 3 6" xfId="6676" xr:uid="{00000000-0005-0000-0000-0000251B0000}"/>
    <cellStyle name="Note 2 2 6 3 4" xfId="1083" xr:uid="{00000000-0005-0000-0000-0000261B0000}"/>
    <cellStyle name="Note 2 2 6 3 4 2" xfId="2603" xr:uid="{00000000-0005-0000-0000-0000271B0000}"/>
    <cellStyle name="Note 2 2 6 3 4 2 2" xfId="8433" xr:uid="{00000000-0005-0000-0000-0000281B0000}"/>
    <cellStyle name="Note 2 2 6 3 4 3" xfId="4029" xr:uid="{00000000-0005-0000-0000-0000291B0000}"/>
    <cellStyle name="Note 2 2 6 3 4 3 2" xfId="9859" xr:uid="{00000000-0005-0000-0000-00002A1B0000}"/>
    <cellStyle name="Note 2 2 6 3 4 4" xfId="5425" xr:uid="{00000000-0005-0000-0000-00002B1B0000}"/>
    <cellStyle name="Note 2 2 6 3 4 4 2" xfId="11255" xr:uid="{00000000-0005-0000-0000-00002C1B0000}"/>
    <cellStyle name="Note 2 2 6 3 4 5" xfId="6920" xr:uid="{00000000-0005-0000-0000-00002D1B0000}"/>
    <cellStyle name="Note 2 2 6 3 5" xfId="1857" xr:uid="{00000000-0005-0000-0000-00002E1B0000}"/>
    <cellStyle name="Note 2 2 6 3 5 2" xfId="7687" xr:uid="{00000000-0005-0000-0000-00002F1B0000}"/>
    <cellStyle name="Note 2 2 6 3 6" xfId="3288" xr:uid="{00000000-0005-0000-0000-0000301B0000}"/>
    <cellStyle name="Note 2 2 6 3 6 2" xfId="9118" xr:uid="{00000000-0005-0000-0000-0000311B0000}"/>
    <cellStyle name="Note 2 2 6 3 7" xfId="4700" xr:uid="{00000000-0005-0000-0000-0000321B0000}"/>
    <cellStyle name="Note 2 2 6 3 7 2" xfId="10530" xr:uid="{00000000-0005-0000-0000-0000331B0000}"/>
    <cellStyle name="Note 2 2 6 3 8" xfId="6195" xr:uid="{00000000-0005-0000-0000-0000341B0000}"/>
    <cellStyle name="Note 2 2 6 4" xfId="435" xr:uid="{00000000-0005-0000-0000-0000351B0000}"/>
    <cellStyle name="Note 2 2 6 4 2" xfId="1170" xr:uid="{00000000-0005-0000-0000-0000361B0000}"/>
    <cellStyle name="Note 2 2 6 4 2 2" xfId="2686" xr:uid="{00000000-0005-0000-0000-0000371B0000}"/>
    <cellStyle name="Note 2 2 6 4 2 2 2" xfId="8516" xr:uid="{00000000-0005-0000-0000-0000381B0000}"/>
    <cellStyle name="Note 2 2 6 4 2 3" xfId="4109" xr:uid="{00000000-0005-0000-0000-0000391B0000}"/>
    <cellStyle name="Note 2 2 6 4 2 3 2" xfId="9939" xr:uid="{00000000-0005-0000-0000-00003A1B0000}"/>
    <cellStyle name="Note 2 2 6 4 2 4" xfId="5505" xr:uid="{00000000-0005-0000-0000-00003B1B0000}"/>
    <cellStyle name="Note 2 2 6 4 2 4 2" xfId="11335" xr:uid="{00000000-0005-0000-0000-00003C1B0000}"/>
    <cellStyle name="Note 2 2 6 4 2 5" xfId="7000" xr:uid="{00000000-0005-0000-0000-00003D1B0000}"/>
    <cellStyle name="Note 2 2 6 4 3" xfId="1957" xr:uid="{00000000-0005-0000-0000-00003E1B0000}"/>
    <cellStyle name="Note 2 2 6 4 3 2" xfId="7787" xr:uid="{00000000-0005-0000-0000-00003F1B0000}"/>
    <cellStyle name="Note 2 2 6 4 4" xfId="3384" xr:uid="{00000000-0005-0000-0000-0000401B0000}"/>
    <cellStyle name="Note 2 2 6 4 4 2" xfId="9214" xr:uid="{00000000-0005-0000-0000-0000411B0000}"/>
    <cellStyle name="Note 2 2 6 4 5" xfId="4781" xr:uid="{00000000-0005-0000-0000-0000421B0000}"/>
    <cellStyle name="Note 2 2 6 4 5 2" xfId="10611" xr:uid="{00000000-0005-0000-0000-0000431B0000}"/>
    <cellStyle name="Note 2 2 6 4 6" xfId="6276" xr:uid="{00000000-0005-0000-0000-0000441B0000}"/>
    <cellStyle name="Note 2 2 6 5" xfId="679" xr:uid="{00000000-0005-0000-0000-0000451B0000}"/>
    <cellStyle name="Note 2 2 6 5 2" xfId="1410" xr:uid="{00000000-0005-0000-0000-0000461B0000}"/>
    <cellStyle name="Note 2 2 6 5 2 2" xfId="2926" xr:uid="{00000000-0005-0000-0000-0000471B0000}"/>
    <cellStyle name="Note 2 2 6 5 2 2 2" xfId="8756" xr:uid="{00000000-0005-0000-0000-0000481B0000}"/>
    <cellStyle name="Note 2 2 6 5 2 3" xfId="4349" xr:uid="{00000000-0005-0000-0000-0000491B0000}"/>
    <cellStyle name="Note 2 2 6 5 2 3 2" xfId="10179" xr:uid="{00000000-0005-0000-0000-00004A1B0000}"/>
    <cellStyle name="Note 2 2 6 5 2 4" xfId="5745" xr:uid="{00000000-0005-0000-0000-00004B1B0000}"/>
    <cellStyle name="Note 2 2 6 5 2 4 2" xfId="11575" xr:uid="{00000000-0005-0000-0000-00004C1B0000}"/>
    <cellStyle name="Note 2 2 6 5 2 5" xfId="7240" xr:uid="{00000000-0005-0000-0000-00004D1B0000}"/>
    <cellStyle name="Note 2 2 6 5 3" xfId="2199" xr:uid="{00000000-0005-0000-0000-00004E1B0000}"/>
    <cellStyle name="Note 2 2 6 5 3 2" xfId="8029" xr:uid="{00000000-0005-0000-0000-00004F1B0000}"/>
    <cellStyle name="Note 2 2 6 5 4" xfId="3625" xr:uid="{00000000-0005-0000-0000-0000501B0000}"/>
    <cellStyle name="Note 2 2 6 5 4 2" xfId="9455" xr:uid="{00000000-0005-0000-0000-0000511B0000}"/>
    <cellStyle name="Note 2 2 6 5 5" xfId="5021" xr:uid="{00000000-0005-0000-0000-0000521B0000}"/>
    <cellStyle name="Note 2 2 6 5 5 2" xfId="10851" xr:uid="{00000000-0005-0000-0000-0000531B0000}"/>
    <cellStyle name="Note 2 2 6 5 6" xfId="6516" xr:uid="{00000000-0005-0000-0000-0000541B0000}"/>
    <cellStyle name="Note 2 2 6 6" xfId="923" xr:uid="{00000000-0005-0000-0000-0000551B0000}"/>
    <cellStyle name="Note 2 2 6 6 2" xfId="2443" xr:uid="{00000000-0005-0000-0000-0000561B0000}"/>
    <cellStyle name="Note 2 2 6 6 2 2" xfId="8273" xr:uid="{00000000-0005-0000-0000-0000571B0000}"/>
    <cellStyle name="Note 2 2 6 6 3" xfId="3869" xr:uid="{00000000-0005-0000-0000-0000581B0000}"/>
    <cellStyle name="Note 2 2 6 6 3 2" xfId="9699" xr:uid="{00000000-0005-0000-0000-0000591B0000}"/>
    <cellStyle name="Note 2 2 6 6 4" xfId="5265" xr:uid="{00000000-0005-0000-0000-00005A1B0000}"/>
    <cellStyle name="Note 2 2 6 6 4 2" xfId="11095" xr:uid="{00000000-0005-0000-0000-00005B1B0000}"/>
    <cellStyle name="Note 2 2 6 6 5" xfId="6760" xr:uid="{00000000-0005-0000-0000-00005C1B0000}"/>
    <cellStyle name="Note 2 2 6 7" xfId="1697" xr:uid="{00000000-0005-0000-0000-00005D1B0000}"/>
    <cellStyle name="Note 2 2 6 7 2" xfId="7527" xr:uid="{00000000-0005-0000-0000-00005E1B0000}"/>
    <cellStyle name="Note 2 2 6 8" xfId="3128" xr:uid="{00000000-0005-0000-0000-00005F1B0000}"/>
    <cellStyle name="Note 2 2 6 8 2" xfId="8958" xr:uid="{00000000-0005-0000-0000-0000601B0000}"/>
    <cellStyle name="Note 2 2 6 9" xfId="1615" xr:uid="{00000000-0005-0000-0000-0000611B0000}"/>
    <cellStyle name="Note 2 2 6 9 2" xfId="7445" xr:uid="{00000000-0005-0000-0000-0000621B0000}"/>
    <cellStyle name="Note 2 2 7" xfId="196" xr:uid="{00000000-0005-0000-0000-0000631B0000}"/>
    <cellStyle name="Note 2 2 7 2" xfId="476" xr:uid="{00000000-0005-0000-0000-0000641B0000}"/>
    <cellStyle name="Note 2 2 7 2 2" xfId="1211" xr:uid="{00000000-0005-0000-0000-0000651B0000}"/>
    <cellStyle name="Note 2 2 7 2 2 2" xfId="2727" xr:uid="{00000000-0005-0000-0000-0000661B0000}"/>
    <cellStyle name="Note 2 2 7 2 2 2 2" xfId="8557" xr:uid="{00000000-0005-0000-0000-0000671B0000}"/>
    <cellStyle name="Note 2 2 7 2 2 3" xfId="4150" xr:uid="{00000000-0005-0000-0000-0000681B0000}"/>
    <cellStyle name="Note 2 2 7 2 2 3 2" xfId="9980" xr:uid="{00000000-0005-0000-0000-0000691B0000}"/>
    <cellStyle name="Note 2 2 7 2 2 4" xfId="5546" xr:uid="{00000000-0005-0000-0000-00006A1B0000}"/>
    <cellStyle name="Note 2 2 7 2 2 4 2" xfId="11376" xr:uid="{00000000-0005-0000-0000-00006B1B0000}"/>
    <cellStyle name="Note 2 2 7 2 2 5" xfId="7041" xr:uid="{00000000-0005-0000-0000-00006C1B0000}"/>
    <cellStyle name="Note 2 2 7 2 3" xfId="1998" xr:uid="{00000000-0005-0000-0000-00006D1B0000}"/>
    <cellStyle name="Note 2 2 7 2 3 2" xfId="7828" xr:uid="{00000000-0005-0000-0000-00006E1B0000}"/>
    <cellStyle name="Note 2 2 7 2 4" xfId="3425" xr:uid="{00000000-0005-0000-0000-00006F1B0000}"/>
    <cellStyle name="Note 2 2 7 2 4 2" xfId="9255" xr:uid="{00000000-0005-0000-0000-0000701B0000}"/>
    <cellStyle name="Note 2 2 7 2 5" xfId="4822" xr:uid="{00000000-0005-0000-0000-0000711B0000}"/>
    <cellStyle name="Note 2 2 7 2 5 2" xfId="10652" xr:uid="{00000000-0005-0000-0000-0000721B0000}"/>
    <cellStyle name="Note 2 2 7 2 6" xfId="6317" xr:uid="{00000000-0005-0000-0000-0000731B0000}"/>
    <cellStyle name="Note 2 2 7 3" xfId="720" xr:uid="{00000000-0005-0000-0000-0000741B0000}"/>
    <cellStyle name="Note 2 2 7 3 2" xfId="1451" xr:uid="{00000000-0005-0000-0000-0000751B0000}"/>
    <cellStyle name="Note 2 2 7 3 2 2" xfId="2967" xr:uid="{00000000-0005-0000-0000-0000761B0000}"/>
    <cellStyle name="Note 2 2 7 3 2 2 2" xfId="8797" xr:uid="{00000000-0005-0000-0000-0000771B0000}"/>
    <cellStyle name="Note 2 2 7 3 2 3" xfId="4390" xr:uid="{00000000-0005-0000-0000-0000781B0000}"/>
    <cellStyle name="Note 2 2 7 3 2 3 2" xfId="10220" xr:uid="{00000000-0005-0000-0000-0000791B0000}"/>
    <cellStyle name="Note 2 2 7 3 2 4" xfId="5786" xr:uid="{00000000-0005-0000-0000-00007A1B0000}"/>
    <cellStyle name="Note 2 2 7 3 2 4 2" xfId="11616" xr:uid="{00000000-0005-0000-0000-00007B1B0000}"/>
    <cellStyle name="Note 2 2 7 3 2 5" xfId="7281" xr:uid="{00000000-0005-0000-0000-00007C1B0000}"/>
    <cellStyle name="Note 2 2 7 3 3" xfId="2240" xr:uid="{00000000-0005-0000-0000-00007D1B0000}"/>
    <cellStyle name="Note 2 2 7 3 3 2" xfId="8070" xr:uid="{00000000-0005-0000-0000-00007E1B0000}"/>
    <cellStyle name="Note 2 2 7 3 4" xfId="3666" xr:uid="{00000000-0005-0000-0000-00007F1B0000}"/>
    <cellStyle name="Note 2 2 7 3 4 2" xfId="9496" xr:uid="{00000000-0005-0000-0000-0000801B0000}"/>
    <cellStyle name="Note 2 2 7 3 5" xfId="5062" xr:uid="{00000000-0005-0000-0000-0000811B0000}"/>
    <cellStyle name="Note 2 2 7 3 5 2" xfId="10892" xr:uid="{00000000-0005-0000-0000-0000821B0000}"/>
    <cellStyle name="Note 2 2 7 3 6" xfId="6557" xr:uid="{00000000-0005-0000-0000-0000831B0000}"/>
    <cellStyle name="Note 2 2 7 4" xfId="964" xr:uid="{00000000-0005-0000-0000-0000841B0000}"/>
    <cellStyle name="Note 2 2 7 4 2" xfId="2484" xr:uid="{00000000-0005-0000-0000-0000851B0000}"/>
    <cellStyle name="Note 2 2 7 4 2 2" xfId="8314" xr:uid="{00000000-0005-0000-0000-0000861B0000}"/>
    <cellStyle name="Note 2 2 7 4 3" xfId="3910" xr:uid="{00000000-0005-0000-0000-0000871B0000}"/>
    <cellStyle name="Note 2 2 7 4 3 2" xfId="9740" xr:uid="{00000000-0005-0000-0000-0000881B0000}"/>
    <cellStyle name="Note 2 2 7 4 4" xfId="5306" xr:uid="{00000000-0005-0000-0000-0000891B0000}"/>
    <cellStyle name="Note 2 2 7 4 4 2" xfId="11136" xr:uid="{00000000-0005-0000-0000-00008A1B0000}"/>
    <cellStyle name="Note 2 2 7 4 5" xfId="6801" xr:uid="{00000000-0005-0000-0000-00008B1B0000}"/>
    <cellStyle name="Note 2 2 7 5" xfId="1738" xr:uid="{00000000-0005-0000-0000-00008C1B0000}"/>
    <cellStyle name="Note 2 2 7 5 2" xfId="7568" xr:uid="{00000000-0005-0000-0000-00008D1B0000}"/>
    <cellStyle name="Note 2 2 7 6" xfId="3169" xr:uid="{00000000-0005-0000-0000-00008E1B0000}"/>
    <cellStyle name="Note 2 2 7 6 2" xfId="8999" xr:uid="{00000000-0005-0000-0000-00008F1B0000}"/>
    <cellStyle name="Note 2 2 7 7" xfId="4581" xr:uid="{00000000-0005-0000-0000-0000901B0000}"/>
    <cellStyle name="Note 2 2 7 7 2" xfId="10411" xr:uid="{00000000-0005-0000-0000-0000911B0000}"/>
    <cellStyle name="Note 2 2 7 8" xfId="6076" xr:uid="{00000000-0005-0000-0000-0000921B0000}"/>
    <cellStyle name="Note 2 2 8" xfId="276" xr:uid="{00000000-0005-0000-0000-0000931B0000}"/>
    <cellStyle name="Note 2 2 8 2" xfId="555" xr:uid="{00000000-0005-0000-0000-0000941B0000}"/>
    <cellStyle name="Note 2 2 8 2 2" xfId="1290" xr:uid="{00000000-0005-0000-0000-0000951B0000}"/>
    <cellStyle name="Note 2 2 8 2 2 2" xfId="2806" xr:uid="{00000000-0005-0000-0000-0000961B0000}"/>
    <cellStyle name="Note 2 2 8 2 2 2 2" xfId="8636" xr:uid="{00000000-0005-0000-0000-0000971B0000}"/>
    <cellStyle name="Note 2 2 8 2 2 3" xfId="4229" xr:uid="{00000000-0005-0000-0000-0000981B0000}"/>
    <cellStyle name="Note 2 2 8 2 2 3 2" xfId="10059" xr:uid="{00000000-0005-0000-0000-0000991B0000}"/>
    <cellStyle name="Note 2 2 8 2 2 4" xfId="5625" xr:uid="{00000000-0005-0000-0000-00009A1B0000}"/>
    <cellStyle name="Note 2 2 8 2 2 4 2" xfId="11455" xr:uid="{00000000-0005-0000-0000-00009B1B0000}"/>
    <cellStyle name="Note 2 2 8 2 2 5" xfId="7120" xr:uid="{00000000-0005-0000-0000-00009C1B0000}"/>
    <cellStyle name="Note 2 2 8 2 3" xfId="2077" xr:uid="{00000000-0005-0000-0000-00009D1B0000}"/>
    <cellStyle name="Note 2 2 8 2 3 2" xfId="7907" xr:uid="{00000000-0005-0000-0000-00009E1B0000}"/>
    <cellStyle name="Note 2 2 8 2 4" xfId="3504" xr:uid="{00000000-0005-0000-0000-00009F1B0000}"/>
    <cellStyle name="Note 2 2 8 2 4 2" xfId="9334" xr:uid="{00000000-0005-0000-0000-0000A01B0000}"/>
    <cellStyle name="Note 2 2 8 2 5" xfId="4901" xr:uid="{00000000-0005-0000-0000-0000A11B0000}"/>
    <cellStyle name="Note 2 2 8 2 5 2" xfId="10731" xr:uid="{00000000-0005-0000-0000-0000A21B0000}"/>
    <cellStyle name="Note 2 2 8 2 6" xfId="6396" xr:uid="{00000000-0005-0000-0000-0000A31B0000}"/>
    <cellStyle name="Note 2 2 8 3" xfId="799" xr:uid="{00000000-0005-0000-0000-0000A41B0000}"/>
    <cellStyle name="Note 2 2 8 3 2" xfId="1530" xr:uid="{00000000-0005-0000-0000-0000A51B0000}"/>
    <cellStyle name="Note 2 2 8 3 2 2" xfId="3046" xr:uid="{00000000-0005-0000-0000-0000A61B0000}"/>
    <cellStyle name="Note 2 2 8 3 2 2 2" xfId="8876" xr:uid="{00000000-0005-0000-0000-0000A71B0000}"/>
    <cellStyle name="Note 2 2 8 3 2 3" xfId="4469" xr:uid="{00000000-0005-0000-0000-0000A81B0000}"/>
    <cellStyle name="Note 2 2 8 3 2 3 2" xfId="10299" xr:uid="{00000000-0005-0000-0000-0000A91B0000}"/>
    <cellStyle name="Note 2 2 8 3 2 4" xfId="5865" xr:uid="{00000000-0005-0000-0000-0000AA1B0000}"/>
    <cellStyle name="Note 2 2 8 3 2 4 2" xfId="11695" xr:uid="{00000000-0005-0000-0000-0000AB1B0000}"/>
    <cellStyle name="Note 2 2 8 3 2 5" xfId="7360" xr:uid="{00000000-0005-0000-0000-0000AC1B0000}"/>
    <cellStyle name="Note 2 2 8 3 3" xfId="2319" xr:uid="{00000000-0005-0000-0000-0000AD1B0000}"/>
    <cellStyle name="Note 2 2 8 3 3 2" xfId="8149" xr:uid="{00000000-0005-0000-0000-0000AE1B0000}"/>
    <cellStyle name="Note 2 2 8 3 4" xfId="3745" xr:uid="{00000000-0005-0000-0000-0000AF1B0000}"/>
    <cellStyle name="Note 2 2 8 3 4 2" xfId="9575" xr:uid="{00000000-0005-0000-0000-0000B01B0000}"/>
    <cellStyle name="Note 2 2 8 3 5" xfId="5141" xr:uid="{00000000-0005-0000-0000-0000B11B0000}"/>
    <cellStyle name="Note 2 2 8 3 5 2" xfId="10971" xr:uid="{00000000-0005-0000-0000-0000B21B0000}"/>
    <cellStyle name="Note 2 2 8 3 6" xfId="6636" xr:uid="{00000000-0005-0000-0000-0000B31B0000}"/>
    <cellStyle name="Note 2 2 8 4" xfId="1043" xr:uid="{00000000-0005-0000-0000-0000B41B0000}"/>
    <cellStyle name="Note 2 2 8 4 2" xfId="2563" xr:uid="{00000000-0005-0000-0000-0000B51B0000}"/>
    <cellStyle name="Note 2 2 8 4 2 2" xfId="8393" xr:uid="{00000000-0005-0000-0000-0000B61B0000}"/>
    <cellStyle name="Note 2 2 8 4 3" xfId="3989" xr:uid="{00000000-0005-0000-0000-0000B71B0000}"/>
    <cellStyle name="Note 2 2 8 4 3 2" xfId="9819" xr:uid="{00000000-0005-0000-0000-0000B81B0000}"/>
    <cellStyle name="Note 2 2 8 4 4" xfId="5385" xr:uid="{00000000-0005-0000-0000-0000B91B0000}"/>
    <cellStyle name="Note 2 2 8 4 4 2" xfId="11215" xr:uid="{00000000-0005-0000-0000-0000BA1B0000}"/>
    <cellStyle name="Note 2 2 8 4 5" xfId="6880" xr:uid="{00000000-0005-0000-0000-0000BB1B0000}"/>
    <cellStyle name="Note 2 2 8 5" xfId="1817" xr:uid="{00000000-0005-0000-0000-0000BC1B0000}"/>
    <cellStyle name="Note 2 2 8 5 2" xfId="7647" xr:uid="{00000000-0005-0000-0000-0000BD1B0000}"/>
    <cellStyle name="Note 2 2 8 6" xfId="3248" xr:uid="{00000000-0005-0000-0000-0000BE1B0000}"/>
    <cellStyle name="Note 2 2 8 6 2" xfId="9078" xr:uid="{00000000-0005-0000-0000-0000BF1B0000}"/>
    <cellStyle name="Note 2 2 8 7" xfId="4660" xr:uid="{00000000-0005-0000-0000-0000C01B0000}"/>
    <cellStyle name="Note 2 2 8 7 2" xfId="10490" xr:uid="{00000000-0005-0000-0000-0000C11B0000}"/>
    <cellStyle name="Note 2 2 8 8" xfId="6155" xr:uid="{00000000-0005-0000-0000-0000C21B0000}"/>
    <cellStyle name="Note 2 2 9" xfId="395" xr:uid="{00000000-0005-0000-0000-0000C31B0000}"/>
    <cellStyle name="Note 2 2 9 2" xfId="1130" xr:uid="{00000000-0005-0000-0000-0000C41B0000}"/>
    <cellStyle name="Note 2 2 9 2 2" xfId="2646" xr:uid="{00000000-0005-0000-0000-0000C51B0000}"/>
    <cellStyle name="Note 2 2 9 2 2 2" xfId="8476" xr:uid="{00000000-0005-0000-0000-0000C61B0000}"/>
    <cellStyle name="Note 2 2 9 2 3" xfId="4069" xr:uid="{00000000-0005-0000-0000-0000C71B0000}"/>
    <cellStyle name="Note 2 2 9 2 3 2" xfId="9899" xr:uid="{00000000-0005-0000-0000-0000C81B0000}"/>
    <cellStyle name="Note 2 2 9 2 4" xfId="5465" xr:uid="{00000000-0005-0000-0000-0000C91B0000}"/>
    <cellStyle name="Note 2 2 9 2 4 2" xfId="11295" xr:uid="{00000000-0005-0000-0000-0000CA1B0000}"/>
    <cellStyle name="Note 2 2 9 2 5" xfId="6960" xr:uid="{00000000-0005-0000-0000-0000CB1B0000}"/>
    <cellStyle name="Note 2 2 9 3" xfId="1917" xr:uid="{00000000-0005-0000-0000-0000CC1B0000}"/>
    <cellStyle name="Note 2 2 9 3 2" xfId="7747" xr:uid="{00000000-0005-0000-0000-0000CD1B0000}"/>
    <cellStyle name="Note 2 2 9 4" xfId="3344" xr:uid="{00000000-0005-0000-0000-0000CE1B0000}"/>
    <cellStyle name="Note 2 2 9 4 2" xfId="9174" xr:uid="{00000000-0005-0000-0000-0000CF1B0000}"/>
    <cellStyle name="Note 2 2 9 5" xfId="4741" xr:uid="{00000000-0005-0000-0000-0000D01B0000}"/>
    <cellStyle name="Note 2 2 9 5 2" xfId="10571" xr:uid="{00000000-0005-0000-0000-0000D11B0000}"/>
    <cellStyle name="Note 2 2 9 6" xfId="6236" xr:uid="{00000000-0005-0000-0000-0000D21B0000}"/>
    <cellStyle name="Note 2 3" xfId="878" xr:uid="{00000000-0005-0000-0000-0000D31B0000}"/>
    <cellStyle name="Note 2 3 2" xfId="2398" xr:uid="{00000000-0005-0000-0000-0000D41B0000}"/>
    <cellStyle name="Note 2 3 2 2" xfId="8228" xr:uid="{00000000-0005-0000-0000-0000D51B0000}"/>
    <cellStyle name="Note 2 3 3" xfId="3824" xr:uid="{00000000-0005-0000-0000-0000D61B0000}"/>
    <cellStyle name="Note 2 3 3 2" xfId="9654" xr:uid="{00000000-0005-0000-0000-0000D71B0000}"/>
    <cellStyle name="Note 2 3 4" xfId="5220" xr:uid="{00000000-0005-0000-0000-0000D81B0000}"/>
    <cellStyle name="Note 2 3 4 2" xfId="11050" xr:uid="{00000000-0005-0000-0000-0000D91B0000}"/>
    <cellStyle name="Note 2 3 5" xfId="6715" xr:uid="{00000000-0005-0000-0000-0000DA1B0000}"/>
    <cellStyle name="Note 2 4" xfId="5990" xr:uid="{00000000-0005-0000-0000-0000DB1B0000}"/>
    <cellStyle name="Note 3" xfId="636" xr:uid="{00000000-0005-0000-0000-0000DC1B0000}"/>
    <cellStyle name="Note 4" xfId="1124" xr:uid="{00000000-0005-0000-0000-0000DD1B0000}"/>
    <cellStyle name="Note 5" xfId="5961" xr:uid="{00000000-0005-0000-0000-0000DE1B0000}"/>
    <cellStyle name="Output" xfId="9" builtinId="21" customBuiltin="1"/>
    <cellStyle name="Output 2" xfId="92" xr:uid="{00000000-0005-0000-0000-0000E01B0000}"/>
    <cellStyle name="Output 2 2" xfId="115" xr:uid="{00000000-0005-0000-0000-0000E11B0000}"/>
    <cellStyle name="Output 2 2 10" xfId="640" xr:uid="{00000000-0005-0000-0000-0000E21B0000}"/>
    <cellStyle name="Output 2 2 10 2" xfId="1371" xr:uid="{00000000-0005-0000-0000-0000E31B0000}"/>
    <cellStyle name="Output 2 2 10 2 2" xfId="2887" xr:uid="{00000000-0005-0000-0000-0000E41B0000}"/>
    <cellStyle name="Output 2 2 10 2 2 2" xfId="8717" xr:uid="{00000000-0005-0000-0000-0000E51B0000}"/>
    <cellStyle name="Output 2 2 10 2 3" xfId="4310" xr:uid="{00000000-0005-0000-0000-0000E61B0000}"/>
    <cellStyle name="Output 2 2 10 2 3 2" xfId="10140" xr:uid="{00000000-0005-0000-0000-0000E71B0000}"/>
    <cellStyle name="Output 2 2 10 2 4" xfId="5706" xr:uid="{00000000-0005-0000-0000-0000E81B0000}"/>
    <cellStyle name="Output 2 2 10 2 4 2" xfId="11536" xr:uid="{00000000-0005-0000-0000-0000E91B0000}"/>
    <cellStyle name="Output 2 2 10 2 5" xfId="7201" xr:uid="{00000000-0005-0000-0000-0000EA1B0000}"/>
    <cellStyle name="Output 2 2 10 3" xfId="2160" xr:uid="{00000000-0005-0000-0000-0000EB1B0000}"/>
    <cellStyle name="Output 2 2 10 3 2" xfId="7990" xr:uid="{00000000-0005-0000-0000-0000EC1B0000}"/>
    <cellStyle name="Output 2 2 10 4" xfId="3586" xr:uid="{00000000-0005-0000-0000-0000ED1B0000}"/>
    <cellStyle name="Output 2 2 10 4 2" xfId="9416" xr:uid="{00000000-0005-0000-0000-0000EE1B0000}"/>
    <cellStyle name="Output 2 2 10 5" xfId="4982" xr:uid="{00000000-0005-0000-0000-0000EF1B0000}"/>
    <cellStyle name="Output 2 2 10 5 2" xfId="10812" xr:uid="{00000000-0005-0000-0000-0000F01B0000}"/>
    <cellStyle name="Output 2 2 10 6" xfId="6477" xr:uid="{00000000-0005-0000-0000-0000F11B0000}"/>
    <cellStyle name="Output 2 2 11" xfId="884" xr:uid="{00000000-0005-0000-0000-0000F21B0000}"/>
    <cellStyle name="Output 2 2 11 2" xfId="2404" xr:uid="{00000000-0005-0000-0000-0000F31B0000}"/>
    <cellStyle name="Output 2 2 11 2 2" xfId="8234" xr:uid="{00000000-0005-0000-0000-0000F41B0000}"/>
    <cellStyle name="Output 2 2 11 3" xfId="3830" xr:uid="{00000000-0005-0000-0000-0000F51B0000}"/>
    <cellStyle name="Output 2 2 11 3 2" xfId="9660" xr:uid="{00000000-0005-0000-0000-0000F61B0000}"/>
    <cellStyle name="Output 2 2 11 4" xfId="5226" xr:uid="{00000000-0005-0000-0000-0000F71B0000}"/>
    <cellStyle name="Output 2 2 11 4 2" xfId="11056" xr:uid="{00000000-0005-0000-0000-0000F81B0000}"/>
    <cellStyle name="Output 2 2 11 5" xfId="6721" xr:uid="{00000000-0005-0000-0000-0000F91B0000}"/>
    <cellStyle name="Output 2 2 12" xfId="1658" xr:uid="{00000000-0005-0000-0000-0000FA1B0000}"/>
    <cellStyle name="Output 2 2 12 2" xfId="7488" xr:uid="{00000000-0005-0000-0000-0000FB1B0000}"/>
    <cellStyle name="Output 2 2 13" xfId="2155" xr:uid="{00000000-0005-0000-0000-0000FC1B0000}"/>
    <cellStyle name="Output 2 2 13 2" xfId="7985" xr:uid="{00000000-0005-0000-0000-0000FD1B0000}"/>
    <cellStyle name="Output 2 2 14" xfId="1897" xr:uid="{00000000-0005-0000-0000-0000FE1B0000}"/>
    <cellStyle name="Output 2 2 14 2" xfId="7727" xr:uid="{00000000-0005-0000-0000-0000FF1B0000}"/>
    <cellStyle name="Output 2 2 15" xfId="5996" xr:uid="{00000000-0005-0000-0000-0000001C0000}"/>
    <cellStyle name="Output 2 2 2" xfId="120" xr:uid="{00000000-0005-0000-0000-0000011C0000}"/>
    <cellStyle name="Output 2 2 2 10" xfId="1636" xr:uid="{00000000-0005-0000-0000-0000021C0000}"/>
    <cellStyle name="Output 2 2 2 10 2" xfId="7466" xr:uid="{00000000-0005-0000-0000-0000031C0000}"/>
    <cellStyle name="Output 2 2 2 11" xfId="1900" xr:uid="{00000000-0005-0000-0000-0000041C0000}"/>
    <cellStyle name="Output 2 2 2 11 2" xfId="7730" xr:uid="{00000000-0005-0000-0000-0000051C0000}"/>
    <cellStyle name="Output 2 2 2 12" xfId="6001" xr:uid="{00000000-0005-0000-0000-0000061C0000}"/>
    <cellStyle name="Output 2 2 2 2" xfId="141" xr:uid="{00000000-0005-0000-0000-0000071C0000}"/>
    <cellStyle name="Output 2 2 2 2 10" xfId="3334" xr:uid="{00000000-0005-0000-0000-0000081C0000}"/>
    <cellStyle name="Output 2 2 2 2 10 2" xfId="9164" xr:uid="{00000000-0005-0000-0000-0000091C0000}"/>
    <cellStyle name="Output 2 2 2 2 11" xfId="6021" xr:uid="{00000000-0005-0000-0000-00000A1C0000}"/>
    <cellStyle name="Output 2 2 2 2 2" xfId="181" xr:uid="{00000000-0005-0000-0000-00000B1C0000}"/>
    <cellStyle name="Output 2 2 2 2 2 10" xfId="6061" xr:uid="{00000000-0005-0000-0000-00000C1C0000}"/>
    <cellStyle name="Output 2 2 2 2 2 2" xfId="262" xr:uid="{00000000-0005-0000-0000-00000D1C0000}"/>
    <cellStyle name="Output 2 2 2 2 2 2 2" xfId="541" xr:uid="{00000000-0005-0000-0000-00000E1C0000}"/>
    <cellStyle name="Output 2 2 2 2 2 2 2 2" xfId="1276" xr:uid="{00000000-0005-0000-0000-00000F1C0000}"/>
    <cellStyle name="Output 2 2 2 2 2 2 2 2 2" xfId="2792" xr:uid="{00000000-0005-0000-0000-0000101C0000}"/>
    <cellStyle name="Output 2 2 2 2 2 2 2 2 2 2" xfId="8622" xr:uid="{00000000-0005-0000-0000-0000111C0000}"/>
    <cellStyle name="Output 2 2 2 2 2 2 2 2 3" xfId="4215" xr:uid="{00000000-0005-0000-0000-0000121C0000}"/>
    <cellStyle name="Output 2 2 2 2 2 2 2 2 3 2" xfId="10045" xr:uid="{00000000-0005-0000-0000-0000131C0000}"/>
    <cellStyle name="Output 2 2 2 2 2 2 2 2 4" xfId="5611" xr:uid="{00000000-0005-0000-0000-0000141C0000}"/>
    <cellStyle name="Output 2 2 2 2 2 2 2 2 4 2" xfId="11441" xr:uid="{00000000-0005-0000-0000-0000151C0000}"/>
    <cellStyle name="Output 2 2 2 2 2 2 2 2 5" xfId="7106" xr:uid="{00000000-0005-0000-0000-0000161C0000}"/>
    <cellStyle name="Output 2 2 2 2 2 2 2 3" xfId="2063" xr:uid="{00000000-0005-0000-0000-0000171C0000}"/>
    <cellStyle name="Output 2 2 2 2 2 2 2 3 2" xfId="7893" xr:uid="{00000000-0005-0000-0000-0000181C0000}"/>
    <cellStyle name="Output 2 2 2 2 2 2 2 4" xfId="3490" xr:uid="{00000000-0005-0000-0000-0000191C0000}"/>
    <cellStyle name="Output 2 2 2 2 2 2 2 4 2" xfId="9320" xr:uid="{00000000-0005-0000-0000-00001A1C0000}"/>
    <cellStyle name="Output 2 2 2 2 2 2 2 5" xfId="4887" xr:uid="{00000000-0005-0000-0000-00001B1C0000}"/>
    <cellStyle name="Output 2 2 2 2 2 2 2 5 2" xfId="10717" xr:uid="{00000000-0005-0000-0000-00001C1C0000}"/>
    <cellStyle name="Output 2 2 2 2 2 2 2 6" xfId="6382" xr:uid="{00000000-0005-0000-0000-00001D1C0000}"/>
    <cellStyle name="Output 2 2 2 2 2 2 3" xfId="785" xr:uid="{00000000-0005-0000-0000-00001E1C0000}"/>
    <cellStyle name="Output 2 2 2 2 2 2 3 2" xfId="1516" xr:uid="{00000000-0005-0000-0000-00001F1C0000}"/>
    <cellStyle name="Output 2 2 2 2 2 2 3 2 2" xfId="3032" xr:uid="{00000000-0005-0000-0000-0000201C0000}"/>
    <cellStyle name="Output 2 2 2 2 2 2 3 2 2 2" xfId="8862" xr:uid="{00000000-0005-0000-0000-0000211C0000}"/>
    <cellStyle name="Output 2 2 2 2 2 2 3 2 3" xfId="4455" xr:uid="{00000000-0005-0000-0000-0000221C0000}"/>
    <cellStyle name="Output 2 2 2 2 2 2 3 2 3 2" xfId="10285" xr:uid="{00000000-0005-0000-0000-0000231C0000}"/>
    <cellStyle name="Output 2 2 2 2 2 2 3 2 4" xfId="5851" xr:uid="{00000000-0005-0000-0000-0000241C0000}"/>
    <cellStyle name="Output 2 2 2 2 2 2 3 2 4 2" xfId="11681" xr:uid="{00000000-0005-0000-0000-0000251C0000}"/>
    <cellStyle name="Output 2 2 2 2 2 2 3 2 5" xfId="7346" xr:uid="{00000000-0005-0000-0000-0000261C0000}"/>
    <cellStyle name="Output 2 2 2 2 2 2 3 3" xfId="2305" xr:uid="{00000000-0005-0000-0000-0000271C0000}"/>
    <cellStyle name="Output 2 2 2 2 2 2 3 3 2" xfId="8135" xr:uid="{00000000-0005-0000-0000-0000281C0000}"/>
    <cellStyle name="Output 2 2 2 2 2 2 3 4" xfId="3731" xr:uid="{00000000-0005-0000-0000-0000291C0000}"/>
    <cellStyle name="Output 2 2 2 2 2 2 3 4 2" xfId="9561" xr:uid="{00000000-0005-0000-0000-00002A1C0000}"/>
    <cellStyle name="Output 2 2 2 2 2 2 3 5" xfId="5127" xr:uid="{00000000-0005-0000-0000-00002B1C0000}"/>
    <cellStyle name="Output 2 2 2 2 2 2 3 5 2" xfId="10957" xr:uid="{00000000-0005-0000-0000-00002C1C0000}"/>
    <cellStyle name="Output 2 2 2 2 2 2 3 6" xfId="6622" xr:uid="{00000000-0005-0000-0000-00002D1C0000}"/>
    <cellStyle name="Output 2 2 2 2 2 2 4" xfId="1029" xr:uid="{00000000-0005-0000-0000-00002E1C0000}"/>
    <cellStyle name="Output 2 2 2 2 2 2 4 2" xfId="2549" xr:uid="{00000000-0005-0000-0000-00002F1C0000}"/>
    <cellStyle name="Output 2 2 2 2 2 2 4 2 2" xfId="8379" xr:uid="{00000000-0005-0000-0000-0000301C0000}"/>
    <cellStyle name="Output 2 2 2 2 2 2 4 3" xfId="3975" xr:uid="{00000000-0005-0000-0000-0000311C0000}"/>
    <cellStyle name="Output 2 2 2 2 2 2 4 3 2" xfId="9805" xr:uid="{00000000-0005-0000-0000-0000321C0000}"/>
    <cellStyle name="Output 2 2 2 2 2 2 4 4" xfId="5371" xr:uid="{00000000-0005-0000-0000-0000331C0000}"/>
    <cellStyle name="Output 2 2 2 2 2 2 4 4 2" xfId="11201" xr:uid="{00000000-0005-0000-0000-0000341C0000}"/>
    <cellStyle name="Output 2 2 2 2 2 2 4 5" xfId="6866" xr:uid="{00000000-0005-0000-0000-0000351C0000}"/>
    <cellStyle name="Output 2 2 2 2 2 2 5" xfId="1803" xr:uid="{00000000-0005-0000-0000-0000361C0000}"/>
    <cellStyle name="Output 2 2 2 2 2 2 5 2" xfId="7633" xr:uid="{00000000-0005-0000-0000-0000371C0000}"/>
    <cellStyle name="Output 2 2 2 2 2 2 6" xfId="3234" xr:uid="{00000000-0005-0000-0000-0000381C0000}"/>
    <cellStyle name="Output 2 2 2 2 2 2 6 2" xfId="9064" xr:uid="{00000000-0005-0000-0000-0000391C0000}"/>
    <cellStyle name="Output 2 2 2 2 2 2 7" xfId="4646" xr:uid="{00000000-0005-0000-0000-00003A1C0000}"/>
    <cellStyle name="Output 2 2 2 2 2 2 7 2" xfId="10476" xr:uid="{00000000-0005-0000-0000-00003B1C0000}"/>
    <cellStyle name="Output 2 2 2 2 2 2 8" xfId="6141" xr:uid="{00000000-0005-0000-0000-00003C1C0000}"/>
    <cellStyle name="Output 2 2 2 2 2 3" xfId="342" xr:uid="{00000000-0005-0000-0000-00003D1C0000}"/>
    <cellStyle name="Output 2 2 2 2 2 3 2" xfId="621" xr:uid="{00000000-0005-0000-0000-00003E1C0000}"/>
    <cellStyle name="Output 2 2 2 2 2 3 2 2" xfId="1356" xr:uid="{00000000-0005-0000-0000-00003F1C0000}"/>
    <cellStyle name="Output 2 2 2 2 2 3 2 2 2" xfId="2872" xr:uid="{00000000-0005-0000-0000-0000401C0000}"/>
    <cellStyle name="Output 2 2 2 2 2 3 2 2 2 2" xfId="8702" xr:uid="{00000000-0005-0000-0000-0000411C0000}"/>
    <cellStyle name="Output 2 2 2 2 2 3 2 2 3" xfId="4295" xr:uid="{00000000-0005-0000-0000-0000421C0000}"/>
    <cellStyle name="Output 2 2 2 2 2 3 2 2 3 2" xfId="10125" xr:uid="{00000000-0005-0000-0000-0000431C0000}"/>
    <cellStyle name="Output 2 2 2 2 2 3 2 2 4" xfId="5691" xr:uid="{00000000-0005-0000-0000-0000441C0000}"/>
    <cellStyle name="Output 2 2 2 2 2 3 2 2 4 2" xfId="11521" xr:uid="{00000000-0005-0000-0000-0000451C0000}"/>
    <cellStyle name="Output 2 2 2 2 2 3 2 2 5" xfId="7186" xr:uid="{00000000-0005-0000-0000-0000461C0000}"/>
    <cellStyle name="Output 2 2 2 2 2 3 2 3" xfId="2143" xr:uid="{00000000-0005-0000-0000-0000471C0000}"/>
    <cellStyle name="Output 2 2 2 2 2 3 2 3 2" xfId="7973" xr:uid="{00000000-0005-0000-0000-0000481C0000}"/>
    <cellStyle name="Output 2 2 2 2 2 3 2 4" xfId="3570" xr:uid="{00000000-0005-0000-0000-0000491C0000}"/>
    <cellStyle name="Output 2 2 2 2 2 3 2 4 2" xfId="9400" xr:uid="{00000000-0005-0000-0000-00004A1C0000}"/>
    <cellStyle name="Output 2 2 2 2 2 3 2 5" xfId="4967" xr:uid="{00000000-0005-0000-0000-00004B1C0000}"/>
    <cellStyle name="Output 2 2 2 2 2 3 2 5 2" xfId="10797" xr:uid="{00000000-0005-0000-0000-00004C1C0000}"/>
    <cellStyle name="Output 2 2 2 2 2 3 2 6" xfId="6462" xr:uid="{00000000-0005-0000-0000-00004D1C0000}"/>
    <cellStyle name="Output 2 2 2 2 2 3 3" xfId="865" xr:uid="{00000000-0005-0000-0000-00004E1C0000}"/>
    <cellStyle name="Output 2 2 2 2 2 3 3 2" xfId="1596" xr:uid="{00000000-0005-0000-0000-00004F1C0000}"/>
    <cellStyle name="Output 2 2 2 2 2 3 3 2 2" xfId="3112" xr:uid="{00000000-0005-0000-0000-0000501C0000}"/>
    <cellStyle name="Output 2 2 2 2 2 3 3 2 2 2" xfId="8942" xr:uid="{00000000-0005-0000-0000-0000511C0000}"/>
    <cellStyle name="Output 2 2 2 2 2 3 3 2 3" xfId="4535" xr:uid="{00000000-0005-0000-0000-0000521C0000}"/>
    <cellStyle name="Output 2 2 2 2 2 3 3 2 3 2" xfId="10365" xr:uid="{00000000-0005-0000-0000-0000531C0000}"/>
    <cellStyle name="Output 2 2 2 2 2 3 3 2 4" xfId="5931" xr:uid="{00000000-0005-0000-0000-0000541C0000}"/>
    <cellStyle name="Output 2 2 2 2 2 3 3 2 4 2" xfId="11761" xr:uid="{00000000-0005-0000-0000-0000551C0000}"/>
    <cellStyle name="Output 2 2 2 2 2 3 3 2 5" xfId="7426" xr:uid="{00000000-0005-0000-0000-0000561C0000}"/>
    <cellStyle name="Output 2 2 2 2 2 3 3 3" xfId="2385" xr:uid="{00000000-0005-0000-0000-0000571C0000}"/>
    <cellStyle name="Output 2 2 2 2 2 3 3 3 2" xfId="8215" xr:uid="{00000000-0005-0000-0000-0000581C0000}"/>
    <cellStyle name="Output 2 2 2 2 2 3 3 4" xfId="3811" xr:uid="{00000000-0005-0000-0000-0000591C0000}"/>
    <cellStyle name="Output 2 2 2 2 2 3 3 4 2" xfId="9641" xr:uid="{00000000-0005-0000-0000-00005A1C0000}"/>
    <cellStyle name="Output 2 2 2 2 2 3 3 5" xfId="5207" xr:uid="{00000000-0005-0000-0000-00005B1C0000}"/>
    <cellStyle name="Output 2 2 2 2 2 3 3 5 2" xfId="11037" xr:uid="{00000000-0005-0000-0000-00005C1C0000}"/>
    <cellStyle name="Output 2 2 2 2 2 3 3 6" xfId="6702" xr:uid="{00000000-0005-0000-0000-00005D1C0000}"/>
    <cellStyle name="Output 2 2 2 2 2 3 4" xfId="1109" xr:uid="{00000000-0005-0000-0000-00005E1C0000}"/>
    <cellStyle name="Output 2 2 2 2 2 3 4 2" xfId="2629" xr:uid="{00000000-0005-0000-0000-00005F1C0000}"/>
    <cellStyle name="Output 2 2 2 2 2 3 4 2 2" xfId="8459" xr:uid="{00000000-0005-0000-0000-0000601C0000}"/>
    <cellStyle name="Output 2 2 2 2 2 3 4 3" xfId="4055" xr:uid="{00000000-0005-0000-0000-0000611C0000}"/>
    <cellStyle name="Output 2 2 2 2 2 3 4 3 2" xfId="9885" xr:uid="{00000000-0005-0000-0000-0000621C0000}"/>
    <cellStyle name="Output 2 2 2 2 2 3 4 4" xfId="5451" xr:uid="{00000000-0005-0000-0000-0000631C0000}"/>
    <cellStyle name="Output 2 2 2 2 2 3 4 4 2" xfId="11281" xr:uid="{00000000-0005-0000-0000-0000641C0000}"/>
    <cellStyle name="Output 2 2 2 2 2 3 4 5" xfId="6946" xr:uid="{00000000-0005-0000-0000-0000651C0000}"/>
    <cellStyle name="Output 2 2 2 2 2 3 5" xfId="1883" xr:uid="{00000000-0005-0000-0000-0000661C0000}"/>
    <cellStyle name="Output 2 2 2 2 2 3 5 2" xfId="7713" xr:uid="{00000000-0005-0000-0000-0000671C0000}"/>
    <cellStyle name="Output 2 2 2 2 2 3 6" xfId="3314" xr:uid="{00000000-0005-0000-0000-0000681C0000}"/>
    <cellStyle name="Output 2 2 2 2 2 3 6 2" xfId="9144" xr:uid="{00000000-0005-0000-0000-0000691C0000}"/>
    <cellStyle name="Output 2 2 2 2 2 3 7" xfId="4726" xr:uid="{00000000-0005-0000-0000-00006A1C0000}"/>
    <cellStyle name="Output 2 2 2 2 2 3 7 2" xfId="10556" xr:uid="{00000000-0005-0000-0000-00006B1C0000}"/>
    <cellStyle name="Output 2 2 2 2 2 3 8" xfId="6221" xr:uid="{00000000-0005-0000-0000-00006C1C0000}"/>
    <cellStyle name="Output 2 2 2 2 2 4" xfId="461" xr:uid="{00000000-0005-0000-0000-00006D1C0000}"/>
    <cellStyle name="Output 2 2 2 2 2 4 2" xfId="1196" xr:uid="{00000000-0005-0000-0000-00006E1C0000}"/>
    <cellStyle name="Output 2 2 2 2 2 4 2 2" xfId="2712" xr:uid="{00000000-0005-0000-0000-00006F1C0000}"/>
    <cellStyle name="Output 2 2 2 2 2 4 2 2 2" xfId="8542" xr:uid="{00000000-0005-0000-0000-0000701C0000}"/>
    <cellStyle name="Output 2 2 2 2 2 4 2 3" xfId="4135" xr:uid="{00000000-0005-0000-0000-0000711C0000}"/>
    <cellStyle name="Output 2 2 2 2 2 4 2 3 2" xfId="9965" xr:uid="{00000000-0005-0000-0000-0000721C0000}"/>
    <cellStyle name="Output 2 2 2 2 2 4 2 4" xfId="5531" xr:uid="{00000000-0005-0000-0000-0000731C0000}"/>
    <cellStyle name="Output 2 2 2 2 2 4 2 4 2" xfId="11361" xr:uid="{00000000-0005-0000-0000-0000741C0000}"/>
    <cellStyle name="Output 2 2 2 2 2 4 2 5" xfId="7026" xr:uid="{00000000-0005-0000-0000-0000751C0000}"/>
    <cellStyle name="Output 2 2 2 2 2 4 3" xfId="1983" xr:uid="{00000000-0005-0000-0000-0000761C0000}"/>
    <cellStyle name="Output 2 2 2 2 2 4 3 2" xfId="7813" xr:uid="{00000000-0005-0000-0000-0000771C0000}"/>
    <cellStyle name="Output 2 2 2 2 2 4 4" xfId="3410" xr:uid="{00000000-0005-0000-0000-0000781C0000}"/>
    <cellStyle name="Output 2 2 2 2 2 4 4 2" xfId="9240" xr:uid="{00000000-0005-0000-0000-0000791C0000}"/>
    <cellStyle name="Output 2 2 2 2 2 4 5" xfId="4807" xr:uid="{00000000-0005-0000-0000-00007A1C0000}"/>
    <cellStyle name="Output 2 2 2 2 2 4 5 2" xfId="10637" xr:uid="{00000000-0005-0000-0000-00007B1C0000}"/>
    <cellStyle name="Output 2 2 2 2 2 4 6" xfId="6302" xr:uid="{00000000-0005-0000-0000-00007C1C0000}"/>
    <cellStyle name="Output 2 2 2 2 2 5" xfId="705" xr:uid="{00000000-0005-0000-0000-00007D1C0000}"/>
    <cellStyle name="Output 2 2 2 2 2 5 2" xfId="1436" xr:uid="{00000000-0005-0000-0000-00007E1C0000}"/>
    <cellStyle name="Output 2 2 2 2 2 5 2 2" xfId="2952" xr:uid="{00000000-0005-0000-0000-00007F1C0000}"/>
    <cellStyle name="Output 2 2 2 2 2 5 2 2 2" xfId="8782" xr:uid="{00000000-0005-0000-0000-0000801C0000}"/>
    <cellStyle name="Output 2 2 2 2 2 5 2 3" xfId="4375" xr:uid="{00000000-0005-0000-0000-0000811C0000}"/>
    <cellStyle name="Output 2 2 2 2 2 5 2 3 2" xfId="10205" xr:uid="{00000000-0005-0000-0000-0000821C0000}"/>
    <cellStyle name="Output 2 2 2 2 2 5 2 4" xfId="5771" xr:uid="{00000000-0005-0000-0000-0000831C0000}"/>
    <cellStyle name="Output 2 2 2 2 2 5 2 4 2" xfId="11601" xr:uid="{00000000-0005-0000-0000-0000841C0000}"/>
    <cellStyle name="Output 2 2 2 2 2 5 2 5" xfId="7266" xr:uid="{00000000-0005-0000-0000-0000851C0000}"/>
    <cellStyle name="Output 2 2 2 2 2 5 3" xfId="2225" xr:uid="{00000000-0005-0000-0000-0000861C0000}"/>
    <cellStyle name="Output 2 2 2 2 2 5 3 2" xfId="8055" xr:uid="{00000000-0005-0000-0000-0000871C0000}"/>
    <cellStyle name="Output 2 2 2 2 2 5 4" xfId="3651" xr:uid="{00000000-0005-0000-0000-0000881C0000}"/>
    <cellStyle name="Output 2 2 2 2 2 5 4 2" xfId="9481" xr:uid="{00000000-0005-0000-0000-0000891C0000}"/>
    <cellStyle name="Output 2 2 2 2 2 5 5" xfId="5047" xr:uid="{00000000-0005-0000-0000-00008A1C0000}"/>
    <cellStyle name="Output 2 2 2 2 2 5 5 2" xfId="10877" xr:uid="{00000000-0005-0000-0000-00008B1C0000}"/>
    <cellStyle name="Output 2 2 2 2 2 5 6" xfId="6542" xr:uid="{00000000-0005-0000-0000-00008C1C0000}"/>
    <cellStyle name="Output 2 2 2 2 2 6" xfId="949" xr:uid="{00000000-0005-0000-0000-00008D1C0000}"/>
    <cellStyle name="Output 2 2 2 2 2 6 2" xfId="2469" xr:uid="{00000000-0005-0000-0000-00008E1C0000}"/>
    <cellStyle name="Output 2 2 2 2 2 6 2 2" xfId="8299" xr:uid="{00000000-0005-0000-0000-00008F1C0000}"/>
    <cellStyle name="Output 2 2 2 2 2 6 3" xfId="3895" xr:uid="{00000000-0005-0000-0000-0000901C0000}"/>
    <cellStyle name="Output 2 2 2 2 2 6 3 2" xfId="9725" xr:uid="{00000000-0005-0000-0000-0000911C0000}"/>
    <cellStyle name="Output 2 2 2 2 2 6 4" xfId="5291" xr:uid="{00000000-0005-0000-0000-0000921C0000}"/>
    <cellStyle name="Output 2 2 2 2 2 6 4 2" xfId="11121" xr:uid="{00000000-0005-0000-0000-0000931C0000}"/>
    <cellStyle name="Output 2 2 2 2 2 6 5" xfId="6786" xr:uid="{00000000-0005-0000-0000-0000941C0000}"/>
    <cellStyle name="Output 2 2 2 2 2 7" xfId="1723" xr:uid="{00000000-0005-0000-0000-0000951C0000}"/>
    <cellStyle name="Output 2 2 2 2 2 7 2" xfId="7553" xr:uid="{00000000-0005-0000-0000-0000961C0000}"/>
    <cellStyle name="Output 2 2 2 2 2 8" xfId="3154" xr:uid="{00000000-0005-0000-0000-0000971C0000}"/>
    <cellStyle name="Output 2 2 2 2 2 8 2" xfId="8984" xr:uid="{00000000-0005-0000-0000-0000981C0000}"/>
    <cellStyle name="Output 2 2 2 2 2 9" xfId="4566" xr:uid="{00000000-0005-0000-0000-0000991C0000}"/>
    <cellStyle name="Output 2 2 2 2 2 9 2" xfId="10396" xr:uid="{00000000-0005-0000-0000-00009A1C0000}"/>
    <cellStyle name="Output 2 2 2 2 3" xfId="222" xr:uid="{00000000-0005-0000-0000-00009B1C0000}"/>
    <cellStyle name="Output 2 2 2 2 3 2" xfId="501" xr:uid="{00000000-0005-0000-0000-00009C1C0000}"/>
    <cellStyle name="Output 2 2 2 2 3 2 2" xfId="1236" xr:uid="{00000000-0005-0000-0000-00009D1C0000}"/>
    <cellStyle name="Output 2 2 2 2 3 2 2 2" xfId="2752" xr:uid="{00000000-0005-0000-0000-00009E1C0000}"/>
    <cellStyle name="Output 2 2 2 2 3 2 2 2 2" xfId="8582" xr:uid="{00000000-0005-0000-0000-00009F1C0000}"/>
    <cellStyle name="Output 2 2 2 2 3 2 2 3" xfId="4175" xr:uid="{00000000-0005-0000-0000-0000A01C0000}"/>
    <cellStyle name="Output 2 2 2 2 3 2 2 3 2" xfId="10005" xr:uid="{00000000-0005-0000-0000-0000A11C0000}"/>
    <cellStyle name="Output 2 2 2 2 3 2 2 4" xfId="5571" xr:uid="{00000000-0005-0000-0000-0000A21C0000}"/>
    <cellStyle name="Output 2 2 2 2 3 2 2 4 2" xfId="11401" xr:uid="{00000000-0005-0000-0000-0000A31C0000}"/>
    <cellStyle name="Output 2 2 2 2 3 2 2 5" xfId="7066" xr:uid="{00000000-0005-0000-0000-0000A41C0000}"/>
    <cellStyle name="Output 2 2 2 2 3 2 3" xfId="2023" xr:uid="{00000000-0005-0000-0000-0000A51C0000}"/>
    <cellStyle name="Output 2 2 2 2 3 2 3 2" xfId="7853" xr:uid="{00000000-0005-0000-0000-0000A61C0000}"/>
    <cellStyle name="Output 2 2 2 2 3 2 4" xfId="3450" xr:uid="{00000000-0005-0000-0000-0000A71C0000}"/>
    <cellStyle name="Output 2 2 2 2 3 2 4 2" xfId="9280" xr:uid="{00000000-0005-0000-0000-0000A81C0000}"/>
    <cellStyle name="Output 2 2 2 2 3 2 5" xfId="4847" xr:uid="{00000000-0005-0000-0000-0000A91C0000}"/>
    <cellStyle name="Output 2 2 2 2 3 2 5 2" xfId="10677" xr:uid="{00000000-0005-0000-0000-0000AA1C0000}"/>
    <cellStyle name="Output 2 2 2 2 3 2 6" xfId="6342" xr:uid="{00000000-0005-0000-0000-0000AB1C0000}"/>
    <cellStyle name="Output 2 2 2 2 3 3" xfId="745" xr:uid="{00000000-0005-0000-0000-0000AC1C0000}"/>
    <cellStyle name="Output 2 2 2 2 3 3 2" xfId="1476" xr:uid="{00000000-0005-0000-0000-0000AD1C0000}"/>
    <cellStyle name="Output 2 2 2 2 3 3 2 2" xfId="2992" xr:uid="{00000000-0005-0000-0000-0000AE1C0000}"/>
    <cellStyle name="Output 2 2 2 2 3 3 2 2 2" xfId="8822" xr:uid="{00000000-0005-0000-0000-0000AF1C0000}"/>
    <cellStyle name="Output 2 2 2 2 3 3 2 3" xfId="4415" xr:uid="{00000000-0005-0000-0000-0000B01C0000}"/>
    <cellStyle name="Output 2 2 2 2 3 3 2 3 2" xfId="10245" xr:uid="{00000000-0005-0000-0000-0000B11C0000}"/>
    <cellStyle name="Output 2 2 2 2 3 3 2 4" xfId="5811" xr:uid="{00000000-0005-0000-0000-0000B21C0000}"/>
    <cellStyle name="Output 2 2 2 2 3 3 2 4 2" xfId="11641" xr:uid="{00000000-0005-0000-0000-0000B31C0000}"/>
    <cellStyle name="Output 2 2 2 2 3 3 2 5" xfId="7306" xr:uid="{00000000-0005-0000-0000-0000B41C0000}"/>
    <cellStyle name="Output 2 2 2 2 3 3 3" xfId="2265" xr:uid="{00000000-0005-0000-0000-0000B51C0000}"/>
    <cellStyle name="Output 2 2 2 2 3 3 3 2" xfId="8095" xr:uid="{00000000-0005-0000-0000-0000B61C0000}"/>
    <cellStyle name="Output 2 2 2 2 3 3 4" xfId="3691" xr:uid="{00000000-0005-0000-0000-0000B71C0000}"/>
    <cellStyle name="Output 2 2 2 2 3 3 4 2" xfId="9521" xr:uid="{00000000-0005-0000-0000-0000B81C0000}"/>
    <cellStyle name="Output 2 2 2 2 3 3 5" xfId="5087" xr:uid="{00000000-0005-0000-0000-0000B91C0000}"/>
    <cellStyle name="Output 2 2 2 2 3 3 5 2" xfId="10917" xr:uid="{00000000-0005-0000-0000-0000BA1C0000}"/>
    <cellStyle name="Output 2 2 2 2 3 3 6" xfId="6582" xr:uid="{00000000-0005-0000-0000-0000BB1C0000}"/>
    <cellStyle name="Output 2 2 2 2 3 4" xfId="989" xr:uid="{00000000-0005-0000-0000-0000BC1C0000}"/>
    <cellStyle name="Output 2 2 2 2 3 4 2" xfId="2509" xr:uid="{00000000-0005-0000-0000-0000BD1C0000}"/>
    <cellStyle name="Output 2 2 2 2 3 4 2 2" xfId="8339" xr:uid="{00000000-0005-0000-0000-0000BE1C0000}"/>
    <cellStyle name="Output 2 2 2 2 3 4 3" xfId="3935" xr:uid="{00000000-0005-0000-0000-0000BF1C0000}"/>
    <cellStyle name="Output 2 2 2 2 3 4 3 2" xfId="9765" xr:uid="{00000000-0005-0000-0000-0000C01C0000}"/>
    <cellStyle name="Output 2 2 2 2 3 4 4" xfId="5331" xr:uid="{00000000-0005-0000-0000-0000C11C0000}"/>
    <cellStyle name="Output 2 2 2 2 3 4 4 2" xfId="11161" xr:uid="{00000000-0005-0000-0000-0000C21C0000}"/>
    <cellStyle name="Output 2 2 2 2 3 4 5" xfId="6826" xr:uid="{00000000-0005-0000-0000-0000C31C0000}"/>
    <cellStyle name="Output 2 2 2 2 3 5" xfId="1763" xr:uid="{00000000-0005-0000-0000-0000C41C0000}"/>
    <cellStyle name="Output 2 2 2 2 3 5 2" xfId="7593" xr:uid="{00000000-0005-0000-0000-0000C51C0000}"/>
    <cellStyle name="Output 2 2 2 2 3 6" xfId="3194" xr:uid="{00000000-0005-0000-0000-0000C61C0000}"/>
    <cellStyle name="Output 2 2 2 2 3 6 2" xfId="9024" xr:uid="{00000000-0005-0000-0000-0000C71C0000}"/>
    <cellStyle name="Output 2 2 2 2 3 7" xfId="4606" xr:uid="{00000000-0005-0000-0000-0000C81C0000}"/>
    <cellStyle name="Output 2 2 2 2 3 7 2" xfId="10436" xr:uid="{00000000-0005-0000-0000-0000C91C0000}"/>
    <cellStyle name="Output 2 2 2 2 3 8" xfId="6101" xr:uid="{00000000-0005-0000-0000-0000CA1C0000}"/>
    <cellStyle name="Output 2 2 2 2 4" xfId="302" xr:uid="{00000000-0005-0000-0000-0000CB1C0000}"/>
    <cellStyle name="Output 2 2 2 2 4 2" xfId="581" xr:uid="{00000000-0005-0000-0000-0000CC1C0000}"/>
    <cellStyle name="Output 2 2 2 2 4 2 2" xfId="1316" xr:uid="{00000000-0005-0000-0000-0000CD1C0000}"/>
    <cellStyle name="Output 2 2 2 2 4 2 2 2" xfId="2832" xr:uid="{00000000-0005-0000-0000-0000CE1C0000}"/>
    <cellStyle name="Output 2 2 2 2 4 2 2 2 2" xfId="8662" xr:uid="{00000000-0005-0000-0000-0000CF1C0000}"/>
    <cellStyle name="Output 2 2 2 2 4 2 2 3" xfId="4255" xr:uid="{00000000-0005-0000-0000-0000D01C0000}"/>
    <cellStyle name="Output 2 2 2 2 4 2 2 3 2" xfId="10085" xr:uid="{00000000-0005-0000-0000-0000D11C0000}"/>
    <cellStyle name="Output 2 2 2 2 4 2 2 4" xfId="5651" xr:uid="{00000000-0005-0000-0000-0000D21C0000}"/>
    <cellStyle name="Output 2 2 2 2 4 2 2 4 2" xfId="11481" xr:uid="{00000000-0005-0000-0000-0000D31C0000}"/>
    <cellStyle name="Output 2 2 2 2 4 2 2 5" xfId="7146" xr:uid="{00000000-0005-0000-0000-0000D41C0000}"/>
    <cellStyle name="Output 2 2 2 2 4 2 3" xfId="2103" xr:uid="{00000000-0005-0000-0000-0000D51C0000}"/>
    <cellStyle name="Output 2 2 2 2 4 2 3 2" xfId="7933" xr:uid="{00000000-0005-0000-0000-0000D61C0000}"/>
    <cellStyle name="Output 2 2 2 2 4 2 4" xfId="3530" xr:uid="{00000000-0005-0000-0000-0000D71C0000}"/>
    <cellStyle name="Output 2 2 2 2 4 2 4 2" xfId="9360" xr:uid="{00000000-0005-0000-0000-0000D81C0000}"/>
    <cellStyle name="Output 2 2 2 2 4 2 5" xfId="4927" xr:uid="{00000000-0005-0000-0000-0000D91C0000}"/>
    <cellStyle name="Output 2 2 2 2 4 2 5 2" xfId="10757" xr:uid="{00000000-0005-0000-0000-0000DA1C0000}"/>
    <cellStyle name="Output 2 2 2 2 4 2 6" xfId="6422" xr:uid="{00000000-0005-0000-0000-0000DB1C0000}"/>
    <cellStyle name="Output 2 2 2 2 4 3" xfId="825" xr:uid="{00000000-0005-0000-0000-0000DC1C0000}"/>
    <cellStyle name="Output 2 2 2 2 4 3 2" xfId="1556" xr:uid="{00000000-0005-0000-0000-0000DD1C0000}"/>
    <cellStyle name="Output 2 2 2 2 4 3 2 2" xfId="3072" xr:uid="{00000000-0005-0000-0000-0000DE1C0000}"/>
    <cellStyle name="Output 2 2 2 2 4 3 2 2 2" xfId="8902" xr:uid="{00000000-0005-0000-0000-0000DF1C0000}"/>
    <cellStyle name="Output 2 2 2 2 4 3 2 3" xfId="4495" xr:uid="{00000000-0005-0000-0000-0000E01C0000}"/>
    <cellStyle name="Output 2 2 2 2 4 3 2 3 2" xfId="10325" xr:uid="{00000000-0005-0000-0000-0000E11C0000}"/>
    <cellStyle name="Output 2 2 2 2 4 3 2 4" xfId="5891" xr:uid="{00000000-0005-0000-0000-0000E21C0000}"/>
    <cellStyle name="Output 2 2 2 2 4 3 2 4 2" xfId="11721" xr:uid="{00000000-0005-0000-0000-0000E31C0000}"/>
    <cellStyle name="Output 2 2 2 2 4 3 2 5" xfId="7386" xr:uid="{00000000-0005-0000-0000-0000E41C0000}"/>
    <cellStyle name="Output 2 2 2 2 4 3 3" xfId="2345" xr:uid="{00000000-0005-0000-0000-0000E51C0000}"/>
    <cellStyle name="Output 2 2 2 2 4 3 3 2" xfId="8175" xr:uid="{00000000-0005-0000-0000-0000E61C0000}"/>
    <cellStyle name="Output 2 2 2 2 4 3 4" xfId="3771" xr:uid="{00000000-0005-0000-0000-0000E71C0000}"/>
    <cellStyle name="Output 2 2 2 2 4 3 4 2" xfId="9601" xr:uid="{00000000-0005-0000-0000-0000E81C0000}"/>
    <cellStyle name="Output 2 2 2 2 4 3 5" xfId="5167" xr:uid="{00000000-0005-0000-0000-0000E91C0000}"/>
    <cellStyle name="Output 2 2 2 2 4 3 5 2" xfId="10997" xr:uid="{00000000-0005-0000-0000-0000EA1C0000}"/>
    <cellStyle name="Output 2 2 2 2 4 3 6" xfId="6662" xr:uid="{00000000-0005-0000-0000-0000EB1C0000}"/>
    <cellStyle name="Output 2 2 2 2 4 4" xfId="1069" xr:uid="{00000000-0005-0000-0000-0000EC1C0000}"/>
    <cellStyle name="Output 2 2 2 2 4 4 2" xfId="2589" xr:uid="{00000000-0005-0000-0000-0000ED1C0000}"/>
    <cellStyle name="Output 2 2 2 2 4 4 2 2" xfId="8419" xr:uid="{00000000-0005-0000-0000-0000EE1C0000}"/>
    <cellStyle name="Output 2 2 2 2 4 4 3" xfId="4015" xr:uid="{00000000-0005-0000-0000-0000EF1C0000}"/>
    <cellStyle name="Output 2 2 2 2 4 4 3 2" xfId="9845" xr:uid="{00000000-0005-0000-0000-0000F01C0000}"/>
    <cellStyle name="Output 2 2 2 2 4 4 4" xfId="5411" xr:uid="{00000000-0005-0000-0000-0000F11C0000}"/>
    <cellStyle name="Output 2 2 2 2 4 4 4 2" xfId="11241" xr:uid="{00000000-0005-0000-0000-0000F21C0000}"/>
    <cellStyle name="Output 2 2 2 2 4 4 5" xfId="6906" xr:uid="{00000000-0005-0000-0000-0000F31C0000}"/>
    <cellStyle name="Output 2 2 2 2 4 5" xfId="1843" xr:uid="{00000000-0005-0000-0000-0000F41C0000}"/>
    <cellStyle name="Output 2 2 2 2 4 5 2" xfId="7673" xr:uid="{00000000-0005-0000-0000-0000F51C0000}"/>
    <cellStyle name="Output 2 2 2 2 4 6" xfId="3274" xr:uid="{00000000-0005-0000-0000-0000F61C0000}"/>
    <cellStyle name="Output 2 2 2 2 4 6 2" xfId="9104" xr:uid="{00000000-0005-0000-0000-0000F71C0000}"/>
    <cellStyle name="Output 2 2 2 2 4 7" xfId="4686" xr:uid="{00000000-0005-0000-0000-0000F81C0000}"/>
    <cellStyle name="Output 2 2 2 2 4 7 2" xfId="10516" xr:uid="{00000000-0005-0000-0000-0000F91C0000}"/>
    <cellStyle name="Output 2 2 2 2 4 8" xfId="6181" xr:uid="{00000000-0005-0000-0000-0000FA1C0000}"/>
    <cellStyle name="Output 2 2 2 2 5" xfId="421" xr:uid="{00000000-0005-0000-0000-0000FB1C0000}"/>
    <cellStyle name="Output 2 2 2 2 5 2" xfId="1156" xr:uid="{00000000-0005-0000-0000-0000FC1C0000}"/>
    <cellStyle name="Output 2 2 2 2 5 2 2" xfId="2672" xr:uid="{00000000-0005-0000-0000-0000FD1C0000}"/>
    <cellStyle name="Output 2 2 2 2 5 2 2 2" xfId="8502" xr:uid="{00000000-0005-0000-0000-0000FE1C0000}"/>
    <cellStyle name="Output 2 2 2 2 5 2 3" xfId="4095" xr:uid="{00000000-0005-0000-0000-0000FF1C0000}"/>
    <cellStyle name="Output 2 2 2 2 5 2 3 2" xfId="9925" xr:uid="{00000000-0005-0000-0000-0000001D0000}"/>
    <cellStyle name="Output 2 2 2 2 5 2 4" xfId="5491" xr:uid="{00000000-0005-0000-0000-0000011D0000}"/>
    <cellStyle name="Output 2 2 2 2 5 2 4 2" xfId="11321" xr:uid="{00000000-0005-0000-0000-0000021D0000}"/>
    <cellStyle name="Output 2 2 2 2 5 2 5" xfId="6986" xr:uid="{00000000-0005-0000-0000-0000031D0000}"/>
    <cellStyle name="Output 2 2 2 2 5 3" xfId="1943" xr:uid="{00000000-0005-0000-0000-0000041D0000}"/>
    <cellStyle name="Output 2 2 2 2 5 3 2" xfId="7773" xr:uid="{00000000-0005-0000-0000-0000051D0000}"/>
    <cellStyle name="Output 2 2 2 2 5 4" xfId="3370" xr:uid="{00000000-0005-0000-0000-0000061D0000}"/>
    <cellStyle name="Output 2 2 2 2 5 4 2" xfId="9200" xr:uid="{00000000-0005-0000-0000-0000071D0000}"/>
    <cellStyle name="Output 2 2 2 2 5 5" xfId="4767" xr:uid="{00000000-0005-0000-0000-0000081D0000}"/>
    <cellStyle name="Output 2 2 2 2 5 5 2" xfId="10597" xr:uid="{00000000-0005-0000-0000-0000091D0000}"/>
    <cellStyle name="Output 2 2 2 2 5 6" xfId="6262" xr:uid="{00000000-0005-0000-0000-00000A1D0000}"/>
    <cellStyle name="Output 2 2 2 2 6" xfId="665" xr:uid="{00000000-0005-0000-0000-00000B1D0000}"/>
    <cellStyle name="Output 2 2 2 2 6 2" xfId="1396" xr:uid="{00000000-0005-0000-0000-00000C1D0000}"/>
    <cellStyle name="Output 2 2 2 2 6 2 2" xfId="2912" xr:uid="{00000000-0005-0000-0000-00000D1D0000}"/>
    <cellStyle name="Output 2 2 2 2 6 2 2 2" xfId="8742" xr:uid="{00000000-0005-0000-0000-00000E1D0000}"/>
    <cellStyle name="Output 2 2 2 2 6 2 3" xfId="4335" xr:uid="{00000000-0005-0000-0000-00000F1D0000}"/>
    <cellStyle name="Output 2 2 2 2 6 2 3 2" xfId="10165" xr:uid="{00000000-0005-0000-0000-0000101D0000}"/>
    <cellStyle name="Output 2 2 2 2 6 2 4" xfId="5731" xr:uid="{00000000-0005-0000-0000-0000111D0000}"/>
    <cellStyle name="Output 2 2 2 2 6 2 4 2" xfId="11561" xr:uid="{00000000-0005-0000-0000-0000121D0000}"/>
    <cellStyle name="Output 2 2 2 2 6 2 5" xfId="7226" xr:uid="{00000000-0005-0000-0000-0000131D0000}"/>
    <cellStyle name="Output 2 2 2 2 6 3" xfId="2185" xr:uid="{00000000-0005-0000-0000-0000141D0000}"/>
    <cellStyle name="Output 2 2 2 2 6 3 2" xfId="8015" xr:uid="{00000000-0005-0000-0000-0000151D0000}"/>
    <cellStyle name="Output 2 2 2 2 6 4" xfId="3611" xr:uid="{00000000-0005-0000-0000-0000161D0000}"/>
    <cellStyle name="Output 2 2 2 2 6 4 2" xfId="9441" xr:uid="{00000000-0005-0000-0000-0000171D0000}"/>
    <cellStyle name="Output 2 2 2 2 6 5" xfId="5007" xr:uid="{00000000-0005-0000-0000-0000181D0000}"/>
    <cellStyle name="Output 2 2 2 2 6 5 2" xfId="10837" xr:uid="{00000000-0005-0000-0000-0000191D0000}"/>
    <cellStyle name="Output 2 2 2 2 6 6" xfId="6502" xr:uid="{00000000-0005-0000-0000-00001A1D0000}"/>
    <cellStyle name="Output 2 2 2 2 7" xfId="909" xr:uid="{00000000-0005-0000-0000-00001B1D0000}"/>
    <cellStyle name="Output 2 2 2 2 7 2" xfId="2429" xr:uid="{00000000-0005-0000-0000-00001C1D0000}"/>
    <cellStyle name="Output 2 2 2 2 7 2 2" xfId="8259" xr:uid="{00000000-0005-0000-0000-00001D1D0000}"/>
    <cellStyle name="Output 2 2 2 2 7 3" xfId="3855" xr:uid="{00000000-0005-0000-0000-00001E1D0000}"/>
    <cellStyle name="Output 2 2 2 2 7 3 2" xfId="9685" xr:uid="{00000000-0005-0000-0000-00001F1D0000}"/>
    <cellStyle name="Output 2 2 2 2 7 4" xfId="5251" xr:uid="{00000000-0005-0000-0000-0000201D0000}"/>
    <cellStyle name="Output 2 2 2 2 7 4 2" xfId="11081" xr:uid="{00000000-0005-0000-0000-0000211D0000}"/>
    <cellStyle name="Output 2 2 2 2 7 5" xfId="6746" xr:uid="{00000000-0005-0000-0000-0000221D0000}"/>
    <cellStyle name="Output 2 2 2 2 8" xfId="1683" xr:uid="{00000000-0005-0000-0000-0000231D0000}"/>
    <cellStyle name="Output 2 2 2 2 8 2" xfId="7513" xr:uid="{00000000-0005-0000-0000-0000241D0000}"/>
    <cellStyle name="Output 2 2 2 2 9" xfId="1628" xr:uid="{00000000-0005-0000-0000-0000251D0000}"/>
    <cellStyle name="Output 2 2 2 2 9 2" xfId="7458" xr:uid="{00000000-0005-0000-0000-0000261D0000}"/>
    <cellStyle name="Output 2 2 2 3" xfId="161" xr:uid="{00000000-0005-0000-0000-0000271D0000}"/>
    <cellStyle name="Output 2 2 2 3 10" xfId="6041" xr:uid="{00000000-0005-0000-0000-0000281D0000}"/>
    <cellStyle name="Output 2 2 2 3 2" xfId="242" xr:uid="{00000000-0005-0000-0000-0000291D0000}"/>
    <cellStyle name="Output 2 2 2 3 2 2" xfId="521" xr:uid="{00000000-0005-0000-0000-00002A1D0000}"/>
    <cellStyle name="Output 2 2 2 3 2 2 2" xfId="1256" xr:uid="{00000000-0005-0000-0000-00002B1D0000}"/>
    <cellStyle name="Output 2 2 2 3 2 2 2 2" xfId="2772" xr:uid="{00000000-0005-0000-0000-00002C1D0000}"/>
    <cellStyle name="Output 2 2 2 3 2 2 2 2 2" xfId="8602" xr:uid="{00000000-0005-0000-0000-00002D1D0000}"/>
    <cellStyle name="Output 2 2 2 3 2 2 2 3" xfId="4195" xr:uid="{00000000-0005-0000-0000-00002E1D0000}"/>
    <cellStyle name="Output 2 2 2 3 2 2 2 3 2" xfId="10025" xr:uid="{00000000-0005-0000-0000-00002F1D0000}"/>
    <cellStyle name="Output 2 2 2 3 2 2 2 4" xfId="5591" xr:uid="{00000000-0005-0000-0000-0000301D0000}"/>
    <cellStyle name="Output 2 2 2 3 2 2 2 4 2" xfId="11421" xr:uid="{00000000-0005-0000-0000-0000311D0000}"/>
    <cellStyle name="Output 2 2 2 3 2 2 2 5" xfId="7086" xr:uid="{00000000-0005-0000-0000-0000321D0000}"/>
    <cellStyle name="Output 2 2 2 3 2 2 3" xfId="2043" xr:uid="{00000000-0005-0000-0000-0000331D0000}"/>
    <cellStyle name="Output 2 2 2 3 2 2 3 2" xfId="7873" xr:uid="{00000000-0005-0000-0000-0000341D0000}"/>
    <cellStyle name="Output 2 2 2 3 2 2 4" xfId="3470" xr:uid="{00000000-0005-0000-0000-0000351D0000}"/>
    <cellStyle name="Output 2 2 2 3 2 2 4 2" xfId="9300" xr:uid="{00000000-0005-0000-0000-0000361D0000}"/>
    <cellStyle name="Output 2 2 2 3 2 2 5" xfId="4867" xr:uid="{00000000-0005-0000-0000-0000371D0000}"/>
    <cellStyle name="Output 2 2 2 3 2 2 5 2" xfId="10697" xr:uid="{00000000-0005-0000-0000-0000381D0000}"/>
    <cellStyle name="Output 2 2 2 3 2 2 6" xfId="6362" xr:uid="{00000000-0005-0000-0000-0000391D0000}"/>
    <cellStyle name="Output 2 2 2 3 2 3" xfId="765" xr:uid="{00000000-0005-0000-0000-00003A1D0000}"/>
    <cellStyle name="Output 2 2 2 3 2 3 2" xfId="1496" xr:uid="{00000000-0005-0000-0000-00003B1D0000}"/>
    <cellStyle name="Output 2 2 2 3 2 3 2 2" xfId="3012" xr:uid="{00000000-0005-0000-0000-00003C1D0000}"/>
    <cellStyle name="Output 2 2 2 3 2 3 2 2 2" xfId="8842" xr:uid="{00000000-0005-0000-0000-00003D1D0000}"/>
    <cellStyle name="Output 2 2 2 3 2 3 2 3" xfId="4435" xr:uid="{00000000-0005-0000-0000-00003E1D0000}"/>
    <cellStyle name="Output 2 2 2 3 2 3 2 3 2" xfId="10265" xr:uid="{00000000-0005-0000-0000-00003F1D0000}"/>
    <cellStyle name="Output 2 2 2 3 2 3 2 4" xfId="5831" xr:uid="{00000000-0005-0000-0000-0000401D0000}"/>
    <cellStyle name="Output 2 2 2 3 2 3 2 4 2" xfId="11661" xr:uid="{00000000-0005-0000-0000-0000411D0000}"/>
    <cellStyle name="Output 2 2 2 3 2 3 2 5" xfId="7326" xr:uid="{00000000-0005-0000-0000-0000421D0000}"/>
    <cellStyle name="Output 2 2 2 3 2 3 3" xfId="2285" xr:uid="{00000000-0005-0000-0000-0000431D0000}"/>
    <cellStyle name="Output 2 2 2 3 2 3 3 2" xfId="8115" xr:uid="{00000000-0005-0000-0000-0000441D0000}"/>
    <cellStyle name="Output 2 2 2 3 2 3 4" xfId="3711" xr:uid="{00000000-0005-0000-0000-0000451D0000}"/>
    <cellStyle name="Output 2 2 2 3 2 3 4 2" xfId="9541" xr:uid="{00000000-0005-0000-0000-0000461D0000}"/>
    <cellStyle name="Output 2 2 2 3 2 3 5" xfId="5107" xr:uid="{00000000-0005-0000-0000-0000471D0000}"/>
    <cellStyle name="Output 2 2 2 3 2 3 5 2" xfId="10937" xr:uid="{00000000-0005-0000-0000-0000481D0000}"/>
    <cellStyle name="Output 2 2 2 3 2 3 6" xfId="6602" xr:uid="{00000000-0005-0000-0000-0000491D0000}"/>
    <cellStyle name="Output 2 2 2 3 2 4" xfId="1009" xr:uid="{00000000-0005-0000-0000-00004A1D0000}"/>
    <cellStyle name="Output 2 2 2 3 2 4 2" xfId="2529" xr:uid="{00000000-0005-0000-0000-00004B1D0000}"/>
    <cellStyle name="Output 2 2 2 3 2 4 2 2" xfId="8359" xr:uid="{00000000-0005-0000-0000-00004C1D0000}"/>
    <cellStyle name="Output 2 2 2 3 2 4 3" xfId="3955" xr:uid="{00000000-0005-0000-0000-00004D1D0000}"/>
    <cellStyle name="Output 2 2 2 3 2 4 3 2" xfId="9785" xr:uid="{00000000-0005-0000-0000-00004E1D0000}"/>
    <cellStyle name="Output 2 2 2 3 2 4 4" xfId="5351" xr:uid="{00000000-0005-0000-0000-00004F1D0000}"/>
    <cellStyle name="Output 2 2 2 3 2 4 4 2" xfId="11181" xr:uid="{00000000-0005-0000-0000-0000501D0000}"/>
    <cellStyle name="Output 2 2 2 3 2 4 5" xfId="6846" xr:uid="{00000000-0005-0000-0000-0000511D0000}"/>
    <cellStyle name="Output 2 2 2 3 2 5" xfId="1783" xr:uid="{00000000-0005-0000-0000-0000521D0000}"/>
    <cellStyle name="Output 2 2 2 3 2 5 2" xfId="7613" xr:uid="{00000000-0005-0000-0000-0000531D0000}"/>
    <cellStyle name="Output 2 2 2 3 2 6" xfId="3214" xr:uid="{00000000-0005-0000-0000-0000541D0000}"/>
    <cellStyle name="Output 2 2 2 3 2 6 2" xfId="9044" xr:uid="{00000000-0005-0000-0000-0000551D0000}"/>
    <cellStyle name="Output 2 2 2 3 2 7" xfId="4626" xr:uid="{00000000-0005-0000-0000-0000561D0000}"/>
    <cellStyle name="Output 2 2 2 3 2 7 2" xfId="10456" xr:uid="{00000000-0005-0000-0000-0000571D0000}"/>
    <cellStyle name="Output 2 2 2 3 2 8" xfId="6121" xr:uid="{00000000-0005-0000-0000-0000581D0000}"/>
    <cellStyle name="Output 2 2 2 3 3" xfId="322" xr:uid="{00000000-0005-0000-0000-0000591D0000}"/>
    <cellStyle name="Output 2 2 2 3 3 2" xfId="601" xr:uid="{00000000-0005-0000-0000-00005A1D0000}"/>
    <cellStyle name="Output 2 2 2 3 3 2 2" xfId="1336" xr:uid="{00000000-0005-0000-0000-00005B1D0000}"/>
    <cellStyle name="Output 2 2 2 3 3 2 2 2" xfId="2852" xr:uid="{00000000-0005-0000-0000-00005C1D0000}"/>
    <cellStyle name="Output 2 2 2 3 3 2 2 2 2" xfId="8682" xr:uid="{00000000-0005-0000-0000-00005D1D0000}"/>
    <cellStyle name="Output 2 2 2 3 3 2 2 3" xfId="4275" xr:uid="{00000000-0005-0000-0000-00005E1D0000}"/>
    <cellStyle name="Output 2 2 2 3 3 2 2 3 2" xfId="10105" xr:uid="{00000000-0005-0000-0000-00005F1D0000}"/>
    <cellStyle name="Output 2 2 2 3 3 2 2 4" xfId="5671" xr:uid="{00000000-0005-0000-0000-0000601D0000}"/>
    <cellStyle name="Output 2 2 2 3 3 2 2 4 2" xfId="11501" xr:uid="{00000000-0005-0000-0000-0000611D0000}"/>
    <cellStyle name="Output 2 2 2 3 3 2 2 5" xfId="7166" xr:uid="{00000000-0005-0000-0000-0000621D0000}"/>
    <cellStyle name="Output 2 2 2 3 3 2 3" xfId="2123" xr:uid="{00000000-0005-0000-0000-0000631D0000}"/>
    <cellStyle name="Output 2 2 2 3 3 2 3 2" xfId="7953" xr:uid="{00000000-0005-0000-0000-0000641D0000}"/>
    <cellStyle name="Output 2 2 2 3 3 2 4" xfId="3550" xr:uid="{00000000-0005-0000-0000-0000651D0000}"/>
    <cellStyle name="Output 2 2 2 3 3 2 4 2" xfId="9380" xr:uid="{00000000-0005-0000-0000-0000661D0000}"/>
    <cellStyle name="Output 2 2 2 3 3 2 5" xfId="4947" xr:uid="{00000000-0005-0000-0000-0000671D0000}"/>
    <cellStyle name="Output 2 2 2 3 3 2 5 2" xfId="10777" xr:uid="{00000000-0005-0000-0000-0000681D0000}"/>
    <cellStyle name="Output 2 2 2 3 3 2 6" xfId="6442" xr:uid="{00000000-0005-0000-0000-0000691D0000}"/>
    <cellStyle name="Output 2 2 2 3 3 3" xfId="845" xr:uid="{00000000-0005-0000-0000-00006A1D0000}"/>
    <cellStyle name="Output 2 2 2 3 3 3 2" xfId="1576" xr:uid="{00000000-0005-0000-0000-00006B1D0000}"/>
    <cellStyle name="Output 2 2 2 3 3 3 2 2" xfId="3092" xr:uid="{00000000-0005-0000-0000-00006C1D0000}"/>
    <cellStyle name="Output 2 2 2 3 3 3 2 2 2" xfId="8922" xr:uid="{00000000-0005-0000-0000-00006D1D0000}"/>
    <cellStyle name="Output 2 2 2 3 3 3 2 3" xfId="4515" xr:uid="{00000000-0005-0000-0000-00006E1D0000}"/>
    <cellStyle name="Output 2 2 2 3 3 3 2 3 2" xfId="10345" xr:uid="{00000000-0005-0000-0000-00006F1D0000}"/>
    <cellStyle name="Output 2 2 2 3 3 3 2 4" xfId="5911" xr:uid="{00000000-0005-0000-0000-0000701D0000}"/>
    <cellStyle name="Output 2 2 2 3 3 3 2 4 2" xfId="11741" xr:uid="{00000000-0005-0000-0000-0000711D0000}"/>
    <cellStyle name="Output 2 2 2 3 3 3 2 5" xfId="7406" xr:uid="{00000000-0005-0000-0000-0000721D0000}"/>
    <cellStyle name="Output 2 2 2 3 3 3 3" xfId="2365" xr:uid="{00000000-0005-0000-0000-0000731D0000}"/>
    <cellStyle name="Output 2 2 2 3 3 3 3 2" xfId="8195" xr:uid="{00000000-0005-0000-0000-0000741D0000}"/>
    <cellStyle name="Output 2 2 2 3 3 3 4" xfId="3791" xr:uid="{00000000-0005-0000-0000-0000751D0000}"/>
    <cellStyle name="Output 2 2 2 3 3 3 4 2" xfId="9621" xr:uid="{00000000-0005-0000-0000-0000761D0000}"/>
    <cellStyle name="Output 2 2 2 3 3 3 5" xfId="5187" xr:uid="{00000000-0005-0000-0000-0000771D0000}"/>
    <cellStyle name="Output 2 2 2 3 3 3 5 2" xfId="11017" xr:uid="{00000000-0005-0000-0000-0000781D0000}"/>
    <cellStyle name="Output 2 2 2 3 3 3 6" xfId="6682" xr:uid="{00000000-0005-0000-0000-0000791D0000}"/>
    <cellStyle name="Output 2 2 2 3 3 4" xfId="1089" xr:uid="{00000000-0005-0000-0000-00007A1D0000}"/>
    <cellStyle name="Output 2 2 2 3 3 4 2" xfId="2609" xr:uid="{00000000-0005-0000-0000-00007B1D0000}"/>
    <cellStyle name="Output 2 2 2 3 3 4 2 2" xfId="8439" xr:uid="{00000000-0005-0000-0000-00007C1D0000}"/>
    <cellStyle name="Output 2 2 2 3 3 4 3" xfId="4035" xr:uid="{00000000-0005-0000-0000-00007D1D0000}"/>
    <cellStyle name="Output 2 2 2 3 3 4 3 2" xfId="9865" xr:uid="{00000000-0005-0000-0000-00007E1D0000}"/>
    <cellStyle name="Output 2 2 2 3 3 4 4" xfId="5431" xr:uid="{00000000-0005-0000-0000-00007F1D0000}"/>
    <cellStyle name="Output 2 2 2 3 3 4 4 2" xfId="11261" xr:uid="{00000000-0005-0000-0000-0000801D0000}"/>
    <cellStyle name="Output 2 2 2 3 3 4 5" xfId="6926" xr:uid="{00000000-0005-0000-0000-0000811D0000}"/>
    <cellStyle name="Output 2 2 2 3 3 5" xfId="1863" xr:uid="{00000000-0005-0000-0000-0000821D0000}"/>
    <cellStyle name="Output 2 2 2 3 3 5 2" xfId="7693" xr:uid="{00000000-0005-0000-0000-0000831D0000}"/>
    <cellStyle name="Output 2 2 2 3 3 6" xfId="3294" xr:uid="{00000000-0005-0000-0000-0000841D0000}"/>
    <cellStyle name="Output 2 2 2 3 3 6 2" xfId="9124" xr:uid="{00000000-0005-0000-0000-0000851D0000}"/>
    <cellStyle name="Output 2 2 2 3 3 7" xfId="4706" xr:uid="{00000000-0005-0000-0000-0000861D0000}"/>
    <cellStyle name="Output 2 2 2 3 3 7 2" xfId="10536" xr:uid="{00000000-0005-0000-0000-0000871D0000}"/>
    <cellStyle name="Output 2 2 2 3 3 8" xfId="6201" xr:uid="{00000000-0005-0000-0000-0000881D0000}"/>
    <cellStyle name="Output 2 2 2 3 4" xfId="441" xr:uid="{00000000-0005-0000-0000-0000891D0000}"/>
    <cellStyle name="Output 2 2 2 3 4 2" xfId="1176" xr:uid="{00000000-0005-0000-0000-00008A1D0000}"/>
    <cellStyle name="Output 2 2 2 3 4 2 2" xfId="2692" xr:uid="{00000000-0005-0000-0000-00008B1D0000}"/>
    <cellStyle name="Output 2 2 2 3 4 2 2 2" xfId="8522" xr:uid="{00000000-0005-0000-0000-00008C1D0000}"/>
    <cellStyle name="Output 2 2 2 3 4 2 3" xfId="4115" xr:uid="{00000000-0005-0000-0000-00008D1D0000}"/>
    <cellStyle name="Output 2 2 2 3 4 2 3 2" xfId="9945" xr:uid="{00000000-0005-0000-0000-00008E1D0000}"/>
    <cellStyle name="Output 2 2 2 3 4 2 4" xfId="5511" xr:uid="{00000000-0005-0000-0000-00008F1D0000}"/>
    <cellStyle name="Output 2 2 2 3 4 2 4 2" xfId="11341" xr:uid="{00000000-0005-0000-0000-0000901D0000}"/>
    <cellStyle name="Output 2 2 2 3 4 2 5" xfId="7006" xr:uid="{00000000-0005-0000-0000-0000911D0000}"/>
    <cellStyle name="Output 2 2 2 3 4 3" xfId="1963" xr:uid="{00000000-0005-0000-0000-0000921D0000}"/>
    <cellStyle name="Output 2 2 2 3 4 3 2" xfId="7793" xr:uid="{00000000-0005-0000-0000-0000931D0000}"/>
    <cellStyle name="Output 2 2 2 3 4 4" xfId="3390" xr:uid="{00000000-0005-0000-0000-0000941D0000}"/>
    <cellStyle name="Output 2 2 2 3 4 4 2" xfId="9220" xr:uid="{00000000-0005-0000-0000-0000951D0000}"/>
    <cellStyle name="Output 2 2 2 3 4 5" xfId="4787" xr:uid="{00000000-0005-0000-0000-0000961D0000}"/>
    <cellStyle name="Output 2 2 2 3 4 5 2" xfId="10617" xr:uid="{00000000-0005-0000-0000-0000971D0000}"/>
    <cellStyle name="Output 2 2 2 3 4 6" xfId="6282" xr:uid="{00000000-0005-0000-0000-0000981D0000}"/>
    <cellStyle name="Output 2 2 2 3 5" xfId="685" xr:uid="{00000000-0005-0000-0000-0000991D0000}"/>
    <cellStyle name="Output 2 2 2 3 5 2" xfId="1416" xr:uid="{00000000-0005-0000-0000-00009A1D0000}"/>
    <cellStyle name="Output 2 2 2 3 5 2 2" xfId="2932" xr:uid="{00000000-0005-0000-0000-00009B1D0000}"/>
    <cellStyle name="Output 2 2 2 3 5 2 2 2" xfId="8762" xr:uid="{00000000-0005-0000-0000-00009C1D0000}"/>
    <cellStyle name="Output 2 2 2 3 5 2 3" xfId="4355" xr:uid="{00000000-0005-0000-0000-00009D1D0000}"/>
    <cellStyle name="Output 2 2 2 3 5 2 3 2" xfId="10185" xr:uid="{00000000-0005-0000-0000-00009E1D0000}"/>
    <cellStyle name="Output 2 2 2 3 5 2 4" xfId="5751" xr:uid="{00000000-0005-0000-0000-00009F1D0000}"/>
    <cellStyle name="Output 2 2 2 3 5 2 4 2" xfId="11581" xr:uid="{00000000-0005-0000-0000-0000A01D0000}"/>
    <cellStyle name="Output 2 2 2 3 5 2 5" xfId="7246" xr:uid="{00000000-0005-0000-0000-0000A11D0000}"/>
    <cellStyle name="Output 2 2 2 3 5 3" xfId="2205" xr:uid="{00000000-0005-0000-0000-0000A21D0000}"/>
    <cellStyle name="Output 2 2 2 3 5 3 2" xfId="8035" xr:uid="{00000000-0005-0000-0000-0000A31D0000}"/>
    <cellStyle name="Output 2 2 2 3 5 4" xfId="3631" xr:uid="{00000000-0005-0000-0000-0000A41D0000}"/>
    <cellStyle name="Output 2 2 2 3 5 4 2" xfId="9461" xr:uid="{00000000-0005-0000-0000-0000A51D0000}"/>
    <cellStyle name="Output 2 2 2 3 5 5" xfId="5027" xr:uid="{00000000-0005-0000-0000-0000A61D0000}"/>
    <cellStyle name="Output 2 2 2 3 5 5 2" xfId="10857" xr:uid="{00000000-0005-0000-0000-0000A71D0000}"/>
    <cellStyle name="Output 2 2 2 3 5 6" xfId="6522" xr:uid="{00000000-0005-0000-0000-0000A81D0000}"/>
    <cellStyle name="Output 2 2 2 3 6" xfId="929" xr:uid="{00000000-0005-0000-0000-0000A91D0000}"/>
    <cellStyle name="Output 2 2 2 3 6 2" xfId="2449" xr:uid="{00000000-0005-0000-0000-0000AA1D0000}"/>
    <cellStyle name="Output 2 2 2 3 6 2 2" xfId="8279" xr:uid="{00000000-0005-0000-0000-0000AB1D0000}"/>
    <cellStyle name="Output 2 2 2 3 6 3" xfId="3875" xr:uid="{00000000-0005-0000-0000-0000AC1D0000}"/>
    <cellStyle name="Output 2 2 2 3 6 3 2" xfId="9705" xr:uid="{00000000-0005-0000-0000-0000AD1D0000}"/>
    <cellStyle name="Output 2 2 2 3 6 4" xfId="5271" xr:uid="{00000000-0005-0000-0000-0000AE1D0000}"/>
    <cellStyle name="Output 2 2 2 3 6 4 2" xfId="11101" xr:uid="{00000000-0005-0000-0000-0000AF1D0000}"/>
    <cellStyle name="Output 2 2 2 3 6 5" xfId="6766" xr:uid="{00000000-0005-0000-0000-0000B01D0000}"/>
    <cellStyle name="Output 2 2 2 3 7" xfId="1703" xr:uid="{00000000-0005-0000-0000-0000B11D0000}"/>
    <cellStyle name="Output 2 2 2 3 7 2" xfId="7533" xr:uid="{00000000-0005-0000-0000-0000B21D0000}"/>
    <cellStyle name="Output 2 2 2 3 8" xfId="3134" xr:uid="{00000000-0005-0000-0000-0000B31D0000}"/>
    <cellStyle name="Output 2 2 2 3 8 2" xfId="8964" xr:uid="{00000000-0005-0000-0000-0000B41D0000}"/>
    <cellStyle name="Output 2 2 2 3 9" xfId="1618" xr:uid="{00000000-0005-0000-0000-0000B51D0000}"/>
    <cellStyle name="Output 2 2 2 3 9 2" xfId="7448" xr:uid="{00000000-0005-0000-0000-0000B61D0000}"/>
    <cellStyle name="Output 2 2 2 4" xfId="201" xr:uid="{00000000-0005-0000-0000-0000B71D0000}"/>
    <cellStyle name="Output 2 2 2 4 2" xfId="481" xr:uid="{00000000-0005-0000-0000-0000B81D0000}"/>
    <cellStyle name="Output 2 2 2 4 2 2" xfId="1216" xr:uid="{00000000-0005-0000-0000-0000B91D0000}"/>
    <cellStyle name="Output 2 2 2 4 2 2 2" xfId="2732" xr:uid="{00000000-0005-0000-0000-0000BA1D0000}"/>
    <cellStyle name="Output 2 2 2 4 2 2 2 2" xfId="8562" xr:uid="{00000000-0005-0000-0000-0000BB1D0000}"/>
    <cellStyle name="Output 2 2 2 4 2 2 3" xfId="4155" xr:uid="{00000000-0005-0000-0000-0000BC1D0000}"/>
    <cellStyle name="Output 2 2 2 4 2 2 3 2" xfId="9985" xr:uid="{00000000-0005-0000-0000-0000BD1D0000}"/>
    <cellStyle name="Output 2 2 2 4 2 2 4" xfId="5551" xr:uid="{00000000-0005-0000-0000-0000BE1D0000}"/>
    <cellStyle name="Output 2 2 2 4 2 2 4 2" xfId="11381" xr:uid="{00000000-0005-0000-0000-0000BF1D0000}"/>
    <cellStyle name="Output 2 2 2 4 2 2 5" xfId="7046" xr:uid="{00000000-0005-0000-0000-0000C01D0000}"/>
    <cellStyle name="Output 2 2 2 4 2 3" xfId="2003" xr:uid="{00000000-0005-0000-0000-0000C11D0000}"/>
    <cellStyle name="Output 2 2 2 4 2 3 2" xfId="7833" xr:uid="{00000000-0005-0000-0000-0000C21D0000}"/>
    <cellStyle name="Output 2 2 2 4 2 4" xfId="3430" xr:uid="{00000000-0005-0000-0000-0000C31D0000}"/>
    <cellStyle name="Output 2 2 2 4 2 4 2" xfId="9260" xr:uid="{00000000-0005-0000-0000-0000C41D0000}"/>
    <cellStyle name="Output 2 2 2 4 2 5" xfId="4827" xr:uid="{00000000-0005-0000-0000-0000C51D0000}"/>
    <cellStyle name="Output 2 2 2 4 2 5 2" xfId="10657" xr:uid="{00000000-0005-0000-0000-0000C61D0000}"/>
    <cellStyle name="Output 2 2 2 4 2 6" xfId="6322" xr:uid="{00000000-0005-0000-0000-0000C71D0000}"/>
    <cellStyle name="Output 2 2 2 4 3" xfId="725" xr:uid="{00000000-0005-0000-0000-0000C81D0000}"/>
    <cellStyle name="Output 2 2 2 4 3 2" xfId="1456" xr:uid="{00000000-0005-0000-0000-0000C91D0000}"/>
    <cellStyle name="Output 2 2 2 4 3 2 2" xfId="2972" xr:uid="{00000000-0005-0000-0000-0000CA1D0000}"/>
    <cellStyle name="Output 2 2 2 4 3 2 2 2" xfId="8802" xr:uid="{00000000-0005-0000-0000-0000CB1D0000}"/>
    <cellStyle name="Output 2 2 2 4 3 2 3" xfId="4395" xr:uid="{00000000-0005-0000-0000-0000CC1D0000}"/>
    <cellStyle name="Output 2 2 2 4 3 2 3 2" xfId="10225" xr:uid="{00000000-0005-0000-0000-0000CD1D0000}"/>
    <cellStyle name="Output 2 2 2 4 3 2 4" xfId="5791" xr:uid="{00000000-0005-0000-0000-0000CE1D0000}"/>
    <cellStyle name="Output 2 2 2 4 3 2 4 2" xfId="11621" xr:uid="{00000000-0005-0000-0000-0000CF1D0000}"/>
    <cellStyle name="Output 2 2 2 4 3 2 5" xfId="7286" xr:uid="{00000000-0005-0000-0000-0000D01D0000}"/>
    <cellStyle name="Output 2 2 2 4 3 3" xfId="2245" xr:uid="{00000000-0005-0000-0000-0000D11D0000}"/>
    <cellStyle name="Output 2 2 2 4 3 3 2" xfId="8075" xr:uid="{00000000-0005-0000-0000-0000D21D0000}"/>
    <cellStyle name="Output 2 2 2 4 3 4" xfId="3671" xr:uid="{00000000-0005-0000-0000-0000D31D0000}"/>
    <cellStyle name="Output 2 2 2 4 3 4 2" xfId="9501" xr:uid="{00000000-0005-0000-0000-0000D41D0000}"/>
    <cellStyle name="Output 2 2 2 4 3 5" xfId="5067" xr:uid="{00000000-0005-0000-0000-0000D51D0000}"/>
    <cellStyle name="Output 2 2 2 4 3 5 2" xfId="10897" xr:uid="{00000000-0005-0000-0000-0000D61D0000}"/>
    <cellStyle name="Output 2 2 2 4 3 6" xfId="6562" xr:uid="{00000000-0005-0000-0000-0000D71D0000}"/>
    <cellStyle name="Output 2 2 2 4 4" xfId="969" xr:uid="{00000000-0005-0000-0000-0000D81D0000}"/>
    <cellStyle name="Output 2 2 2 4 4 2" xfId="2489" xr:uid="{00000000-0005-0000-0000-0000D91D0000}"/>
    <cellStyle name="Output 2 2 2 4 4 2 2" xfId="8319" xr:uid="{00000000-0005-0000-0000-0000DA1D0000}"/>
    <cellStyle name="Output 2 2 2 4 4 3" xfId="3915" xr:uid="{00000000-0005-0000-0000-0000DB1D0000}"/>
    <cellStyle name="Output 2 2 2 4 4 3 2" xfId="9745" xr:uid="{00000000-0005-0000-0000-0000DC1D0000}"/>
    <cellStyle name="Output 2 2 2 4 4 4" xfId="5311" xr:uid="{00000000-0005-0000-0000-0000DD1D0000}"/>
    <cellStyle name="Output 2 2 2 4 4 4 2" xfId="11141" xr:uid="{00000000-0005-0000-0000-0000DE1D0000}"/>
    <cellStyle name="Output 2 2 2 4 4 5" xfId="6806" xr:uid="{00000000-0005-0000-0000-0000DF1D0000}"/>
    <cellStyle name="Output 2 2 2 4 5" xfId="1743" xr:uid="{00000000-0005-0000-0000-0000E01D0000}"/>
    <cellStyle name="Output 2 2 2 4 5 2" xfId="7573" xr:uid="{00000000-0005-0000-0000-0000E11D0000}"/>
    <cellStyle name="Output 2 2 2 4 6" xfId="3174" xr:uid="{00000000-0005-0000-0000-0000E21D0000}"/>
    <cellStyle name="Output 2 2 2 4 6 2" xfId="9004" xr:uid="{00000000-0005-0000-0000-0000E31D0000}"/>
    <cellStyle name="Output 2 2 2 4 7" xfId="4586" xr:uid="{00000000-0005-0000-0000-0000E41D0000}"/>
    <cellStyle name="Output 2 2 2 4 7 2" xfId="10416" xr:uid="{00000000-0005-0000-0000-0000E51D0000}"/>
    <cellStyle name="Output 2 2 2 4 8" xfId="6081" xr:uid="{00000000-0005-0000-0000-0000E61D0000}"/>
    <cellStyle name="Output 2 2 2 5" xfId="282" xr:uid="{00000000-0005-0000-0000-0000E71D0000}"/>
    <cellStyle name="Output 2 2 2 5 2" xfId="561" xr:uid="{00000000-0005-0000-0000-0000E81D0000}"/>
    <cellStyle name="Output 2 2 2 5 2 2" xfId="1296" xr:uid="{00000000-0005-0000-0000-0000E91D0000}"/>
    <cellStyle name="Output 2 2 2 5 2 2 2" xfId="2812" xr:uid="{00000000-0005-0000-0000-0000EA1D0000}"/>
    <cellStyle name="Output 2 2 2 5 2 2 2 2" xfId="8642" xr:uid="{00000000-0005-0000-0000-0000EB1D0000}"/>
    <cellStyle name="Output 2 2 2 5 2 2 3" xfId="4235" xr:uid="{00000000-0005-0000-0000-0000EC1D0000}"/>
    <cellStyle name="Output 2 2 2 5 2 2 3 2" xfId="10065" xr:uid="{00000000-0005-0000-0000-0000ED1D0000}"/>
    <cellStyle name="Output 2 2 2 5 2 2 4" xfId="5631" xr:uid="{00000000-0005-0000-0000-0000EE1D0000}"/>
    <cellStyle name="Output 2 2 2 5 2 2 4 2" xfId="11461" xr:uid="{00000000-0005-0000-0000-0000EF1D0000}"/>
    <cellStyle name="Output 2 2 2 5 2 2 5" xfId="7126" xr:uid="{00000000-0005-0000-0000-0000F01D0000}"/>
    <cellStyle name="Output 2 2 2 5 2 3" xfId="2083" xr:uid="{00000000-0005-0000-0000-0000F11D0000}"/>
    <cellStyle name="Output 2 2 2 5 2 3 2" xfId="7913" xr:uid="{00000000-0005-0000-0000-0000F21D0000}"/>
    <cellStyle name="Output 2 2 2 5 2 4" xfId="3510" xr:uid="{00000000-0005-0000-0000-0000F31D0000}"/>
    <cellStyle name="Output 2 2 2 5 2 4 2" xfId="9340" xr:uid="{00000000-0005-0000-0000-0000F41D0000}"/>
    <cellStyle name="Output 2 2 2 5 2 5" xfId="4907" xr:uid="{00000000-0005-0000-0000-0000F51D0000}"/>
    <cellStyle name="Output 2 2 2 5 2 5 2" xfId="10737" xr:uid="{00000000-0005-0000-0000-0000F61D0000}"/>
    <cellStyle name="Output 2 2 2 5 2 6" xfId="6402" xr:uid="{00000000-0005-0000-0000-0000F71D0000}"/>
    <cellStyle name="Output 2 2 2 5 3" xfId="805" xr:uid="{00000000-0005-0000-0000-0000F81D0000}"/>
    <cellStyle name="Output 2 2 2 5 3 2" xfId="1536" xr:uid="{00000000-0005-0000-0000-0000F91D0000}"/>
    <cellStyle name="Output 2 2 2 5 3 2 2" xfId="3052" xr:uid="{00000000-0005-0000-0000-0000FA1D0000}"/>
    <cellStyle name="Output 2 2 2 5 3 2 2 2" xfId="8882" xr:uid="{00000000-0005-0000-0000-0000FB1D0000}"/>
    <cellStyle name="Output 2 2 2 5 3 2 3" xfId="4475" xr:uid="{00000000-0005-0000-0000-0000FC1D0000}"/>
    <cellStyle name="Output 2 2 2 5 3 2 3 2" xfId="10305" xr:uid="{00000000-0005-0000-0000-0000FD1D0000}"/>
    <cellStyle name="Output 2 2 2 5 3 2 4" xfId="5871" xr:uid="{00000000-0005-0000-0000-0000FE1D0000}"/>
    <cellStyle name="Output 2 2 2 5 3 2 4 2" xfId="11701" xr:uid="{00000000-0005-0000-0000-0000FF1D0000}"/>
    <cellStyle name="Output 2 2 2 5 3 2 5" xfId="7366" xr:uid="{00000000-0005-0000-0000-0000001E0000}"/>
    <cellStyle name="Output 2 2 2 5 3 3" xfId="2325" xr:uid="{00000000-0005-0000-0000-0000011E0000}"/>
    <cellStyle name="Output 2 2 2 5 3 3 2" xfId="8155" xr:uid="{00000000-0005-0000-0000-0000021E0000}"/>
    <cellStyle name="Output 2 2 2 5 3 4" xfId="3751" xr:uid="{00000000-0005-0000-0000-0000031E0000}"/>
    <cellStyle name="Output 2 2 2 5 3 4 2" xfId="9581" xr:uid="{00000000-0005-0000-0000-0000041E0000}"/>
    <cellStyle name="Output 2 2 2 5 3 5" xfId="5147" xr:uid="{00000000-0005-0000-0000-0000051E0000}"/>
    <cellStyle name="Output 2 2 2 5 3 5 2" xfId="10977" xr:uid="{00000000-0005-0000-0000-0000061E0000}"/>
    <cellStyle name="Output 2 2 2 5 3 6" xfId="6642" xr:uid="{00000000-0005-0000-0000-0000071E0000}"/>
    <cellStyle name="Output 2 2 2 5 4" xfId="1049" xr:uid="{00000000-0005-0000-0000-0000081E0000}"/>
    <cellStyle name="Output 2 2 2 5 4 2" xfId="2569" xr:uid="{00000000-0005-0000-0000-0000091E0000}"/>
    <cellStyle name="Output 2 2 2 5 4 2 2" xfId="8399" xr:uid="{00000000-0005-0000-0000-00000A1E0000}"/>
    <cellStyle name="Output 2 2 2 5 4 3" xfId="3995" xr:uid="{00000000-0005-0000-0000-00000B1E0000}"/>
    <cellStyle name="Output 2 2 2 5 4 3 2" xfId="9825" xr:uid="{00000000-0005-0000-0000-00000C1E0000}"/>
    <cellStyle name="Output 2 2 2 5 4 4" xfId="5391" xr:uid="{00000000-0005-0000-0000-00000D1E0000}"/>
    <cellStyle name="Output 2 2 2 5 4 4 2" xfId="11221" xr:uid="{00000000-0005-0000-0000-00000E1E0000}"/>
    <cellStyle name="Output 2 2 2 5 4 5" xfId="6886" xr:uid="{00000000-0005-0000-0000-00000F1E0000}"/>
    <cellStyle name="Output 2 2 2 5 5" xfId="1823" xr:uid="{00000000-0005-0000-0000-0000101E0000}"/>
    <cellStyle name="Output 2 2 2 5 5 2" xfId="7653" xr:uid="{00000000-0005-0000-0000-0000111E0000}"/>
    <cellStyle name="Output 2 2 2 5 6" xfId="3254" xr:uid="{00000000-0005-0000-0000-0000121E0000}"/>
    <cellStyle name="Output 2 2 2 5 6 2" xfId="9084" xr:uid="{00000000-0005-0000-0000-0000131E0000}"/>
    <cellStyle name="Output 2 2 2 5 7" xfId="4666" xr:uid="{00000000-0005-0000-0000-0000141E0000}"/>
    <cellStyle name="Output 2 2 2 5 7 2" xfId="10496" xr:uid="{00000000-0005-0000-0000-0000151E0000}"/>
    <cellStyle name="Output 2 2 2 5 8" xfId="6161" xr:uid="{00000000-0005-0000-0000-0000161E0000}"/>
    <cellStyle name="Output 2 2 2 6" xfId="401" xr:uid="{00000000-0005-0000-0000-0000171E0000}"/>
    <cellStyle name="Output 2 2 2 6 2" xfId="1136" xr:uid="{00000000-0005-0000-0000-0000181E0000}"/>
    <cellStyle name="Output 2 2 2 6 2 2" xfId="2652" xr:uid="{00000000-0005-0000-0000-0000191E0000}"/>
    <cellStyle name="Output 2 2 2 6 2 2 2" xfId="8482" xr:uid="{00000000-0005-0000-0000-00001A1E0000}"/>
    <cellStyle name="Output 2 2 2 6 2 3" xfId="4075" xr:uid="{00000000-0005-0000-0000-00001B1E0000}"/>
    <cellStyle name="Output 2 2 2 6 2 3 2" xfId="9905" xr:uid="{00000000-0005-0000-0000-00001C1E0000}"/>
    <cellStyle name="Output 2 2 2 6 2 4" xfId="5471" xr:uid="{00000000-0005-0000-0000-00001D1E0000}"/>
    <cellStyle name="Output 2 2 2 6 2 4 2" xfId="11301" xr:uid="{00000000-0005-0000-0000-00001E1E0000}"/>
    <cellStyle name="Output 2 2 2 6 2 5" xfId="6966" xr:uid="{00000000-0005-0000-0000-00001F1E0000}"/>
    <cellStyle name="Output 2 2 2 6 3" xfId="1923" xr:uid="{00000000-0005-0000-0000-0000201E0000}"/>
    <cellStyle name="Output 2 2 2 6 3 2" xfId="7753" xr:uid="{00000000-0005-0000-0000-0000211E0000}"/>
    <cellStyle name="Output 2 2 2 6 4" xfId="3350" xr:uid="{00000000-0005-0000-0000-0000221E0000}"/>
    <cellStyle name="Output 2 2 2 6 4 2" xfId="9180" xr:uid="{00000000-0005-0000-0000-0000231E0000}"/>
    <cellStyle name="Output 2 2 2 6 5" xfId="4747" xr:uid="{00000000-0005-0000-0000-0000241E0000}"/>
    <cellStyle name="Output 2 2 2 6 5 2" xfId="10577" xr:uid="{00000000-0005-0000-0000-0000251E0000}"/>
    <cellStyle name="Output 2 2 2 6 6" xfId="6242" xr:uid="{00000000-0005-0000-0000-0000261E0000}"/>
    <cellStyle name="Output 2 2 2 7" xfId="645" xr:uid="{00000000-0005-0000-0000-0000271E0000}"/>
    <cellStyle name="Output 2 2 2 7 2" xfId="1376" xr:uid="{00000000-0005-0000-0000-0000281E0000}"/>
    <cellStyle name="Output 2 2 2 7 2 2" xfId="2892" xr:uid="{00000000-0005-0000-0000-0000291E0000}"/>
    <cellStyle name="Output 2 2 2 7 2 2 2" xfId="8722" xr:uid="{00000000-0005-0000-0000-00002A1E0000}"/>
    <cellStyle name="Output 2 2 2 7 2 3" xfId="4315" xr:uid="{00000000-0005-0000-0000-00002B1E0000}"/>
    <cellStyle name="Output 2 2 2 7 2 3 2" xfId="10145" xr:uid="{00000000-0005-0000-0000-00002C1E0000}"/>
    <cellStyle name="Output 2 2 2 7 2 4" xfId="5711" xr:uid="{00000000-0005-0000-0000-00002D1E0000}"/>
    <cellStyle name="Output 2 2 2 7 2 4 2" xfId="11541" xr:uid="{00000000-0005-0000-0000-00002E1E0000}"/>
    <cellStyle name="Output 2 2 2 7 2 5" xfId="7206" xr:uid="{00000000-0005-0000-0000-00002F1E0000}"/>
    <cellStyle name="Output 2 2 2 7 3" xfId="2165" xr:uid="{00000000-0005-0000-0000-0000301E0000}"/>
    <cellStyle name="Output 2 2 2 7 3 2" xfId="7995" xr:uid="{00000000-0005-0000-0000-0000311E0000}"/>
    <cellStyle name="Output 2 2 2 7 4" xfId="3591" xr:uid="{00000000-0005-0000-0000-0000321E0000}"/>
    <cellStyle name="Output 2 2 2 7 4 2" xfId="9421" xr:uid="{00000000-0005-0000-0000-0000331E0000}"/>
    <cellStyle name="Output 2 2 2 7 5" xfId="4987" xr:uid="{00000000-0005-0000-0000-0000341E0000}"/>
    <cellStyle name="Output 2 2 2 7 5 2" xfId="10817" xr:uid="{00000000-0005-0000-0000-0000351E0000}"/>
    <cellStyle name="Output 2 2 2 7 6" xfId="6482" xr:uid="{00000000-0005-0000-0000-0000361E0000}"/>
    <cellStyle name="Output 2 2 2 8" xfId="889" xr:uid="{00000000-0005-0000-0000-0000371E0000}"/>
    <cellStyle name="Output 2 2 2 8 2" xfId="2409" xr:uid="{00000000-0005-0000-0000-0000381E0000}"/>
    <cellStyle name="Output 2 2 2 8 2 2" xfId="8239" xr:uid="{00000000-0005-0000-0000-0000391E0000}"/>
    <cellStyle name="Output 2 2 2 8 3" xfId="3835" xr:uid="{00000000-0005-0000-0000-00003A1E0000}"/>
    <cellStyle name="Output 2 2 2 8 3 2" xfId="9665" xr:uid="{00000000-0005-0000-0000-00003B1E0000}"/>
    <cellStyle name="Output 2 2 2 8 4" xfId="5231" xr:uid="{00000000-0005-0000-0000-00003C1E0000}"/>
    <cellStyle name="Output 2 2 2 8 4 2" xfId="11061" xr:uid="{00000000-0005-0000-0000-00003D1E0000}"/>
    <cellStyle name="Output 2 2 2 8 5" xfId="6726" xr:uid="{00000000-0005-0000-0000-00003E1E0000}"/>
    <cellStyle name="Output 2 2 2 9" xfId="1663" xr:uid="{00000000-0005-0000-0000-00003F1E0000}"/>
    <cellStyle name="Output 2 2 2 9 2" xfId="7493" xr:uid="{00000000-0005-0000-0000-0000401E0000}"/>
    <cellStyle name="Output 2 2 3" xfId="125" xr:uid="{00000000-0005-0000-0000-0000411E0000}"/>
    <cellStyle name="Output 2 2 3 10" xfId="1912" xr:uid="{00000000-0005-0000-0000-0000421E0000}"/>
    <cellStyle name="Output 2 2 3 10 2" xfId="7742" xr:uid="{00000000-0005-0000-0000-0000431E0000}"/>
    <cellStyle name="Output 2 2 3 11" xfId="1621" xr:uid="{00000000-0005-0000-0000-0000441E0000}"/>
    <cellStyle name="Output 2 2 3 11 2" xfId="7451" xr:uid="{00000000-0005-0000-0000-0000451E0000}"/>
    <cellStyle name="Output 2 2 3 12" xfId="6006" xr:uid="{00000000-0005-0000-0000-0000461E0000}"/>
    <cellStyle name="Output 2 2 3 2" xfId="146" xr:uid="{00000000-0005-0000-0000-0000471E0000}"/>
    <cellStyle name="Output 2 2 3 2 10" xfId="1617" xr:uid="{00000000-0005-0000-0000-0000481E0000}"/>
    <cellStyle name="Output 2 2 3 2 10 2" xfId="7447" xr:uid="{00000000-0005-0000-0000-0000491E0000}"/>
    <cellStyle name="Output 2 2 3 2 11" xfId="6026" xr:uid="{00000000-0005-0000-0000-00004A1E0000}"/>
    <cellStyle name="Output 2 2 3 2 2" xfId="186" xr:uid="{00000000-0005-0000-0000-00004B1E0000}"/>
    <cellStyle name="Output 2 2 3 2 2 10" xfId="6066" xr:uid="{00000000-0005-0000-0000-00004C1E0000}"/>
    <cellStyle name="Output 2 2 3 2 2 2" xfId="267" xr:uid="{00000000-0005-0000-0000-00004D1E0000}"/>
    <cellStyle name="Output 2 2 3 2 2 2 2" xfId="546" xr:uid="{00000000-0005-0000-0000-00004E1E0000}"/>
    <cellStyle name="Output 2 2 3 2 2 2 2 2" xfId="1281" xr:uid="{00000000-0005-0000-0000-00004F1E0000}"/>
    <cellStyle name="Output 2 2 3 2 2 2 2 2 2" xfId="2797" xr:uid="{00000000-0005-0000-0000-0000501E0000}"/>
    <cellStyle name="Output 2 2 3 2 2 2 2 2 2 2" xfId="8627" xr:uid="{00000000-0005-0000-0000-0000511E0000}"/>
    <cellStyle name="Output 2 2 3 2 2 2 2 2 3" xfId="4220" xr:uid="{00000000-0005-0000-0000-0000521E0000}"/>
    <cellStyle name="Output 2 2 3 2 2 2 2 2 3 2" xfId="10050" xr:uid="{00000000-0005-0000-0000-0000531E0000}"/>
    <cellStyle name="Output 2 2 3 2 2 2 2 2 4" xfId="5616" xr:uid="{00000000-0005-0000-0000-0000541E0000}"/>
    <cellStyle name="Output 2 2 3 2 2 2 2 2 4 2" xfId="11446" xr:uid="{00000000-0005-0000-0000-0000551E0000}"/>
    <cellStyle name="Output 2 2 3 2 2 2 2 2 5" xfId="7111" xr:uid="{00000000-0005-0000-0000-0000561E0000}"/>
    <cellStyle name="Output 2 2 3 2 2 2 2 3" xfId="2068" xr:uid="{00000000-0005-0000-0000-0000571E0000}"/>
    <cellStyle name="Output 2 2 3 2 2 2 2 3 2" xfId="7898" xr:uid="{00000000-0005-0000-0000-0000581E0000}"/>
    <cellStyle name="Output 2 2 3 2 2 2 2 4" xfId="3495" xr:uid="{00000000-0005-0000-0000-0000591E0000}"/>
    <cellStyle name="Output 2 2 3 2 2 2 2 4 2" xfId="9325" xr:uid="{00000000-0005-0000-0000-00005A1E0000}"/>
    <cellStyle name="Output 2 2 3 2 2 2 2 5" xfId="4892" xr:uid="{00000000-0005-0000-0000-00005B1E0000}"/>
    <cellStyle name="Output 2 2 3 2 2 2 2 5 2" xfId="10722" xr:uid="{00000000-0005-0000-0000-00005C1E0000}"/>
    <cellStyle name="Output 2 2 3 2 2 2 2 6" xfId="6387" xr:uid="{00000000-0005-0000-0000-00005D1E0000}"/>
    <cellStyle name="Output 2 2 3 2 2 2 3" xfId="790" xr:uid="{00000000-0005-0000-0000-00005E1E0000}"/>
    <cellStyle name="Output 2 2 3 2 2 2 3 2" xfId="1521" xr:uid="{00000000-0005-0000-0000-00005F1E0000}"/>
    <cellStyle name="Output 2 2 3 2 2 2 3 2 2" xfId="3037" xr:uid="{00000000-0005-0000-0000-0000601E0000}"/>
    <cellStyle name="Output 2 2 3 2 2 2 3 2 2 2" xfId="8867" xr:uid="{00000000-0005-0000-0000-0000611E0000}"/>
    <cellStyle name="Output 2 2 3 2 2 2 3 2 3" xfId="4460" xr:uid="{00000000-0005-0000-0000-0000621E0000}"/>
    <cellStyle name="Output 2 2 3 2 2 2 3 2 3 2" xfId="10290" xr:uid="{00000000-0005-0000-0000-0000631E0000}"/>
    <cellStyle name="Output 2 2 3 2 2 2 3 2 4" xfId="5856" xr:uid="{00000000-0005-0000-0000-0000641E0000}"/>
    <cellStyle name="Output 2 2 3 2 2 2 3 2 4 2" xfId="11686" xr:uid="{00000000-0005-0000-0000-0000651E0000}"/>
    <cellStyle name="Output 2 2 3 2 2 2 3 2 5" xfId="7351" xr:uid="{00000000-0005-0000-0000-0000661E0000}"/>
    <cellStyle name="Output 2 2 3 2 2 2 3 3" xfId="2310" xr:uid="{00000000-0005-0000-0000-0000671E0000}"/>
    <cellStyle name="Output 2 2 3 2 2 2 3 3 2" xfId="8140" xr:uid="{00000000-0005-0000-0000-0000681E0000}"/>
    <cellStyle name="Output 2 2 3 2 2 2 3 4" xfId="3736" xr:uid="{00000000-0005-0000-0000-0000691E0000}"/>
    <cellStyle name="Output 2 2 3 2 2 2 3 4 2" xfId="9566" xr:uid="{00000000-0005-0000-0000-00006A1E0000}"/>
    <cellStyle name="Output 2 2 3 2 2 2 3 5" xfId="5132" xr:uid="{00000000-0005-0000-0000-00006B1E0000}"/>
    <cellStyle name="Output 2 2 3 2 2 2 3 5 2" xfId="10962" xr:uid="{00000000-0005-0000-0000-00006C1E0000}"/>
    <cellStyle name="Output 2 2 3 2 2 2 3 6" xfId="6627" xr:uid="{00000000-0005-0000-0000-00006D1E0000}"/>
    <cellStyle name="Output 2 2 3 2 2 2 4" xfId="1034" xr:uid="{00000000-0005-0000-0000-00006E1E0000}"/>
    <cellStyle name="Output 2 2 3 2 2 2 4 2" xfId="2554" xr:uid="{00000000-0005-0000-0000-00006F1E0000}"/>
    <cellStyle name="Output 2 2 3 2 2 2 4 2 2" xfId="8384" xr:uid="{00000000-0005-0000-0000-0000701E0000}"/>
    <cellStyle name="Output 2 2 3 2 2 2 4 3" xfId="3980" xr:uid="{00000000-0005-0000-0000-0000711E0000}"/>
    <cellStyle name="Output 2 2 3 2 2 2 4 3 2" xfId="9810" xr:uid="{00000000-0005-0000-0000-0000721E0000}"/>
    <cellStyle name="Output 2 2 3 2 2 2 4 4" xfId="5376" xr:uid="{00000000-0005-0000-0000-0000731E0000}"/>
    <cellStyle name="Output 2 2 3 2 2 2 4 4 2" xfId="11206" xr:uid="{00000000-0005-0000-0000-0000741E0000}"/>
    <cellStyle name="Output 2 2 3 2 2 2 4 5" xfId="6871" xr:uid="{00000000-0005-0000-0000-0000751E0000}"/>
    <cellStyle name="Output 2 2 3 2 2 2 5" xfId="1808" xr:uid="{00000000-0005-0000-0000-0000761E0000}"/>
    <cellStyle name="Output 2 2 3 2 2 2 5 2" xfId="7638" xr:uid="{00000000-0005-0000-0000-0000771E0000}"/>
    <cellStyle name="Output 2 2 3 2 2 2 6" xfId="3239" xr:uid="{00000000-0005-0000-0000-0000781E0000}"/>
    <cellStyle name="Output 2 2 3 2 2 2 6 2" xfId="9069" xr:uid="{00000000-0005-0000-0000-0000791E0000}"/>
    <cellStyle name="Output 2 2 3 2 2 2 7" xfId="4651" xr:uid="{00000000-0005-0000-0000-00007A1E0000}"/>
    <cellStyle name="Output 2 2 3 2 2 2 7 2" xfId="10481" xr:uid="{00000000-0005-0000-0000-00007B1E0000}"/>
    <cellStyle name="Output 2 2 3 2 2 2 8" xfId="6146" xr:uid="{00000000-0005-0000-0000-00007C1E0000}"/>
    <cellStyle name="Output 2 2 3 2 2 3" xfId="347" xr:uid="{00000000-0005-0000-0000-00007D1E0000}"/>
    <cellStyle name="Output 2 2 3 2 2 3 2" xfId="626" xr:uid="{00000000-0005-0000-0000-00007E1E0000}"/>
    <cellStyle name="Output 2 2 3 2 2 3 2 2" xfId="1361" xr:uid="{00000000-0005-0000-0000-00007F1E0000}"/>
    <cellStyle name="Output 2 2 3 2 2 3 2 2 2" xfId="2877" xr:uid="{00000000-0005-0000-0000-0000801E0000}"/>
    <cellStyle name="Output 2 2 3 2 2 3 2 2 2 2" xfId="8707" xr:uid="{00000000-0005-0000-0000-0000811E0000}"/>
    <cellStyle name="Output 2 2 3 2 2 3 2 2 3" xfId="4300" xr:uid="{00000000-0005-0000-0000-0000821E0000}"/>
    <cellStyle name="Output 2 2 3 2 2 3 2 2 3 2" xfId="10130" xr:uid="{00000000-0005-0000-0000-0000831E0000}"/>
    <cellStyle name="Output 2 2 3 2 2 3 2 2 4" xfId="5696" xr:uid="{00000000-0005-0000-0000-0000841E0000}"/>
    <cellStyle name="Output 2 2 3 2 2 3 2 2 4 2" xfId="11526" xr:uid="{00000000-0005-0000-0000-0000851E0000}"/>
    <cellStyle name="Output 2 2 3 2 2 3 2 2 5" xfId="7191" xr:uid="{00000000-0005-0000-0000-0000861E0000}"/>
    <cellStyle name="Output 2 2 3 2 2 3 2 3" xfId="2148" xr:uid="{00000000-0005-0000-0000-0000871E0000}"/>
    <cellStyle name="Output 2 2 3 2 2 3 2 3 2" xfId="7978" xr:uid="{00000000-0005-0000-0000-0000881E0000}"/>
    <cellStyle name="Output 2 2 3 2 2 3 2 4" xfId="3575" xr:uid="{00000000-0005-0000-0000-0000891E0000}"/>
    <cellStyle name="Output 2 2 3 2 2 3 2 4 2" xfId="9405" xr:uid="{00000000-0005-0000-0000-00008A1E0000}"/>
    <cellStyle name="Output 2 2 3 2 2 3 2 5" xfId="4972" xr:uid="{00000000-0005-0000-0000-00008B1E0000}"/>
    <cellStyle name="Output 2 2 3 2 2 3 2 5 2" xfId="10802" xr:uid="{00000000-0005-0000-0000-00008C1E0000}"/>
    <cellStyle name="Output 2 2 3 2 2 3 2 6" xfId="6467" xr:uid="{00000000-0005-0000-0000-00008D1E0000}"/>
    <cellStyle name="Output 2 2 3 2 2 3 3" xfId="870" xr:uid="{00000000-0005-0000-0000-00008E1E0000}"/>
    <cellStyle name="Output 2 2 3 2 2 3 3 2" xfId="1601" xr:uid="{00000000-0005-0000-0000-00008F1E0000}"/>
    <cellStyle name="Output 2 2 3 2 2 3 3 2 2" xfId="3117" xr:uid="{00000000-0005-0000-0000-0000901E0000}"/>
    <cellStyle name="Output 2 2 3 2 2 3 3 2 2 2" xfId="8947" xr:uid="{00000000-0005-0000-0000-0000911E0000}"/>
    <cellStyle name="Output 2 2 3 2 2 3 3 2 3" xfId="4540" xr:uid="{00000000-0005-0000-0000-0000921E0000}"/>
    <cellStyle name="Output 2 2 3 2 2 3 3 2 3 2" xfId="10370" xr:uid="{00000000-0005-0000-0000-0000931E0000}"/>
    <cellStyle name="Output 2 2 3 2 2 3 3 2 4" xfId="5936" xr:uid="{00000000-0005-0000-0000-0000941E0000}"/>
    <cellStyle name="Output 2 2 3 2 2 3 3 2 4 2" xfId="11766" xr:uid="{00000000-0005-0000-0000-0000951E0000}"/>
    <cellStyle name="Output 2 2 3 2 2 3 3 2 5" xfId="7431" xr:uid="{00000000-0005-0000-0000-0000961E0000}"/>
    <cellStyle name="Output 2 2 3 2 2 3 3 3" xfId="2390" xr:uid="{00000000-0005-0000-0000-0000971E0000}"/>
    <cellStyle name="Output 2 2 3 2 2 3 3 3 2" xfId="8220" xr:uid="{00000000-0005-0000-0000-0000981E0000}"/>
    <cellStyle name="Output 2 2 3 2 2 3 3 4" xfId="3816" xr:uid="{00000000-0005-0000-0000-0000991E0000}"/>
    <cellStyle name="Output 2 2 3 2 2 3 3 4 2" xfId="9646" xr:uid="{00000000-0005-0000-0000-00009A1E0000}"/>
    <cellStyle name="Output 2 2 3 2 2 3 3 5" xfId="5212" xr:uid="{00000000-0005-0000-0000-00009B1E0000}"/>
    <cellStyle name="Output 2 2 3 2 2 3 3 5 2" xfId="11042" xr:uid="{00000000-0005-0000-0000-00009C1E0000}"/>
    <cellStyle name="Output 2 2 3 2 2 3 3 6" xfId="6707" xr:uid="{00000000-0005-0000-0000-00009D1E0000}"/>
    <cellStyle name="Output 2 2 3 2 2 3 4" xfId="1114" xr:uid="{00000000-0005-0000-0000-00009E1E0000}"/>
    <cellStyle name="Output 2 2 3 2 2 3 4 2" xfId="2634" xr:uid="{00000000-0005-0000-0000-00009F1E0000}"/>
    <cellStyle name="Output 2 2 3 2 2 3 4 2 2" xfId="8464" xr:uid="{00000000-0005-0000-0000-0000A01E0000}"/>
    <cellStyle name="Output 2 2 3 2 2 3 4 3" xfId="4060" xr:uid="{00000000-0005-0000-0000-0000A11E0000}"/>
    <cellStyle name="Output 2 2 3 2 2 3 4 3 2" xfId="9890" xr:uid="{00000000-0005-0000-0000-0000A21E0000}"/>
    <cellStyle name="Output 2 2 3 2 2 3 4 4" xfId="5456" xr:uid="{00000000-0005-0000-0000-0000A31E0000}"/>
    <cellStyle name="Output 2 2 3 2 2 3 4 4 2" xfId="11286" xr:uid="{00000000-0005-0000-0000-0000A41E0000}"/>
    <cellStyle name="Output 2 2 3 2 2 3 4 5" xfId="6951" xr:uid="{00000000-0005-0000-0000-0000A51E0000}"/>
    <cellStyle name="Output 2 2 3 2 2 3 5" xfId="1888" xr:uid="{00000000-0005-0000-0000-0000A61E0000}"/>
    <cellStyle name="Output 2 2 3 2 2 3 5 2" xfId="7718" xr:uid="{00000000-0005-0000-0000-0000A71E0000}"/>
    <cellStyle name="Output 2 2 3 2 2 3 6" xfId="3319" xr:uid="{00000000-0005-0000-0000-0000A81E0000}"/>
    <cellStyle name="Output 2 2 3 2 2 3 6 2" xfId="9149" xr:uid="{00000000-0005-0000-0000-0000A91E0000}"/>
    <cellStyle name="Output 2 2 3 2 2 3 7" xfId="4731" xr:uid="{00000000-0005-0000-0000-0000AA1E0000}"/>
    <cellStyle name="Output 2 2 3 2 2 3 7 2" xfId="10561" xr:uid="{00000000-0005-0000-0000-0000AB1E0000}"/>
    <cellStyle name="Output 2 2 3 2 2 3 8" xfId="6226" xr:uid="{00000000-0005-0000-0000-0000AC1E0000}"/>
    <cellStyle name="Output 2 2 3 2 2 4" xfId="466" xr:uid="{00000000-0005-0000-0000-0000AD1E0000}"/>
    <cellStyle name="Output 2 2 3 2 2 4 2" xfId="1201" xr:uid="{00000000-0005-0000-0000-0000AE1E0000}"/>
    <cellStyle name="Output 2 2 3 2 2 4 2 2" xfId="2717" xr:uid="{00000000-0005-0000-0000-0000AF1E0000}"/>
    <cellStyle name="Output 2 2 3 2 2 4 2 2 2" xfId="8547" xr:uid="{00000000-0005-0000-0000-0000B01E0000}"/>
    <cellStyle name="Output 2 2 3 2 2 4 2 3" xfId="4140" xr:uid="{00000000-0005-0000-0000-0000B11E0000}"/>
    <cellStyle name="Output 2 2 3 2 2 4 2 3 2" xfId="9970" xr:uid="{00000000-0005-0000-0000-0000B21E0000}"/>
    <cellStyle name="Output 2 2 3 2 2 4 2 4" xfId="5536" xr:uid="{00000000-0005-0000-0000-0000B31E0000}"/>
    <cellStyle name="Output 2 2 3 2 2 4 2 4 2" xfId="11366" xr:uid="{00000000-0005-0000-0000-0000B41E0000}"/>
    <cellStyle name="Output 2 2 3 2 2 4 2 5" xfId="7031" xr:uid="{00000000-0005-0000-0000-0000B51E0000}"/>
    <cellStyle name="Output 2 2 3 2 2 4 3" xfId="1988" xr:uid="{00000000-0005-0000-0000-0000B61E0000}"/>
    <cellStyle name="Output 2 2 3 2 2 4 3 2" xfId="7818" xr:uid="{00000000-0005-0000-0000-0000B71E0000}"/>
    <cellStyle name="Output 2 2 3 2 2 4 4" xfId="3415" xr:uid="{00000000-0005-0000-0000-0000B81E0000}"/>
    <cellStyle name="Output 2 2 3 2 2 4 4 2" xfId="9245" xr:uid="{00000000-0005-0000-0000-0000B91E0000}"/>
    <cellStyle name="Output 2 2 3 2 2 4 5" xfId="4812" xr:uid="{00000000-0005-0000-0000-0000BA1E0000}"/>
    <cellStyle name="Output 2 2 3 2 2 4 5 2" xfId="10642" xr:uid="{00000000-0005-0000-0000-0000BB1E0000}"/>
    <cellStyle name="Output 2 2 3 2 2 4 6" xfId="6307" xr:uid="{00000000-0005-0000-0000-0000BC1E0000}"/>
    <cellStyle name="Output 2 2 3 2 2 5" xfId="710" xr:uid="{00000000-0005-0000-0000-0000BD1E0000}"/>
    <cellStyle name="Output 2 2 3 2 2 5 2" xfId="1441" xr:uid="{00000000-0005-0000-0000-0000BE1E0000}"/>
    <cellStyle name="Output 2 2 3 2 2 5 2 2" xfId="2957" xr:uid="{00000000-0005-0000-0000-0000BF1E0000}"/>
    <cellStyle name="Output 2 2 3 2 2 5 2 2 2" xfId="8787" xr:uid="{00000000-0005-0000-0000-0000C01E0000}"/>
    <cellStyle name="Output 2 2 3 2 2 5 2 3" xfId="4380" xr:uid="{00000000-0005-0000-0000-0000C11E0000}"/>
    <cellStyle name="Output 2 2 3 2 2 5 2 3 2" xfId="10210" xr:uid="{00000000-0005-0000-0000-0000C21E0000}"/>
    <cellStyle name="Output 2 2 3 2 2 5 2 4" xfId="5776" xr:uid="{00000000-0005-0000-0000-0000C31E0000}"/>
    <cellStyle name="Output 2 2 3 2 2 5 2 4 2" xfId="11606" xr:uid="{00000000-0005-0000-0000-0000C41E0000}"/>
    <cellStyle name="Output 2 2 3 2 2 5 2 5" xfId="7271" xr:uid="{00000000-0005-0000-0000-0000C51E0000}"/>
    <cellStyle name="Output 2 2 3 2 2 5 3" xfId="2230" xr:uid="{00000000-0005-0000-0000-0000C61E0000}"/>
    <cellStyle name="Output 2 2 3 2 2 5 3 2" xfId="8060" xr:uid="{00000000-0005-0000-0000-0000C71E0000}"/>
    <cellStyle name="Output 2 2 3 2 2 5 4" xfId="3656" xr:uid="{00000000-0005-0000-0000-0000C81E0000}"/>
    <cellStyle name="Output 2 2 3 2 2 5 4 2" xfId="9486" xr:uid="{00000000-0005-0000-0000-0000C91E0000}"/>
    <cellStyle name="Output 2 2 3 2 2 5 5" xfId="5052" xr:uid="{00000000-0005-0000-0000-0000CA1E0000}"/>
    <cellStyle name="Output 2 2 3 2 2 5 5 2" xfId="10882" xr:uid="{00000000-0005-0000-0000-0000CB1E0000}"/>
    <cellStyle name="Output 2 2 3 2 2 5 6" xfId="6547" xr:uid="{00000000-0005-0000-0000-0000CC1E0000}"/>
    <cellStyle name="Output 2 2 3 2 2 6" xfId="954" xr:uid="{00000000-0005-0000-0000-0000CD1E0000}"/>
    <cellStyle name="Output 2 2 3 2 2 6 2" xfId="2474" xr:uid="{00000000-0005-0000-0000-0000CE1E0000}"/>
    <cellStyle name="Output 2 2 3 2 2 6 2 2" xfId="8304" xr:uid="{00000000-0005-0000-0000-0000CF1E0000}"/>
    <cellStyle name="Output 2 2 3 2 2 6 3" xfId="3900" xr:uid="{00000000-0005-0000-0000-0000D01E0000}"/>
    <cellStyle name="Output 2 2 3 2 2 6 3 2" xfId="9730" xr:uid="{00000000-0005-0000-0000-0000D11E0000}"/>
    <cellStyle name="Output 2 2 3 2 2 6 4" xfId="5296" xr:uid="{00000000-0005-0000-0000-0000D21E0000}"/>
    <cellStyle name="Output 2 2 3 2 2 6 4 2" xfId="11126" xr:uid="{00000000-0005-0000-0000-0000D31E0000}"/>
    <cellStyle name="Output 2 2 3 2 2 6 5" xfId="6791" xr:uid="{00000000-0005-0000-0000-0000D41E0000}"/>
    <cellStyle name="Output 2 2 3 2 2 7" xfId="1728" xr:uid="{00000000-0005-0000-0000-0000D51E0000}"/>
    <cellStyle name="Output 2 2 3 2 2 7 2" xfId="7558" xr:uid="{00000000-0005-0000-0000-0000D61E0000}"/>
    <cellStyle name="Output 2 2 3 2 2 8" xfId="3159" xr:uid="{00000000-0005-0000-0000-0000D71E0000}"/>
    <cellStyle name="Output 2 2 3 2 2 8 2" xfId="8989" xr:uid="{00000000-0005-0000-0000-0000D81E0000}"/>
    <cellStyle name="Output 2 2 3 2 2 9" xfId="4571" xr:uid="{00000000-0005-0000-0000-0000D91E0000}"/>
    <cellStyle name="Output 2 2 3 2 2 9 2" xfId="10401" xr:uid="{00000000-0005-0000-0000-0000DA1E0000}"/>
    <cellStyle name="Output 2 2 3 2 3" xfId="227" xr:uid="{00000000-0005-0000-0000-0000DB1E0000}"/>
    <cellStyle name="Output 2 2 3 2 3 2" xfId="506" xr:uid="{00000000-0005-0000-0000-0000DC1E0000}"/>
    <cellStyle name="Output 2 2 3 2 3 2 2" xfId="1241" xr:uid="{00000000-0005-0000-0000-0000DD1E0000}"/>
    <cellStyle name="Output 2 2 3 2 3 2 2 2" xfId="2757" xr:uid="{00000000-0005-0000-0000-0000DE1E0000}"/>
    <cellStyle name="Output 2 2 3 2 3 2 2 2 2" xfId="8587" xr:uid="{00000000-0005-0000-0000-0000DF1E0000}"/>
    <cellStyle name="Output 2 2 3 2 3 2 2 3" xfId="4180" xr:uid="{00000000-0005-0000-0000-0000E01E0000}"/>
    <cellStyle name="Output 2 2 3 2 3 2 2 3 2" xfId="10010" xr:uid="{00000000-0005-0000-0000-0000E11E0000}"/>
    <cellStyle name="Output 2 2 3 2 3 2 2 4" xfId="5576" xr:uid="{00000000-0005-0000-0000-0000E21E0000}"/>
    <cellStyle name="Output 2 2 3 2 3 2 2 4 2" xfId="11406" xr:uid="{00000000-0005-0000-0000-0000E31E0000}"/>
    <cellStyle name="Output 2 2 3 2 3 2 2 5" xfId="7071" xr:uid="{00000000-0005-0000-0000-0000E41E0000}"/>
    <cellStyle name="Output 2 2 3 2 3 2 3" xfId="2028" xr:uid="{00000000-0005-0000-0000-0000E51E0000}"/>
    <cellStyle name="Output 2 2 3 2 3 2 3 2" xfId="7858" xr:uid="{00000000-0005-0000-0000-0000E61E0000}"/>
    <cellStyle name="Output 2 2 3 2 3 2 4" xfId="3455" xr:uid="{00000000-0005-0000-0000-0000E71E0000}"/>
    <cellStyle name="Output 2 2 3 2 3 2 4 2" xfId="9285" xr:uid="{00000000-0005-0000-0000-0000E81E0000}"/>
    <cellStyle name="Output 2 2 3 2 3 2 5" xfId="4852" xr:uid="{00000000-0005-0000-0000-0000E91E0000}"/>
    <cellStyle name="Output 2 2 3 2 3 2 5 2" xfId="10682" xr:uid="{00000000-0005-0000-0000-0000EA1E0000}"/>
    <cellStyle name="Output 2 2 3 2 3 2 6" xfId="6347" xr:uid="{00000000-0005-0000-0000-0000EB1E0000}"/>
    <cellStyle name="Output 2 2 3 2 3 3" xfId="750" xr:uid="{00000000-0005-0000-0000-0000EC1E0000}"/>
    <cellStyle name="Output 2 2 3 2 3 3 2" xfId="1481" xr:uid="{00000000-0005-0000-0000-0000ED1E0000}"/>
    <cellStyle name="Output 2 2 3 2 3 3 2 2" xfId="2997" xr:uid="{00000000-0005-0000-0000-0000EE1E0000}"/>
    <cellStyle name="Output 2 2 3 2 3 3 2 2 2" xfId="8827" xr:uid="{00000000-0005-0000-0000-0000EF1E0000}"/>
    <cellStyle name="Output 2 2 3 2 3 3 2 3" xfId="4420" xr:uid="{00000000-0005-0000-0000-0000F01E0000}"/>
    <cellStyle name="Output 2 2 3 2 3 3 2 3 2" xfId="10250" xr:uid="{00000000-0005-0000-0000-0000F11E0000}"/>
    <cellStyle name="Output 2 2 3 2 3 3 2 4" xfId="5816" xr:uid="{00000000-0005-0000-0000-0000F21E0000}"/>
    <cellStyle name="Output 2 2 3 2 3 3 2 4 2" xfId="11646" xr:uid="{00000000-0005-0000-0000-0000F31E0000}"/>
    <cellStyle name="Output 2 2 3 2 3 3 2 5" xfId="7311" xr:uid="{00000000-0005-0000-0000-0000F41E0000}"/>
    <cellStyle name="Output 2 2 3 2 3 3 3" xfId="2270" xr:uid="{00000000-0005-0000-0000-0000F51E0000}"/>
    <cellStyle name="Output 2 2 3 2 3 3 3 2" xfId="8100" xr:uid="{00000000-0005-0000-0000-0000F61E0000}"/>
    <cellStyle name="Output 2 2 3 2 3 3 4" xfId="3696" xr:uid="{00000000-0005-0000-0000-0000F71E0000}"/>
    <cellStyle name="Output 2 2 3 2 3 3 4 2" xfId="9526" xr:uid="{00000000-0005-0000-0000-0000F81E0000}"/>
    <cellStyle name="Output 2 2 3 2 3 3 5" xfId="5092" xr:uid="{00000000-0005-0000-0000-0000F91E0000}"/>
    <cellStyle name="Output 2 2 3 2 3 3 5 2" xfId="10922" xr:uid="{00000000-0005-0000-0000-0000FA1E0000}"/>
    <cellStyle name="Output 2 2 3 2 3 3 6" xfId="6587" xr:uid="{00000000-0005-0000-0000-0000FB1E0000}"/>
    <cellStyle name="Output 2 2 3 2 3 4" xfId="994" xr:uid="{00000000-0005-0000-0000-0000FC1E0000}"/>
    <cellStyle name="Output 2 2 3 2 3 4 2" xfId="2514" xr:uid="{00000000-0005-0000-0000-0000FD1E0000}"/>
    <cellStyle name="Output 2 2 3 2 3 4 2 2" xfId="8344" xr:uid="{00000000-0005-0000-0000-0000FE1E0000}"/>
    <cellStyle name="Output 2 2 3 2 3 4 3" xfId="3940" xr:uid="{00000000-0005-0000-0000-0000FF1E0000}"/>
    <cellStyle name="Output 2 2 3 2 3 4 3 2" xfId="9770" xr:uid="{00000000-0005-0000-0000-0000001F0000}"/>
    <cellStyle name="Output 2 2 3 2 3 4 4" xfId="5336" xr:uid="{00000000-0005-0000-0000-0000011F0000}"/>
    <cellStyle name="Output 2 2 3 2 3 4 4 2" xfId="11166" xr:uid="{00000000-0005-0000-0000-0000021F0000}"/>
    <cellStyle name="Output 2 2 3 2 3 4 5" xfId="6831" xr:uid="{00000000-0005-0000-0000-0000031F0000}"/>
    <cellStyle name="Output 2 2 3 2 3 5" xfId="1768" xr:uid="{00000000-0005-0000-0000-0000041F0000}"/>
    <cellStyle name="Output 2 2 3 2 3 5 2" xfId="7598" xr:uid="{00000000-0005-0000-0000-0000051F0000}"/>
    <cellStyle name="Output 2 2 3 2 3 6" xfId="3199" xr:uid="{00000000-0005-0000-0000-0000061F0000}"/>
    <cellStyle name="Output 2 2 3 2 3 6 2" xfId="9029" xr:uid="{00000000-0005-0000-0000-0000071F0000}"/>
    <cellStyle name="Output 2 2 3 2 3 7" xfId="4611" xr:uid="{00000000-0005-0000-0000-0000081F0000}"/>
    <cellStyle name="Output 2 2 3 2 3 7 2" xfId="10441" xr:uid="{00000000-0005-0000-0000-0000091F0000}"/>
    <cellStyle name="Output 2 2 3 2 3 8" xfId="6106" xr:uid="{00000000-0005-0000-0000-00000A1F0000}"/>
    <cellStyle name="Output 2 2 3 2 4" xfId="307" xr:uid="{00000000-0005-0000-0000-00000B1F0000}"/>
    <cellStyle name="Output 2 2 3 2 4 2" xfId="586" xr:uid="{00000000-0005-0000-0000-00000C1F0000}"/>
    <cellStyle name="Output 2 2 3 2 4 2 2" xfId="1321" xr:uid="{00000000-0005-0000-0000-00000D1F0000}"/>
    <cellStyle name="Output 2 2 3 2 4 2 2 2" xfId="2837" xr:uid="{00000000-0005-0000-0000-00000E1F0000}"/>
    <cellStyle name="Output 2 2 3 2 4 2 2 2 2" xfId="8667" xr:uid="{00000000-0005-0000-0000-00000F1F0000}"/>
    <cellStyle name="Output 2 2 3 2 4 2 2 3" xfId="4260" xr:uid="{00000000-0005-0000-0000-0000101F0000}"/>
    <cellStyle name="Output 2 2 3 2 4 2 2 3 2" xfId="10090" xr:uid="{00000000-0005-0000-0000-0000111F0000}"/>
    <cellStyle name="Output 2 2 3 2 4 2 2 4" xfId="5656" xr:uid="{00000000-0005-0000-0000-0000121F0000}"/>
    <cellStyle name="Output 2 2 3 2 4 2 2 4 2" xfId="11486" xr:uid="{00000000-0005-0000-0000-0000131F0000}"/>
    <cellStyle name="Output 2 2 3 2 4 2 2 5" xfId="7151" xr:uid="{00000000-0005-0000-0000-0000141F0000}"/>
    <cellStyle name="Output 2 2 3 2 4 2 3" xfId="2108" xr:uid="{00000000-0005-0000-0000-0000151F0000}"/>
    <cellStyle name="Output 2 2 3 2 4 2 3 2" xfId="7938" xr:uid="{00000000-0005-0000-0000-0000161F0000}"/>
    <cellStyle name="Output 2 2 3 2 4 2 4" xfId="3535" xr:uid="{00000000-0005-0000-0000-0000171F0000}"/>
    <cellStyle name="Output 2 2 3 2 4 2 4 2" xfId="9365" xr:uid="{00000000-0005-0000-0000-0000181F0000}"/>
    <cellStyle name="Output 2 2 3 2 4 2 5" xfId="4932" xr:uid="{00000000-0005-0000-0000-0000191F0000}"/>
    <cellStyle name="Output 2 2 3 2 4 2 5 2" xfId="10762" xr:uid="{00000000-0005-0000-0000-00001A1F0000}"/>
    <cellStyle name="Output 2 2 3 2 4 2 6" xfId="6427" xr:uid="{00000000-0005-0000-0000-00001B1F0000}"/>
    <cellStyle name="Output 2 2 3 2 4 3" xfId="830" xr:uid="{00000000-0005-0000-0000-00001C1F0000}"/>
    <cellStyle name="Output 2 2 3 2 4 3 2" xfId="1561" xr:uid="{00000000-0005-0000-0000-00001D1F0000}"/>
    <cellStyle name="Output 2 2 3 2 4 3 2 2" xfId="3077" xr:uid="{00000000-0005-0000-0000-00001E1F0000}"/>
    <cellStyle name="Output 2 2 3 2 4 3 2 2 2" xfId="8907" xr:uid="{00000000-0005-0000-0000-00001F1F0000}"/>
    <cellStyle name="Output 2 2 3 2 4 3 2 3" xfId="4500" xr:uid="{00000000-0005-0000-0000-0000201F0000}"/>
    <cellStyle name="Output 2 2 3 2 4 3 2 3 2" xfId="10330" xr:uid="{00000000-0005-0000-0000-0000211F0000}"/>
    <cellStyle name="Output 2 2 3 2 4 3 2 4" xfId="5896" xr:uid="{00000000-0005-0000-0000-0000221F0000}"/>
    <cellStyle name="Output 2 2 3 2 4 3 2 4 2" xfId="11726" xr:uid="{00000000-0005-0000-0000-0000231F0000}"/>
    <cellStyle name="Output 2 2 3 2 4 3 2 5" xfId="7391" xr:uid="{00000000-0005-0000-0000-0000241F0000}"/>
    <cellStyle name="Output 2 2 3 2 4 3 3" xfId="2350" xr:uid="{00000000-0005-0000-0000-0000251F0000}"/>
    <cellStyle name="Output 2 2 3 2 4 3 3 2" xfId="8180" xr:uid="{00000000-0005-0000-0000-0000261F0000}"/>
    <cellStyle name="Output 2 2 3 2 4 3 4" xfId="3776" xr:uid="{00000000-0005-0000-0000-0000271F0000}"/>
    <cellStyle name="Output 2 2 3 2 4 3 4 2" xfId="9606" xr:uid="{00000000-0005-0000-0000-0000281F0000}"/>
    <cellStyle name="Output 2 2 3 2 4 3 5" xfId="5172" xr:uid="{00000000-0005-0000-0000-0000291F0000}"/>
    <cellStyle name="Output 2 2 3 2 4 3 5 2" xfId="11002" xr:uid="{00000000-0005-0000-0000-00002A1F0000}"/>
    <cellStyle name="Output 2 2 3 2 4 3 6" xfId="6667" xr:uid="{00000000-0005-0000-0000-00002B1F0000}"/>
    <cellStyle name="Output 2 2 3 2 4 4" xfId="1074" xr:uid="{00000000-0005-0000-0000-00002C1F0000}"/>
    <cellStyle name="Output 2 2 3 2 4 4 2" xfId="2594" xr:uid="{00000000-0005-0000-0000-00002D1F0000}"/>
    <cellStyle name="Output 2 2 3 2 4 4 2 2" xfId="8424" xr:uid="{00000000-0005-0000-0000-00002E1F0000}"/>
    <cellStyle name="Output 2 2 3 2 4 4 3" xfId="4020" xr:uid="{00000000-0005-0000-0000-00002F1F0000}"/>
    <cellStyle name="Output 2 2 3 2 4 4 3 2" xfId="9850" xr:uid="{00000000-0005-0000-0000-0000301F0000}"/>
    <cellStyle name="Output 2 2 3 2 4 4 4" xfId="5416" xr:uid="{00000000-0005-0000-0000-0000311F0000}"/>
    <cellStyle name="Output 2 2 3 2 4 4 4 2" xfId="11246" xr:uid="{00000000-0005-0000-0000-0000321F0000}"/>
    <cellStyle name="Output 2 2 3 2 4 4 5" xfId="6911" xr:uid="{00000000-0005-0000-0000-0000331F0000}"/>
    <cellStyle name="Output 2 2 3 2 4 5" xfId="1848" xr:uid="{00000000-0005-0000-0000-0000341F0000}"/>
    <cellStyle name="Output 2 2 3 2 4 5 2" xfId="7678" xr:uid="{00000000-0005-0000-0000-0000351F0000}"/>
    <cellStyle name="Output 2 2 3 2 4 6" xfId="3279" xr:uid="{00000000-0005-0000-0000-0000361F0000}"/>
    <cellStyle name="Output 2 2 3 2 4 6 2" xfId="9109" xr:uid="{00000000-0005-0000-0000-0000371F0000}"/>
    <cellStyle name="Output 2 2 3 2 4 7" xfId="4691" xr:uid="{00000000-0005-0000-0000-0000381F0000}"/>
    <cellStyle name="Output 2 2 3 2 4 7 2" xfId="10521" xr:uid="{00000000-0005-0000-0000-0000391F0000}"/>
    <cellStyle name="Output 2 2 3 2 4 8" xfId="6186" xr:uid="{00000000-0005-0000-0000-00003A1F0000}"/>
    <cellStyle name="Output 2 2 3 2 5" xfId="426" xr:uid="{00000000-0005-0000-0000-00003B1F0000}"/>
    <cellStyle name="Output 2 2 3 2 5 2" xfId="1161" xr:uid="{00000000-0005-0000-0000-00003C1F0000}"/>
    <cellStyle name="Output 2 2 3 2 5 2 2" xfId="2677" xr:uid="{00000000-0005-0000-0000-00003D1F0000}"/>
    <cellStyle name="Output 2 2 3 2 5 2 2 2" xfId="8507" xr:uid="{00000000-0005-0000-0000-00003E1F0000}"/>
    <cellStyle name="Output 2 2 3 2 5 2 3" xfId="4100" xr:uid="{00000000-0005-0000-0000-00003F1F0000}"/>
    <cellStyle name="Output 2 2 3 2 5 2 3 2" xfId="9930" xr:uid="{00000000-0005-0000-0000-0000401F0000}"/>
    <cellStyle name="Output 2 2 3 2 5 2 4" xfId="5496" xr:uid="{00000000-0005-0000-0000-0000411F0000}"/>
    <cellStyle name="Output 2 2 3 2 5 2 4 2" xfId="11326" xr:uid="{00000000-0005-0000-0000-0000421F0000}"/>
    <cellStyle name="Output 2 2 3 2 5 2 5" xfId="6991" xr:uid="{00000000-0005-0000-0000-0000431F0000}"/>
    <cellStyle name="Output 2 2 3 2 5 3" xfId="1948" xr:uid="{00000000-0005-0000-0000-0000441F0000}"/>
    <cellStyle name="Output 2 2 3 2 5 3 2" xfId="7778" xr:uid="{00000000-0005-0000-0000-0000451F0000}"/>
    <cellStyle name="Output 2 2 3 2 5 4" xfId="3375" xr:uid="{00000000-0005-0000-0000-0000461F0000}"/>
    <cellStyle name="Output 2 2 3 2 5 4 2" xfId="9205" xr:uid="{00000000-0005-0000-0000-0000471F0000}"/>
    <cellStyle name="Output 2 2 3 2 5 5" xfId="4772" xr:uid="{00000000-0005-0000-0000-0000481F0000}"/>
    <cellStyle name="Output 2 2 3 2 5 5 2" xfId="10602" xr:uid="{00000000-0005-0000-0000-0000491F0000}"/>
    <cellStyle name="Output 2 2 3 2 5 6" xfId="6267" xr:uid="{00000000-0005-0000-0000-00004A1F0000}"/>
    <cellStyle name="Output 2 2 3 2 6" xfId="670" xr:uid="{00000000-0005-0000-0000-00004B1F0000}"/>
    <cellStyle name="Output 2 2 3 2 6 2" xfId="1401" xr:uid="{00000000-0005-0000-0000-00004C1F0000}"/>
    <cellStyle name="Output 2 2 3 2 6 2 2" xfId="2917" xr:uid="{00000000-0005-0000-0000-00004D1F0000}"/>
    <cellStyle name="Output 2 2 3 2 6 2 2 2" xfId="8747" xr:uid="{00000000-0005-0000-0000-00004E1F0000}"/>
    <cellStyle name="Output 2 2 3 2 6 2 3" xfId="4340" xr:uid="{00000000-0005-0000-0000-00004F1F0000}"/>
    <cellStyle name="Output 2 2 3 2 6 2 3 2" xfId="10170" xr:uid="{00000000-0005-0000-0000-0000501F0000}"/>
    <cellStyle name="Output 2 2 3 2 6 2 4" xfId="5736" xr:uid="{00000000-0005-0000-0000-0000511F0000}"/>
    <cellStyle name="Output 2 2 3 2 6 2 4 2" xfId="11566" xr:uid="{00000000-0005-0000-0000-0000521F0000}"/>
    <cellStyle name="Output 2 2 3 2 6 2 5" xfId="7231" xr:uid="{00000000-0005-0000-0000-0000531F0000}"/>
    <cellStyle name="Output 2 2 3 2 6 3" xfId="2190" xr:uid="{00000000-0005-0000-0000-0000541F0000}"/>
    <cellStyle name="Output 2 2 3 2 6 3 2" xfId="8020" xr:uid="{00000000-0005-0000-0000-0000551F0000}"/>
    <cellStyle name="Output 2 2 3 2 6 4" xfId="3616" xr:uid="{00000000-0005-0000-0000-0000561F0000}"/>
    <cellStyle name="Output 2 2 3 2 6 4 2" xfId="9446" xr:uid="{00000000-0005-0000-0000-0000571F0000}"/>
    <cellStyle name="Output 2 2 3 2 6 5" xfId="5012" xr:uid="{00000000-0005-0000-0000-0000581F0000}"/>
    <cellStyle name="Output 2 2 3 2 6 5 2" xfId="10842" xr:uid="{00000000-0005-0000-0000-0000591F0000}"/>
    <cellStyle name="Output 2 2 3 2 6 6" xfId="6507" xr:uid="{00000000-0005-0000-0000-00005A1F0000}"/>
    <cellStyle name="Output 2 2 3 2 7" xfId="914" xr:uid="{00000000-0005-0000-0000-00005B1F0000}"/>
    <cellStyle name="Output 2 2 3 2 7 2" xfId="2434" xr:uid="{00000000-0005-0000-0000-00005C1F0000}"/>
    <cellStyle name="Output 2 2 3 2 7 2 2" xfId="8264" xr:uid="{00000000-0005-0000-0000-00005D1F0000}"/>
    <cellStyle name="Output 2 2 3 2 7 3" xfId="3860" xr:uid="{00000000-0005-0000-0000-00005E1F0000}"/>
    <cellStyle name="Output 2 2 3 2 7 3 2" xfId="9690" xr:uid="{00000000-0005-0000-0000-00005F1F0000}"/>
    <cellStyle name="Output 2 2 3 2 7 4" xfId="5256" xr:uid="{00000000-0005-0000-0000-0000601F0000}"/>
    <cellStyle name="Output 2 2 3 2 7 4 2" xfId="11086" xr:uid="{00000000-0005-0000-0000-0000611F0000}"/>
    <cellStyle name="Output 2 2 3 2 7 5" xfId="6751" xr:uid="{00000000-0005-0000-0000-0000621F0000}"/>
    <cellStyle name="Output 2 2 3 2 8" xfId="1688" xr:uid="{00000000-0005-0000-0000-0000631F0000}"/>
    <cellStyle name="Output 2 2 3 2 8 2" xfId="7518" xr:uid="{00000000-0005-0000-0000-0000641F0000}"/>
    <cellStyle name="Output 2 2 3 2 9" xfId="1643" xr:uid="{00000000-0005-0000-0000-0000651F0000}"/>
    <cellStyle name="Output 2 2 3 2 9 2" xfId="7473" xr:uid="{00000000-0005-0000-0000-0000661F0000}"/>
    <cellStyle name="Output 2 2 3 3" xfId="166" xr:uid="{00000000-0005-0000-0000-0000671F0000}"/>
    <cellStyle name="Output 2 2 3 3 10" xfId="6046" xr:uid="{00000000-0005-0000-0000-0000681F0000}"/>
    <cellStyle name="Output 2 2 3 3 2" xfId="247" xr:uid="{00000000-0005-0000-0000-0000691F0000}"/>
    <cellStyle name="Output 2 2 3 3 2 2" xfId="526" xr:uid="{00000000-0005-0000-0000-00006A1F0000}"/>
    <cellStyle name="Output 2 2 3 3 2 2 2" xfId="1261" xr:uid="{00000000-0005-0000-0000-00006B1F0000}"/>
    <cellStyle name="Output 2 2 3 3 2 2 2 2" xfId="2777" xr:uid="{00000000-0005-0000-0000-00006C1F0000}"/>
    <cellStyle name="Output 2 2 3 3 2 2 2 2 2" xfId="8607" xr:uid="{00000000-0005-0000-0000-00006D1F0000}"/>
    <cellStyle name="Output 2 2 3 3 2 2 2 3" xfId="4200" xr:uid="{00000000-0005-0000-0000-00006E1F0000}"/>
    <cellStyle name="Output 2 2 3 3 2 2 2 3 2" xfId="10030" xr:uid="{00000000-0005-0000-0000-00006F1F0000}"/>
    <cellStyle name="Output 2 2 3 3 2 2 2 4" xfId="5596" xr:uid="{00000000-0005-0000-0000-0000701F0000}"/>
    <cellStyle name="Output 2 2 3 3 2 2 2 4 2" xfId="11426" xr:uid="{00000000-0005-0000-0000-0000711F0000}"/>
    <cellStyle name="Output 2 2 3 3 2 2 2 5" xfId="7091" xr:uid="{00000000-0005-0000-0000-0000721F0000}"/>
    <cellStyle name="Output 2 2 3 3 2 2 3" xfId="2048" xr:uid="{00000000-0005-0000-0000-0000731F0000}"/>
    <cellStyle name="Output 2 2 3 3 2 2 3 2" xfId="7878" xr:uid="{00000000-0005-0000-0000-0000741F0000}"/>
    <cellStyle name="Output 2 2 3 3 2 2 4" xfId="3475" xr:uid="{00000000-0005-0000-0000-0000751F0000}"/>
    <cellStyle name="Output 2 2 3 3 2 2 4 2" xfId="9305" xr:uid="{00000000-0005-0000-0000-0000761F0000}"/>
    <cellStyle name="Output 2 2 3 3 2 2 5" xfId="4872" xr:uid="{00000000-0005-0000-0000-0000771F0000}"/>
    <cellStyle name="Output 2 2 3 3 2 2 5 2" xfId="10702" xr:uid="{00000000-0005-0000-0000-0000781F0000}"/>
    <cellStyle name="Output 2 2 3 3 2 2 6" xfId="6367" xr:uid="{00000000-0005-0000-0000-0000791F0000}"/>
    <cellStyle name="Output 2 2 3 3 2 3" xfId="770" xr:uid="{00000000-0005-0000-0000-00007A1F0000}"/>
    <cellStyle name="Output 2 2 3 3 2 3 2" xfId="1501" xr:uid="{00000000-0005-0000-0000-00007B1F0000}"/>
    <cellStyle name="Output 2 2 3 3 2 3 2 2" xfId="3017" xr:uid="{00000000-0005-0000-0000-00007C1F0000}"/>
    <cellStyle name="Output 2 2 3 3 2 3 2 2 2" xfId="8847" xr:uid="{00000000-0005-0000-0000-00007D1F0000}"/>
    <cellStyle name="Output 2 2 3 3 2 3 2 3" xfId="4440" xr:uid="{00000000-0005-0000-0000-00007E1F0000}"/>
    <cellStyle name="Output 2 2 3 3 2 3 2 3 2" xfId="10270" xr:uid="{00000000-0005-0000-0000-00007F1F0000}"/>
    <cellStyle name="Output 2 2 3 3 2 3 2 4" xfId="5836" xr:uid="{00000000-0005-0000-0000-0000801F0000}"/>
    <cellStyle name="Output 2 2 3 3 2 3 2 4 2" xfId="11666" xr:uid="{00000000-0005-0000-0000-0000811F0000}"/>
    <cellStyle name="Output 2 2 3 3 2 3 2 5" xfId="7331" xr:uid="{00000000-0005-0000-0000-0000821F0000}"/>
    <cellStyle name="Output 2 2 3 3 2 3 3" xfId="2290" xr:uid="{00000000-0005-0000-0000-0000831F0000}"/>
    <cellStyle name="Output 2 2 3 3 2 3 3 2" xfId="8120" xr:uid="{00000000-0005-0000-0000-0000841F0000}"/>
    <cellStyle name="Output 2 2 3 3 2 3 4" xfId="3716" xr:uid="{00000000-0005-0000-0000-0000851F0000}"/>
    <cellStyle name="Output 2 2 3 3 2 3 4 2" xfId="9546" xr:uid="{00000000-0005-0000-0000-0000861F0000}"/>
    <cellStyle name="Output 2 2 3 3 2 3 5" xfId="5112" xr:uid="{00000000-0005-0000-0000-0000871F0000}"/>
    <cellStyle name="Output 2 2 3 3 2 3 5 2" xfId="10942" xr:uid="{00000000-0005-0000-0000-0000881F0000}"/>
    <cellStyle name="Output 2 2 3 3 2 3 6" xfId="6607" xr:uid="{00000000-0005-0000-0000-0000891F0000}"/>
    <cellStyle name="Output 2 2 3 3 2 4" xfId="1014" xr:uid="{00000000-0005-0000-0000-00008A1F0000}"/>
    <cellStyle name="Output 2 2 3 3 2 4 2" xfId="2534" xr:uid="{00000000-0005-0000-0000-00008B1F0000}"/>
    <cellStyle name="Output 2 2 3 3 2 4 2 2" xfId="8364" xr:uid="{00000000-0005-0000-0000-00008C1F0000}"/>
    <cellStyle name="Output 2 2 3 3 2 4 3" xfId="3960" xr:uid="{00000000-0005-0000-0000-00008D1F0000}"/>
    <cellStyle name="Output 2 2 3 3 2 4 3 2" xfId="9790" xr:uid="{00000000-0005-0000-0000-00008E1F0000}"/>
    <cellStyle name="Output 2 2 3 3 2 4 4" xfId="5356" xr:uid="{00000000-0005-0000-0000-00008F1F0000}"/>
    <cellStyle name="Output 2 2 3 3 2 4 4 2" xfId="11186" xr:uid="{00000000-0005-0000-0000-0000901F0000}"/>
    <cellStyle name="Output 2 2 3 3 2 4 5" xfId="6851" xr:uid="{00000000-0005-0000-0000-0000911F0000}"/>
    <cellStyle name="Output 2 2 3 3 2 5" xfId="1788" xr:uid="{00000000-0005-0000-0000-0000921F0000}"/>
    <cellStyle name="Output 2 2 3 3 2 5 2" xfId="7618" xr:uid="{00000000-0005-0000-0000-0000931F0000}"/>
    <cellStyle name="Output 2 2 3 3 2 6" xfId="3219" xr:uid="{00000000-0005-0000-0000-0000941F0000}"/>
    <cellStyle name="Output 2 2 3 3 2 6 2" xfId="9049" xr:uid="{00000000-0005-0000-0000-0000951F0000}"/>
    <cellStyle name="Output 2 2 3 3 2 7" xfId="4631" xr:uid="{00000000-0005-0000-0000-0000961F0000}"/>
    <cellStyle name="Output 2 2 3 3 2 7 2" xfId="10461" xr:uid="{00000000-0005-0000-0000-0000971F0000}"/>
    <cellStyle name="Output 2 2 3 3 2 8" xfId="6126" xr:uid="{00000000-0005-0000-0000-0000981F0000}"/>
    <cellStyle name="Output 2 2 3 3 3" xfId="327" xr:uid="{00000000-0005-0000-0000-0000991F0000}"/>
    <cellStyle name="Output 2 2 3 3 3 2" xfId="606" xr:uid="{00000000-0005-0000-0000-00009A1F0000}"/>
    <cellStyle name="Output 2 2 3 3 3 2 2" xfId="1341" xr:uid="{00000000-0005-0000-0000-00009B1F0000}"/>
    <cellStyle name="Output 2 2 3 3 3 2 2 2" xfId="2857" xr:uid="{00000000-0005-0000-0000-00009C1F0000}"/>
    <cellStyle name="Output 2 2 3 3 3 2 2 2 2" xfId="8687" xr:uid="{00000000-0005-0000-0000-00009D1F0000}"/>
    <cellStyle name="Output 2 2 3 3 3 2 2 3" xfId="4280" xr:uid="{00000000-0005-0000-0000-00009E1F0000}"/>
    <cellStyle name="Output 2 2 3 3 3 2 2 3 2" xfId="10110" xr:uid="{00000000-0005-0000-0000-00009F1F0000}"/>
    <cellStyle name="Output 2 2 3 3 3 2 2 4" xfId="5676" xr:uid="{00000000-0005-0000-0000-0000A01F0000}"/>
    <cellStyle name="Output 2 2 3 3 3 2 2 4 2" xfId="11506" xr:uid="{00000000-0005-0000-0000-0000A11F0000}"/>
    <cellStyle name="Output 2 2 3 3 3 2 2 5" xfId="7171" xr:uid="{00000000-0005-0000-0000-0000A21F0000}"/>
    <cellStyle name="Output 2 2 3 3 3 2 3" xfId="2128" xr:uid="{00000000-0005-0000-0000-0000A31F0000}"/>
    <cellStyle name="Output 2 2 3 3 3 2 3 2" xfId="7958" xr:uid="{00000000-0005-0000-0000-0000A41F0000}"/>
    <cellStyle name="Output 2 2 3 3 3 2 4" xfId="3555" xr:uid="{00000000-0005-0000-0000-0000A51F0000}"/>
    <cellStyle name="Output 2 2 3 3 3 2 4 2" xfId="9385" xr:uid="{00000000-0005-0000-0000-0000A61F0000}"/>
    <cellStyle name="Output 2 2 3 3 3 2 5" xfId="4952" xr:uid="{00000000-0005-0000-0000-0000A71F0000}"/>
    <cellStyle name="Output 2 2 3 3 3 2 5 2" xfId="10782" xr:uid="{00000000-0005-0000-0000-0000A81F0000}"/>
    <cellStyle name="Output 2 2 3 3 3 2 6" xfId="6447" xr:uid="{00000000-0005-0000-0000-0000A91F0000}"/>
    <cellStyle name="Output 2 2 3 3 3 3" xfId="850" xr:uid="{00000000-0005-0000-0000-0000AA1F0000}"/>
    <cellStyle name="Output 2 2 3 3 3 3 2" xfId="1581" xr:uid="{00000000-0005-0000-0000-0000AB1F0000}"/>
    <cellStyle name="Output 2 2 3 3 3 3 2 2" xfId="3097" xr:uid="{00000000-0005-0000-0000-0000AC1F0000}"/>
    <cellStyle name="Output 2 2 3 3 3 3 2 2 2" xfId="8927" xr:uid="{00000000-0005-0000-0000-0000AD1F0000}"/>
    <cellStyle name="Output 2 2 3 3 3 3 2 3" xfId="4520" xr:uid="{00000000-0005-0000-0000-0000AE1F0000}"/>
    <cellStyle name="Output 2 2 3 3 3 3 2 3 2" xfId="10350" xr:uid="{00000000-0005-0000-0000-0000AF1F0000}"/>
    <cellStyle name="Output 2 2 3 3 3 3 2 4" xfId="5916" xr:uid="{00000000-0005-0000-0000-0000B01F0000}"/>
    <cellStyle name="Output 2 2 3 3 3 3 2 4 2" xfId="11746" xr:uid="{00000000-0005-0000-0000-0000B11F0000}"/>
    <cellStyle name="Output 2 2 3 3 3 3 2 5" xfId="7411" xr:uid="{00000000-0005-0000-0000-0000B21F0000}"/>
    <cellStyle name="Output 2 2 3 3 3 3 3" xfId="2370" xr:uid="{00000000-0005-0000-0000-0000B31F0000}"/>
    <cellStyle name="Output 2 2 3 3 3 3 3 2" xfId="8200" xr:uid="{00000000-0005-0000-0000-0000B41F0000}"/>
    <cellStyle name="Output 2 2 3 3 3 3 4" xfId="3796" xr:uid="{00000000-0005-0000-0000-0000B51F0000}"/>
    <cellStyle name="Output 2 2 3 3 3 3 4 2" xfId="9626" xr:uid="{00000000-0005-0000-0000-0000B61F0000}"/>
    <cellStyle name="Output 2 2 3 3 3 3 5" xfId="5192" xr:uid="{00000000-0005-0000-0000-0000B71F0000}"/>
    <cellStyle name="Output 2 2 3 3 3 3 5 2" xfId="11022" xr:uid="{00000000-0005-0000-0000-0000B81F0000}"/>
    <cellStyle name="Output 2 2 3 3 3 3 6" xfId="6687" xr:uid="{00000000-0005-0000-0000-0000B91F0000}"/>
    <cellStyle name="Output 2 2 3 3 3 4" xfId="1094" xr:uid="{00000000-0005-0000-0000-0000BA1F0000}"/>
    <cellStyle name="Output 2 2 3 3 3 4 2" xfId="2614" xr:uid="{00000000-0005-0000-0000-0000BB1F0000}"/>
    <cellStyle name="Output 2 2 3 3 3 4 2 2" xfId="8444" xr:uid="{00000000-0005-0000-0000-0000BC1F0000}"/>
    <cellStyle name="Output 2 2 3 3 3 4 3" xfId="4040" xr:uid="{00000000-0005-0000-0000-0000BD1F0000}"/>
    <cellStyle name="Output 2 2 3 3 3 4 3 2" xfId="9870" xr:uid="{00000000-0005-0000-0000-0000BE1F0000}"/>
    <cellStyle name="Output 2 2 3 3 3 4 4" xfId="5436" xr:uid="{00000000-0005-0000-0000-0000BF1F0000}"/>
    <cellStyle name="Output 2 2 3 3 3 4 4 2" xfId="11266" xr:uid="{00000000-0005-0000-0000-0000C01F0000}"/>
    <cellStyle name="Output 2 2 3 3 3 4 5" xfId="6931" xr:uid="{00000000-0005-0000-0000-0000C11F0000}"/>
    <cellStyle name="Output 2 2 3 3 3 5" xfId="1868" xr:uid="{00000000-0005-0000-0000-0000C21F0000}"/>
    <cellStyle name="Output 2 2 3 3 3 5 2" xfId="7698" xr:uid="{00000000-0005-0000-0000-0000C31F0000}"/>
    <cellStyle name="Output 2 2 3 3 3 6" xfId="3299" xr:uid="{00000000-0005-0000-0000-0000C41F0000}"/>
    <cellStyle name="Output 2 2 3 3 3 6 2" xfId="9129" xr:uid="{00000000-0005-0000-0000-0000C51F0000}"/>
    <cellStyle name="Output 2 2 3 3 3 7" xfId="4711" xr:uid="{00000000-0005-0000-0000-0000C61F0000}"/>
    <cellStyle name="Output 2 2 3 3 3 7 2" xfId="10541" xr:uid="{00000000-0005-0000-0000-0000C71F0000}"/>
    <cellStyle name="Output 2 2 3 3 3 8" xfId="6206" xr:uid="{00000000-0005-0000-0000-0000C81F0000}"/>
    <cellStyle name="Output 2 2 3 3 4" xfId="446" xr:uid="{00000000-0005-0000-0000-0000C91F0000}"/>
    <cellStyle name="Output 2 2 3 3 4 2" xfId="1181" xr:uid="{00000000-0005-0000-0000-0000CA1F0000}"/>
    <cellStyle name="Output 2 2 3 3 4 2 2" xfId="2697" xr:uid="{00000000-0005-0000-0000-0000CB1F0000}"/>
    <cellStyle name="Output 2 2 3 3 4 2 2 2" xfId="8527" xr:uid="{00000000-0005-0000-0000-0000CC1F0000}"/>
    <cellStyle name="Output 2 2 3 3 4 2 3" xfId="4120" xr:uid="{00000000-0005-0000-0000-0000CD1F0000}"/>
    <cellStyle name="Output 2 2 3 3 4 2 3 2" xfId="9950" xr:uid="{00000000-0005-0000-0000-0000CE1F0000}"/>
    <cellStyle name="Output 2 2 3 3 4 2 4" xfId="5516" xr:uid="{00000000-0005-0000-0000-0000CF1F0000}"/>
    <cellStyle name="Output 2 2 3 3 4 2 4 2" xfId="11346" xr:uid="{00000000-0005-0000-0000-0000D01F0000}"/>
    <cellStyle name="Output 2 2 3 3 4 2 5" xfId="7011" xr:uid="{00000000-0005-0000-0000-0000D11F0000}"/>
    <cellStyle name="Output 2 2 3 3 4 3" xfId="1968" xr:uid="{00000000-0005-0000-0000-0000D21F0000}"/>
    <cellStyle name="Output 2 2 3 3 4 3 2" xfId="7798" xr:uid="{00000000-0005-0000-0000-0000D31F0000}"/>
    <cellStyle name="Output 2 2 3 3 4 4" xfId="3395" xr:uid="{00000000-0005-0000-0000-0000D41F0000}"/>
    <cellStyle name="Output 2 2 3 3 4 4 2" xfId="9225" xr:uid="{00000000-0005-0000-0000-0000D51F0000}"/>
    <cellStyle name="Output 2 2 3 3 4 5" xfId="4792" xr:uid="{00000000-0005-0000-0000-0000D61F0000}"/>
    <cellStyle name="Output 2 2 3 3 4 5 2" xfId="10622" xr:uid="{00000000-0005-0000-0000-0000D71F0000}"/>
    <cellStyle name="Output 2 2 3 3 4 6" xfId="6287" xr:uid="{00000000-0005-0000-0000-0000D81F0000}"/>
    <cellStyle name="Output 2 2 3 3 5" xfId="690" xr:uid="{00000000-0005-0000-0000-0000D91F0000}"/>
    <cellStyle name="Output 2 2 3 3 5 2" xfId="1421" xr:uid="{00000000-0005-0000-0000-0000DA1F0000}"/>
    <cellStyle name="Output 2 2 3 3 5 2 2" xfId="2937" xr:uid="{00000000-0005-0000-0000-0000DB1F0000}"/>
    <cellStyle name="Output 2 2 3 3 5 2 2 2" xfId="8767" xr:uid="{00000000-0005-0000-0000-0000DC1F0000}"/>
    <cellStyle name="Output 2 2 3 3 5 2 3" xfId="4360" xr:uid="{00000000-0005-0000-0000-0000DD1F0000}"/>
    <cellStyle name="Output 2 2 3 3 5 2 3 2" xfId="10190" xr:uid="{00000000-0005-0000-0000-0000DE1F0000}"/>
    <cellStyle name="Output 2 2 3 3 5 2 4" xfId="5756" xr:uid="{00000000-0005-0000-0000-0000DF1F0000}"/>
    <cellStyle name="Output 2 2 3 3 5 2 4 2" xfId="11586" xr:uid="{00000000-0005-0000-0000-0000E01F0000}"/>
    <cellStyle name="Output 2 2 3 3 5 2 5" xfId="7251" xr:uid="{00000000-0005-0000-0000-0000E11F0000}"/>
    <cellStyle name="Output 2 2 3 3 5 3" xfId="2210" xr:uid="{00000000-0005-0000-0000-0000E21F0000}"/>
    <cellStyle name="Output 2 2 3 3 5 3 2" xfId="8040" xr:uid="{00000000-0005-0000-0000-0000E31F0000}"/>
    <cellStyle name="Output 2 2 3 3 5 4" xfId="3636" xr:uid="{00000000-0005-0000-0000-0000E41F0000}"/>
    <cellStyle name="Output 2 2 3 3 5 4 2" xfId="9466" xr:uid="{00000000-0005-0000-0000-0000E51F0000}"/>
    <cellStyle name="Output 2 2 3 3 5 5" xfId="5032" xr:uid="{00000000-0005-0000-0000-0000E61F0000}"/>
    <cellStyle name="Output 2 2 3 3 5 5 2" xfId="10862" xr:uid="{00000000-0005-0000-0000-0000E71F0000}"/>
    <cellStyle name="Output 2 2 3 3 5 6" xfId="6527" xr:uid="{00000000-0005-0000-0000-0000E81F0000}"/>
    <cellStyle name="Output 2 2 3 3 6" xfId="934" xr:uid="{00000000-0005-0000-0000-0000E91F0000}"/>
    <cellStyle name="Output 2 2 3 3 6 2" xfId="2454" xr:uid="{00000000-0005-0000-0000-0000EA1F0000}"/>
    <cellStyle name="Output 2 2 3 3 6 2 2" xfId="8284" xr:uid="{00000000-0005-0000-0000-0000EB1F0000}"/>
    <cellStyle name="Output 2 2 3 3 6 3" xfId="3880" xr:uid="{00000000-0005-0000-0000-0000EC1F0000}"/>
    <cellStyle name="Output 2 2 3 3 6 3 2" xfId="9710" xr:uid="{00000000-0005-0000-0000-0000ED1F0000}"/>
    <cellStyle name="Output 2 2 3 3 6 4" xfId="5276" xr:uid="{00000000-0005-0000-0000-0000EE1F0000}"/>
    <cellStyle name="Output 2 2 3 3 6 4 2" xfId="11106" xr:uid="{00000000-0005-0000-0000-0000EF1F0000}"/>
    <cellStyle name="Output 2 2 3 3 6 5" xfId="6771" xr:uid="{00000000-0005-0000-0000-0000F01F0000}"/>
    <cellStyle name="Output 2 2 3 3 7" xfId="1708" xr:uid="{00000000-0005-0000-0000-0000F11F0000}"/>
    <cellStyle name="Output 2 2 3 3 7 2" xfId="7538" xr:uid="{00000000-0005-0000-0000-0000F21F0000}"/>
    <cellStyle name="Output 2 2 3 3 8" xfId="3139" xr:uid="{00000000-0005-0000-0000-0000F31F0000}"/>
    <cellStyle name="Output 2 2 3 3 8 2" xfId="8969" xr:uid="{00000000-0005-0000-0000-0000F41F0000}"/>
    <cellStyle name="Output 2 2 3 3 9" xfId="4551" xr:uid="{00000000-0005-0000-0000-0000F51F0000}"/>
    <cellStyle name="Output 2 2 3 3 9 2" xfId="10381" xr:uid="{00000000-0005-0000-0000-0000F61F0000}"/>
    <cellStyle name="Output 2 2 3 4" xfId="206" xr:uid="{00000000-0005-0000-0000-0000F71F0000}"/>
    <cellStyle name="Output 2 2 3 4 2" xfId="486" xr:uid="{00000000-0005-0000-0000-0000F81F0000}"/>
    <cellStyle name="Output 2 2 3 4 2 2" xfId="1221" xr:uid="{00000000-0005-0000-0000-0000F91F0000}"/>
    <cellStyle name="Output 2 2 3 4 2 2 2" xfId="2737" xr:uid="{00000000-0005-0000-0000-0000FA1F0000}"/>
    <cellStyle name="Output 2 2 3 4 2 2 2 2" xfId="8567" xr:uid="{00000000-0005-0000-0000-0000FB1F0000}"/>
    <cellStyle name="Output 2 2 3 4 2 2 3" xfId="4160" xr:uid="{00000000-0005-0000-0000-0000FC1F0000}"/>
    <cellStyle name="Output 2 2 3 4 2 2 3 2" xfId="9990" xr:uid="{00000000-0005-0000-0000-0000FD1F0000}"/>
    <cellStyle name="Output 2 2 3 4 2 2 4" xfId="5556" xr:uid="{00000000-0005-0000-0000-0000FE1F0000}"/>
    <cellStyle name="Output 2 2 3 4 2 2 4 2" xfId="11386" xr:uid="{00000000-0005-0000-0000-0000FF1F0000}"/>
    <cellStyle name="Output 2 2 3 4 2 2 5" xfId="7051" xr:uid="{00000000-0005-0000-0000-000000200000}"/>
    <cellStyle name="Output 2 2 3 4 2 3" xfId="2008" xr:uid="{00000000-0005-0000-0000-000001200000}"/>
    <cellStyle name="Output 2 2 3 4 2 3 2" xfId="7838" xr:uid="{00000000-0005-0000-0000-000002200000}"/>
    <cellStyle name="Output 2 2 3 4 2 4" xfId="3435" xr:uid="{00000000-0005-0000-0000-000003200000}"/>
    <cellStyle name="Output 2 2 3 4 2 4 2" xfId="9265" xr:uid="{00000000-0005-0000-0000-000004200000}"/>
    <cellStyle name="Output 2 2 3 4 2 5" xfId="4832" xr:uid="{00000000-0005-0000-0000-000005200000}"/>
    <cellStyle name="Output 2 2 3 4 2 5 2" xfId="10662" xr:uid="{00000000-0005-0000-0000-000006200000}"/>
    <cellStyle name="Output 2 2 3 4 2 6" xfId="6327" xr:uid="{00000000-0005-0000-0000-000007200000}"/>
    <cellStyle name="Output 2 2 3 4 3" xfId="730" xr:uid="{00000000-0005-0000-0000-000008200000}"/>
    <cellStyle name="Output 2 2 3 4 3 2" xfId="1461" xr:uid="{00000000-0005-0000-0000-000009200000}"/>
    <cellStyle name="Output 2 2 3 4 3 2 2" xfId="2977" xr:uid="{00000000-0005-0000-0000-00000A200000}"/>
    <cellStyle name="Output 2 2 3 4 3 2 2 2" xfId="8807" xr:uid="{00000000-0005-0000-0000-00000B200000}"/>
    <cellStyle name="Output 2 2 3 4 3 2 3" xfId="4400" xr:uid="{00000000-0005-0000-0000-00000C200000}"/>
    <cellStyle name="Output 2 2 3 4 3 2 3 2" xfId="10230" xr:uid="{00000000-0005-0000-0000-00000D200000}"/>
    <cellStyle name="Output 2 2 3 4 3 2 4" xfId="5796" xr:uid="{00000000-0005-0000-0000-00000E200000}"/>
    <cellStyle name="Output 2 2 3 4 3 2 4 2" xfId="11626" xr:uid="{00000000-0005-0000-0000-00000F200000}"/>
    <cellStyle name="Output 2 2 3 4 3 2 5" xfId="7291" xr:uid="{00000000-0005-0000-0000-000010200000}"/>
    <cellStyle name="Output 2 2 3 4 3 3" xfId="2250" xr:uid="{00000000-0005-0000-0000-000011200000}"/>
    <cellStyle name="Output 2 2 3 4 3 3 2" xfId="8080" xr:uid="{00000000-0005-0000-0000-000012200000}"/>
    <cellStyle name="Output 2 2 3 4 3 4" xfId="3676" xr:uid="{00000000-0005-0000-0000-000013200000}"/>
    <cellStyle name="Output 2 2 3 4 3 4 2" xfId="9506" xr:uid="{00000000-0005-0000-0000-000014200000}"/>
    <cellStyle name="Output 2 2 3 4 3 5" xfId="5072" xr:uid="{00000000-0005-0000-0000-000015200000}"/>
    <cellStyle name="Output 2 2 3 4 3 5 2" xfId="10902" xr:uid="{00000000-0005-0000-0000-000016200000}"/>
    <cellStyle name="Output 2 2 3 4 3 6" xfId="6567" xr:uid="{00000000-0005-0000-0000-000017200000}"/>
    <cellStyle name="Output 2 2 3 4 4" xfId="974" xr:uid="{00000000-0005-0000-0000-000018200000}"/>
    <cellStyle name="Output 2 2 3 4 4 2" xfId="2494" xr:uid="{00000000-0005-0000-0000-000019200000}"/>
    <cellStyle name="Output 2 2 3 4 4 2 2" xfId="8324" xr:uid="{00000000-0005-0000-0000-00001A200000}"/>
    <cellStyle name="Output 2 2 3 4 4 3" xfId="3920" xr:uid="{00000000-0005-0000-0000-00001B200000}"/>
    <cellStyle name="Output 2 2 3 4 4 3 2" xfId="9750" xr:uid="{00000000-0005-0000-0000-00001C200000}"/>
    <cellStyle name="Output 2 2 3 4 4 4" xfId="5316" xr:uid="{00000000-0005-0000-0000-00001D200000}"/>
    <cellStyle name="Output 2 2 3 4 4 4 2" xfId="11146" xr:uid="{00000000-0005-0000-0000-00001E200000}"/>
    <cellStyle name="Output 2 2 3 4 4 5" xfId="6811" xr:uid="{00000000-0005-0000-0000-00001F200000}"/>
    <cellStyle name="Output 2 2 3 4 5" xfId="1748" xr:uid="{00000000-0005-0000-0000-000020200000}"/>
    <cellStyle name="Output 2 2 3 4 5 2" xfId="7578" xr:uid="{00000000-0005-0000-0000-000021200000}"/>
    <cellStyle name="Output 2 2 3 4 6" xfId="3179" xr:uid="{00000000-0005-0000-0000-000022200000}"/>
    <cellStyle name="Output 2 2 3 4 6 2" xfId="9009" xr:uid="{00000000-0005-0000-0000-000023200000}"/>
    <cellStyle name="Output 2 2 3 4 7" xfId="4591" xr:uid="{00000000-0005-0000-0000-000024200000}"/>
    <cellStyle name="Output 2 2 3 4 7 2" xfId="10421" xr:uid="{00000000-0005-0000-0000-000025200000}"/>
    <cellStyle name="Output 2 2 3 4 8" xfId="6086" xr:uid="{00000000-0005-0000-0000-000026200000}"/>
    <cellStyle name="Output 2 2 3 5" xfId="287" xr:uid="{00000000-0005-0000-0000-000027200000}"/>
    <cellStyle name="Output 2 2 3 5 2" xfId="566" xr:uid="{00000000-0005-0000-0000-000028200000}"/>
    <cellStyle name="Output 2 2 3 5 2 2" xfId="1301" xr:uid="{00000000-0005-0000-0000-000029200000}"/>
    <cellStyle name="Output 2 2 3 5 2 2 2" xfId="2817" xr:uid="{00000000-0005-0000-0000-00002A200000}"/>
    <cellStyle name="Output 2 2 3 5 2 2 2 2" xfId="8647" xr:uid="{00000000-0005-0000-0000-00002B200000}"/>
    <cellStyle name="Output 2 2 3 5 2 2 3" xfId="4240" xr:uid="{00000000-0005-0000-0000-00002C200000}"/>
    <cellStyle name="Output 2 2 3 5 2 2 3 2" xfId="10070" xr:uid="{00000000-0005-0000-0000-00002D200000}"/>
    <cellStyle name="Output 2 2 3 5 2 2 4" xfId="5636" xr:uid="{00000000-0005-0000-0000-00002E200000}"/>
    <cellStyle name="Output 2 2 3 5 2 2 4 2" xfId="11466" xr:uid="{00000000-0005-0000-0000-00002F200000}"/>
    <cellStyle name="Output 2 2 3 5 2 2 5" xfId="7131" xr:uid="{00000000-0005-0000-0000-000030200000}"/>
    <cellStyle name="Output 2 2 3 5 2 3" xfId="2088" xr:uid="{00000000-0005-0000-0000-000031200000}"/>
    <cellStyle name="Output 2 2 3 5 2 3 2" xfId="7918" xr:uid="{00000000-0005-0000-0000-000032200000}"/>
    <cellStyle name="Output 2 2 3 5 2 4" xfId="3515" xr:uid="{00000000-0005-0000-0000-000033200000}"/>
    <cellStyle name="Output 2 2 3 5 2 4 2" xfId="9345" xr:uid="{00000000-0005-0000-0000-000034200000}"/>
    <cellStyle name="Output 2 2 3 5 2 5" xfId="4912" xr:uid="{00000000-0005-0000-0000-000035200000}"/>
    <cellStyle name="Output 2 2 3 5 2 5 2" xfId="10742" xr:uid="{00000000-0005-0000-0000-000036200000}"/>
    <cellStyle name="Output 2 2 3 5 2 6" xfId="6407" xr:uid="{00000000-0005-0000-0000-000037200000}"/>
    <cellStyle name="Output 2 2 3 5 3" xfId="810" xr:uid="{00000000-0005-0000-0000-000038200000}"/>
    <cellStyle name="Output 2 2 3 5 3 2" xfId="1541" xr:uid="{00000000-0005-0000-0000-000039200000}"/>
    <cellStyle name="Output 2 2 3 5 3 2 2" xfId="3057" xr:uid="{00000000-0005-0000-0000-00003A200000}"/>
    <cellStyle name="Output 2 2 3 5 3 2 2 2" xfId="8887" xr:uid="{00000000-0005-0000-0000-00003B200000}"/>
    <cellStyle name="Output 2 2 3 5 3 2 3" xfId="4480" xr:uid="{00000000-0005-0000-0000-00003C200000}"/>
    <cellStyle name="Output 2 2 3 5 3 2 3 2" xfId="10310" xr:uid="{00000000-0005-0000-0000-00003D200000}"/>
    <cellStyle name="Output 2 2 3 5 3 2 4" xfId="5876" xr:uid="{00000000-0005-0000-0000-00003E200000}"/>
    <cellStyle name="Output 2 2 3 5 3 2 4 2" xfId="11706" xr:uid="{00000000-0005-0000-0000-00003F200000}"/>
    <cellStyle name="Output 2 2 3 5 3 2 5" xfId="7371" xr:uid="{00000000-0005-0000-0000-000040200000}"/>
    <cellStyle name="Output 2 2 3 5 3 3" xfId="2330" xr:uid="{00000000-0005-0000-0000-000041200000}"/>
    <cellStyle name="Output 2 2 3 5 3 3 2" xfId="8160" xr:uid="{00000000-0005-0000-0000-000042200000}"/>
    <cellStyle name="Output 2 2 3 5 3 4" xfId="3756" xr:uid="{00000000-0005-0000-0000-000043200000}"/>
    <cellStyle name="Output 2 2 3 5 3 4 2" xfId="9586" xr:uid="{00000000-0005-0000-0000-000044200000}"/>
    <cellStyle name="Output 2 2 3 5 3 5" xfId="5152" xr:uid="{00000000-0005-0000-0000-000045200000}"/>
    <cellStyle name="Output 2 2 3 5 3 5 2" xfId="10982" xr:uid="{00000000-0005-0000-0000-000046200000}"/>
    <cellStyle name="Output 2 2 3 5 3 6" xfId="6647" xr:uid="{00000000-0005-0000-0000-000047200000}"/>
    <cellStyle name="Output 2 2 3 5 4" xfId="1054" xr:uid="{00000000-0005-0000-0000-000048200000}"/>
    <cellStyle name="Output 2 2 3 5 4 2" xfId="2574" xr:uid="{00000000-0005-0000-0000-000049200000}"/>
    <cellStyle name="Output 2 2 3 5 4 2 2" xfId="8404" xr:uid="{00000000-0005-0000-0000-00004A200000}"/>
    <cellStyle name="Output 2 2 3 5 4 3" xfId="4000" xr:uid="{00000000-0005-0000-0000-00004B200000}"/>
    <cellStyle name="Output 2 2 3 5 4 3 2" xfId="9830" xr:uid="{00000000-0005-0000-0000-00004C200000}"/>
    <cellStyle name="Output 2 2 3 5 4 4" xfId="5396" xr:uid="{00000000-0005-0000-0000-00004D200000}"/>
    <cellStyle name="Output 2 2 3 5 4 4 2" xfId="11226" xr:uid="{00000000-0005-0000-0000-00004E200000}"/>
    <cellStyle name="Output 2 2 3 5 4 5" xfId="6891" xr:uid="{00000000-0005-0000-0000-00004F200000}"/>
    <cellStyle name="Output 2 2 3 5 5" xfId="1828" xr:uid="{00000000-0005-0000-0000-000050200000}"/>
    <cellStyle name="Output 2 2 3 5 5 2" xfId="7658" xr:uid="{00000000-0005-0000-0000-000051200000}"/>
    <cellStyle name="Output 2 2 3 5 6" xfId="3259" xr:uid="{00000000-0005-0000-0000-000052200000}"/>
    <cellStyle name="Output 2 2 3 5 6 2" xfId="9089" xr:uid="{00000000-0005-0000-0000-000053200000}"/>
    <cellStyle name="Output 2 2 3 5 7" xfId="4671" xr:uid="{00000000-0005-0000-0000-000054200000}"/>
    <cellStyle name="Output 2 2 3 5 7 2" xfId="10501" xr:uid="{00000000-0005-0000-0000-000055200000}"/>
    <cellStyle name="Output 2 2 3 5 8" xfId="6166" xr:uid="{00000000-0005-0000-0000-000056200000}"/>
    <cellStyle name="Output 2 2 3 6" xfId="406" xr:uid="{00000000-0005-0000-0000-000057200000}"/>
    <cellStyle name="Output 2 2 3 6 2" xfId="1141" xr:uid="{00000000-0005-0000-0000-000058200000}"/>
    <cellStyle name="Output 2 2 3 6 2 2" xfId="2657" xr:uid="{00000000-0005-0000-0000-000059200000}"/>
    <cellStyle name="Output 2 2 3 6 2 2 2" xfId="8487" xr:uid="{00000000-0005-0000-0000-00005A200000}"/>
    <cellStyle name="Output 2 2 3 6 2 3" xfId="4080" xr:uid="{00000000-0005-0000-0000-00005B200000}"/>
    <cellStyle name="Output 2 2 3 6 2 3 2" xfId="9910" xr:uid="{00000000-0005-0000-0000-00005C200000}"/>
    <cellStyle name="Output 2 2 3 6 2 4" xfId="5476" xr:uid="{00000000-0005-0000-0000-00005D200000}"/>
    <cellStyle name="Output 2 2 3 6 2 4 2" xfId="11306" xr:uid="{00000000-0005-0000-0000-00005E200000}"/>
    <cellStyle name="Output 2 2 3 6 2 5" xfId="6971" xr:uid="{00000000-0005-0000-0000-00005F200000}"/>
    <cellStyle name="Output 2 2 3 6 3" xfId="1928" xr:uid="{00000000-0005-0000-0000-000060200000}"/>
    <cellStyle name="Output 2 2 3 6 3 2" xfId="7758" xr:uid="{00000000-0005-0000-0000-000061200000}"/>
    <cellStyle name="Output 2 2 3 6 4" xfId="3355" xr:uid="{00000000-0005-0000-0000-000062200000}"/>
    <cellStyle name="Output 2 2 3 6 4 2" xfId="9185" xr:uid="{00000000-0005-0000-0000-000063200000}"/>
    <cellStyle name="Output 2 2 3 6 5" xfId="4752" xr:uid="{00000000-0005-0000-0000-000064200000}"/>
    <cellStyle name="Output 2 2 3 6 5 2" xfId="10582" xr:uid="{00000000-0005-0000-0000-000065200000}"/>
    <cellStyle name="Output 2 2 3 6 6" xfId="6247" xr:uid="{00000000-0005-0000-0000-000066200000}"/>
    <cellStyle name="Output 2 2 3 7" xfId="650" xr:uid="{00000000-0005-0000-0000-000067200000}"/>
    <cellStyle name="Output 2 2 3 7 2" xfId="1381" xr:uid="{00000000-0005-0000-0000-000068200000}"/>
    <cellStyle name="Output 2 2 3 7 2 2" xfId="2897" xr:uid="{00000000-0005-0000-0000-000069200000}"/>
    <cellStyle name="Output 2 2 3 7 2 2 2" xfId="8727" xr:uid="{00000000-0005-0000-0000-00006A200000}"/>
    <cellStyle name="Output 2 2 3 7 2 3" xfId="4320" xr:uid="{00000000-0005-0000-0000-00006B200000}"/>
    <cellStyle name="Output 2 2 3 7 2 3 2" xfId="10150" xr:uid="{00000000-0005-0000-0000-00006C200000}"/>
    <cellStyle name="Output 2 2 3 7 2 4" xfId="5716" xr:uid="{00000000-0005-0000-0000-00006D200000}"/>
    <cellStyle name="Output 2 2 3 7 2 4 2" xfId="11546" xr:uid="{00000000-0005-0000-0000-00006E200000}"/>
    <cellStyle name="Output 2 2 3 7 2 5" xfId="7211" xr:uid="{00000000-0005-0000-0000-00006F200000}"/>
    <cellStyle name="Output 2 2 3 7 3" xfId="2170" xr:uid="{00000000-0005-0000-0000-000070200000}"/>
    <cellStyle name="Output 2 2 3 7 3 2" xfId="8000" xr:uid="{00000000-0005-0000-0000-000071200000}"/>
    <cellStyle name="Output 2 2 3 7 4" xfId="3596" xr:uid="{00000000-0005-0000-0000-000072200000}"/>
    <cellStyle name="Output 2 2 3 7 4 2" xfId="9426" xr:uid="{00000000-0005-0000-0000-000073200000}"/>
    <cellStyle name="Output 2 2 3 7 5" xfId="4992" xr:uid="{00000000-0005-0000-0000-000074200000}"/>
    <cellStyle name="Output 2 2 3 7 5 2" xfId="10822" xr:uid="{00000000-0005-0000-0000-000075200000}"/>
    <cellStyle name="Output 2 2 3 7 6" xfId="6487" xr:uid="{00000000-0005-0000-0000-000076200000}"/>
    <cellStyle name="Output 2 2 3 8" xfId="894" xr:uid="{00000000-0005-0000-0000-000077200000}"/>
    <cellStyle name="Output 2 2 3 8 2" xfId="2414" xr:uid="{00000000-0005-0000-0000-000078200000}"/>
    <cellStyle name="Output 2 2 3 8 2 2" xfId="8244" xr:uid="{00000000-0005-0000-0000-000079200000}"/>
    <cellStyle name="Output 2 2 3 8 3" xfId="3840" xr:uid="{00000000-0005-0000-0000-00007A200000}"/>
    <cellStyle name="Output 2 2 3 8 3 2" xfId="9670" xr:uid="{00000000-0005-0000-0000-00007B200000}"/>
    <cellStyle name="Output 2 2 3 8 4" xfId="5236" xr:uid="{00000000-0005-0000-0000-00007C200000}"/>
    <cellStyle name="Output 2 2 3 8 4 2" xfId="11066" xr:uid="{00000000-0005-0000-0000-00007D200000}"/>
    <cellStyle name="Output 2 2 3 8 5" xfId="6731" xr:uid="{00000000-0005-0000-0000-00007E200000}"/>
    <cellStyle name="Output 2 2 3 9" xfId="1668" xr:uid="{00000000-0005-0000-0000-00007F200000}"/>
    <cellStyle name="Output 2 2 3 9 2" xfId="7498" xr:uid="{00000000-0005-0000-0000-000080200000}"/>
    <cellStyle name="Output 2 2 4" xfId="130" xr:uid="{00000000-0005-0000-0000-000081200000}"/>
    <cellStyle name="Output 2 2 4 10" xfId="1625" xr:uid="{00000000-0005-0000-0000-000082200000}"/>
    <cellStyle name="Output 2 2 4 10 2" xfId="7455" xr:uid="{00000000-0005-0000-0000-000083200000}"/>
    <cellStyle name="Output 2 2 4 11" xfId="3341" xr:uid="{00000000-0005-0000-0000-000084200000}"/>
    <cellStyle name="Output 2 2 4 11 2" xfId="9171" xr:uid="{00000000-0005-0000-0000-000085200000}"/>
    <cellStyle name="Output 2 2 4 12" xfId="6011" xr:uid="{00000000-0005-0000-0000-000086200000}"/>
    <cellStyle name="Output 2 2 4 2" xfId="151" xr:uid="{00000000-0005-0000-0000-000087200000}"/>
    <cellStyle name="Output 2 2 4 2 10" xfId="1650" xr:uid="{00000000-0005-0000-0000-000088200000}"/>
    <cellStyle name="Output 2 2 4 2 10 2" xfId="7480" xr:uid="{00000000-0005-0000-0000-000089200000}"/>
    <cellStyle name="Output 2 2 4 2 11" xfId="6031" xr:uid="{00000000-0005-0000-0000-00008A200000}"/>
    <cellStyle name="Output 2 2 4 2 2" xfId="191" xr:uid="{00000000-0005-0000-0000-00008B200000}"/>
    <cellStyle name="Output 2 2 4 2 2 10" xfId="6071" xr:uid="{00000000-0005-0000-0000-00008C200000}"/>
    <cellStyle name="Output 2 2 4 2 2 2" xfId="272" xr:uid="{00000000-0005-0000-0000-00008D200000}"/>
    <cellStyle name="Output 2 2 4 2 2 2 2" xfId="551" xr:uid="{00000000-0005-0000-0000-00008E200000}"/>
    <cellStyle name="Output 2 2 4 2 2 2 2 2" xfId="1286" xr:uid="{00000000-0005-0000-0000-00008F200000}"/>
    <cellStyle name="Output 2 2 4 2 2 2 2 2 2" xfId="2802" xr:uid="{00000000-0005-0000-0000-000090200000}"/>
    <cellStyle name="Output 2 2 4 2 2 2 2 2 2 2" xfId="8632" xr:uid="{00000000-0005-0000-0000-000091200000}"/>
    <cellStyle name="Output 2 2 4 2 2 2 2 2 3" xfId="4225" xr:uid="{00000000-0005-0000-0000-000092200000}"/>
    <cellStyle name="Output 2 2 4 2 2 2 2 2 3 2" xfId="10055" xr:uid="{00000000-0005-0000-0000-000093200000}"/>
    <cellStyle name="Output 2 2 4 2 2 2 2 2 4" xfId="5621" xr:uid="{00000000-0005-0000-0000-000094200000}"/>
    <cellStyle name="Output 2 2 4 2 2 2 2 2 4 2" xfId="11451" xr:uid="{00000000-0005-0000-0000-000095200000}"/>
    <cellStyle name="Output 2 2 4 2 2 2 2 2 5" xfId="7116" xr:uid="{00000000-0005-0000-0000-000096200000}"/>
    <cellStyle name="Output 2 2 4 2 2 2 2 3" xfId="2073" xr:uid="{00000000-0005-0000-0000-000097200000}"/>
    <cellStyle name="Output 2 2 4 2 2 2 2 3 2" xfId="7903" xr:uid="{00000000-0005-0000-0000-000098200000}"/>
    <cellStyle name="Output 2 2 4 2 2 2 2 4" xfId="3500" xr:uid="{00000000-0005-0000-0000-000099200000}"/>
    <cellStyle name="Output 2 2 4 2 2 2 2 4 2" xfId="9330" xr:uid="{00000000-0005-0000-0000-00009A200000}"/>
    <cellStyle name="Output 2 2 4 2 2 2 2 5" xfId="4897" xr:uid="{00000000-0005-0000-0000-00009B200000}"/>
    <cellStyle name="Output 2 2 4 2 2 2 2 5 2" xfId="10727" xr:uid="{00000000-0005-0000-0000-00009C200000}"/>
    <cellStyle name="Output 2 2 4 2 2 2 2 6" xfId="6392" xr:uid="{00000000-0005-0000-0000-00009D200000}"/>
    <cellStyle name="Output 2 2 4 2 2 2 3" xfId="795" xr:uid="{00000000-0005-0000-0000-00009E200000}"/>
    <cellStyle name="Output 2 2 4 2 2 2 3 2" xfId="1526" xr:uid="{00000000-0005-0000-0000-00009F200000}"/>
    <cellStyle name="Output 2 2 4 2 2 2 3 2 2" xfId="3042" xr:uid="{00000000-0005-0000-0000-0000A0200000}"/>
    <cellStyle name="Output 2 2 4 2 2 2 3 2 2 2" xfId="8872" xr:uid="{00000000-0005-0000-0000-0000A1200000}"/>
    <cellStyle name="Output 2 2 4 2 2 2 3 2 3" xfId="4465" xr:uid="{00000000-0005-0000-0000-0000A2200000}"/>
    <cellStyle name="Output 2 2 4 2 2 2 3 2 3 2" xfId="10295" xr:uid="{00000000-0005-0000-0000-0000A3200000}"/>
    <cellStyle name="Output 2 2 4 2 2 2 3 2 4" xfId="5861" xr:uid="{00000000-0005-0000-0000-0000A4200000}"/>
    <cellStyle name="Output 2 2 4 2 2 2 3 2 4 2" xfId="11691" xr:uid="{00000000-0005-0000-0000-0000A5200000}"/>
    <cellStyle name="Output 2 2 4 2 2 2 3 2 5" xfId="7356" xr:uid="{00000000-0005-0000-0000-0000A6200000}"/>
    <cellStyle name="Output 2 2 4 2 2 2 3 3" xfId="2315" xr:uid="{00000000-0005-0000-0000-0000A7200000}"/>
    <cellStyle name="Output 2 2 4 2 2 2 3 3 2" xfId="8145" xr:uid="{00000000-0005-0000-0000-0000A8200000}"/>
    <cellStyle name="Output 2 2 4 2 2 2 3 4" xfId="3741" xr:uid="{00000000-0005-0000-0000-0000A9200000}"/>
    <cellStyle name="Output 2 2 4 2 2 2 3 4 2" xfId="9571" xr:uid="{00000000-0005-0000-0000-0000AA200000}"/>
    <cellStyle name="Output 2 2 4 2 2 2 3 5" xfId="5137" xr:uid="{00000000-0005-0000-0000-0000AB200000}"/>
    <cellStyle name="Output 2 2 4 2 2 2 3 5 2" xfId="10967" xr:uid="{00000000-0005-0000-0000-0000AC200000}"/>
    <cellStyle name="Output 2 2 4 2 2 2 3 6" xfId="6632" xr:uid="{00000000-0005-0000-0000-0000AD200000}"/>
    <cellStyle name="Output 2 2 4 2 2 2 4" xfId="1039" xr:uid="{00000000-0005-0000-0000-0000AE200000}"/>
    <cellStyle name="Output 2 2 4 2 2 2 4 2" xfId="2559" xr:uid="{00000000-0005-0000-0000-0000AF200000}"/>
    <cellStyle name="Output 2 2 4 2 2 2 4 2 2" xfId="8389" xr:uid="{00000000-0005-0000-0000-0000B0200000}"/>
    <cellStyle name="Output 2 2 4 2 2 2 4 3" xfId="3985" xr:uid="{00000000-0005-0000-0000-0000B1200000}"/>
    <cellStyle name="Output 2 2 4 2 2 2 4 3 2" xfId="9815" xr:uid="{00000000-0005-0000-0000-0000B2200000}"/>
    <cellStyle name="Output 2 2 4 2 2 2 4 4" xfId="5381" xr:uid="{00000000-0005-0000-0000-0000B3200000}"/>
    <cellStyle name="Output 2 2 4 2 2 2 4 4 2" xfId="11211" xr:uid="{00000000-0005-0000-0000-0000B4200000}"/>
    <cellStyle name="Output 2 2 4 2 2 2 4 5" xfId="6876" xr:uid="{00000000-0005-0000-0000-0000B5200000}"/>
    <cellStyle name="Output 2 2 4 2 2 2 5" xfId="1813" xr:uid="{00000000-0005-0000-0000-0000B6200000}"/>
    <cellStyle name="Output 2 2 4 2 2 2 5 2" xfId="7643" xr:uid="{00000000-0005-0000-0000-0000B7200000}"/>
    <cellStyle name="Output 2 2 4 2 2 2 6" xfId="3244" xr:uid="{00000000-0005-0000-0000-0000B8200000}"/>
    <cellStyle name="Output 2 2 4 2 2 2 6 2" xfId="9074" xr:uid="{00000000-0005-0000-0000-0000B9200000}"/>
    <cellStyle name="Output 2 2 4 2 2 2 7" xfId="4656" xr:uid="{00000000-0005-0000-0000-0000BA200000}"/>
    <cellStyle name="Output 2 2 4 2 2 2 7 2" xfId="10486" xr:uid="{00000000-0005-0000-0000-0000BB200000}"/>
    <cellStyle name="Output 2 2 4 2 2 2 8" xfId="6151" xr:uid="{00000000-0005-0000-0000-0000BC200000}"/>
    <cellStyle name="Output 2 2 4 2 2 3" xfId="352" xr:uid="{00000000-0005-0000-0000-0000BD200000}"/>
    <cellStyle name="Output 2 2 4 2 2 3 2" xfId="631" xr:uid="{00000000-0005-0000-0000-0000BE200000}"/>
    <cellStyle name="Output 2 2 4 2 2 3 2 2" xfId="1366" xr:uid="{00000000-0005-0000-0000-0000BF200000}"/>
    <cellStyle name="Output 2 2 4 2 2 3 2 2 2" xfId="2882" xr:uid="{00000000-0005-0000-0000-0000C0200000}"/>
    <cellStyle name="Output 2 2 4 2 2 3 2 2 2 2" xfId="8712" xr:uid="{00000000-0005-0000-0000-0000C1200000}"/>
    <cellStyle name="Output 2 2 4 2 2 3 2 2 3" xfId="4305" xr:uid="{00000000-0005-0000-0000-0000C2200000}"/>
    <cellStyle name="Output 2 2 4 2 2 3 2 2 3 2" xfId="10135" xr:uid="{00000000-0005-0000-0000-0000C3200000}"/>
    <cellStyle name="Output 2 2 4 2 2 3 2 2 4" xfId="5701" xr:uid="{00000000-0005-0000-0000-0000C4200000}"/>
    <cellStyle name="Output 2 2 4 2 2 3 2 2 4 2" xfId="11531" xr:uid="{00000000-0005-0000-0000-0000C5200000}"/>
    <cellStyle name="Output 2 2 4 2 2 3 2 2 5" xfId="7196" xr:uid="{00000000-0005-0000-0000-0000C6200000}"/>
    <cellStyle name="Output 2 2 4 2 2 3 2 3" xfId="2153" xr:uid="{00000000-0005-0000-0000-0000C7200000}"/>
    <cellStyle name="Output 2 2 4 2 2 3 2 3 2" xfId="7983" xr:uid="{00000000-0005-0000-0000-0000C8200000}"/>
    <cellStyle name="Output 2 2 4 2 2 3 2 4" xfId="3580" xr:uid="{00000000-0005-0000-0000-0000C9200000}"/>
    <cellStyle name="Output 2 2 4 2 2 3 2 4 2" xfId="9410" xr:uid="{00000000-0005-0000-0000-0000CA200000}"/>
    <cellStyle name="Output 2 2 4 2 2 3 2 5" xfId="4977" xr:uid="{00000000-0005-0000-0000-0000CB200000}"/>
    <cellStyle name="Output 2 2 4 2 2 3 2 5 2" xfId="10807" xr:uid="{00000000-0005-0000-0000-0000CC200000}"/>
    <cellStyle name="Output 2 2 4 2 2 3 2 6" xfId="6472" xr:uid="{00000000-0005-0000-0000-0000CD200000}"/>
    <cellStyle name="Output 2 2 4 2 2 3 3" xfId="875" xr:uid="{00000000-0005-0000-0000-0000CE200000}"/>
    <cellStyle name="Output 2 2 4 2 2 3 3 2" xfId="1606" xr:uid="{00000000-0005-0000-0000-0000CF200000}"/>
    <cellStyle name="Output 2 2 4 2 2 3 3 2 2" xfId="3122" xr:uid="{00000000-0005-0000-0000-0000D0200000}"/>
    <cellStyle name="Output 2 2 4 2 2 3 3 2 2 2" xfId="8952" xr:uid="{00000000-0005-0000-0000-0000D1200000}"/>
    <cellStyle name="Output 2 2 4 2 2 3 3 2 3" xfId="4545" xr:uid="{00000000-0005-0000-0000-0000D2200000}"/>
    <cellStyle name="Output 2 2 4 2 2 3 3 2 3 2" xfId="10375" xr:uid="{00000000-0005-0000-0000-0000D3200000}"/>
    <cellStyle name="Output 2 2 4 2 2 3 3 2 4" xfId="5941" xr:uid="{00000000-0005-0000-0000-0000D4200000}"/>
    <cellStyle name="Output 2 2 4 2 2 3 3 2 4 2" xfId="11771" xr:uid="{00000000-0005-0000-0000-0000D5200000}"/>
    <cellStyle name="Output 2 2 4 2 2 3 3 2 5" xfId="7436" xr:uid="{00000000-0005-0000-0000-0000D6200000}"/>
    <cellStyle name="Output 2 2 4 2 2 3 3 3" xfId="2395" xr:uid="{00000000-0005-0000-0000-0000D7200000}"/>
    <cellStyle name="Output 2 2 4 2 2 3 3 3 2" xfId="8225" xr:uid="{00000000-0005-0000-0000-0000D8200000}"/>
    <cellStyle name="Output 2 2 4 2 2 3 3 4" xfId="3821" xr:uid="{00000000-0005-0000-0000-0000D9200000}"/>
    <cellStyle name="Output 2 2 4 2 2 3 3 4 2" xfId="9651" xr:uid="{00000000-0005-0000-0000-0000DA200000}"/>
    <cellStyle name="Output 2 2 4 2 2 3 3 5" xfId="5217" xr:uid="{00000000-0005-0000-0000-0000DB200000}"/>
    <cellStyle name="Output 2 2 4 2 2 3 3 5 2" xfId="11047" xr:uid="{00000000-0005-0000-0000-0000DC200000}"/>
    <cellStyle name="Output 2 2 4 2 2 3 3 6" xfId="6712" xr:uid="{00000000-0005-0000-0000-0000DD200000}"/>
    <cellStyle name="Output 2 2 4 2 2 3 4" xfId="1119" xr:uid="{00000000-0005-0000-0000-0000DE200000}"/>
    <cellStyle name="Output 2 2 4 2 2 3 4 2" xfId="2639" xr:uid="{00000000-0005-0000-0000-0000DF200000}"/>
    <cellStyle name="Output 2 2 4 2 2 3 4 2 2" xfId="8469" xr:uid="{00000000-0005-0000-0000-0000E0200000}"/>
    <cellStyle name="Output 2 2 4 2 2 3 4 3" xfId="4065" xr:uid="{00000000-0005-0000-0000-0000E1200000}"/>
    <cellStyle name="Output 2 2 4 2 2 3 4 3 2" xfId="9895" xr:uid="{00000000-0005-0000-0000-0000E2200000}"/>
    <cellStyle name="Output 2 2 4 2 2 3 4 4" xfId="5461" xr:uid="{00000000-0005-0000-0000-0000E3200000}"/>
    <cellStyle name="Output 2 2 4 2 2 3 4 4 2" xfId="11291" xr:uid="{00000000-0005-0000-0000-0000E4200000}"/>
    <cellStyle name="Output 2 2 4 2 2 3 4 5" xfId="6956" xr:uid="{00000000-0005-0000-0000-0000E5200000}"/>
    <cellStyle name="Output 2 2 4 2 2 3 5" xfId="1893" xr:uid="{00000000-0005-0000-0000-0000E6200000}"/>
    <cellStyle name="Output 2 2 4 2 2 3 5 2" xfId="7723" xr:uid="{00000000-0005-0000-0000-0000E7200000}"/>
    <cellStyle name="Output 2 2 4 2 2 3 6" xfId="3324" xr:uid="{00000000-0005-0000-0000-0000E8200000}"/>
    <cellStyle name="Output 2 2 4 2 2 3 6 2" xfId="9154" xr:uid="{00000000-0005-0000-0000-0000E9200000}"/>
    <cellStyle name="Output 2 2 4 2 2 3 7" xfId="4736" xr:uid="{00000000-0005-0000-0000-0000EA200000}"/>
    <cellStyle name="Output 2 2 4 2 2 3 7 2" xfId="10566" xr:uid="{00000000-0005-0000-0000-0000EB200000}"/>
    <cellStyle name="Output 2 2 4 2 2 3 8" xfId="6231" xr:uid="{00000000-0005-0000-0000-0000EC200000}"/>
    <cellStyle name="Output 2 2 4 2 2 4" xfId="471" xr:uid="{00000000-0005-0000-0000-0000ED200000}"/>
    <cellStyle name="Output 2 2 4 2 2 4 2" xfId="1206" xr:uid="{00000000-0005-0000-0000-0000EE200000}"/>
    <cellStyle name="Output 2 2 4 2 2 4 2 2" xfId="2722" xr:uid="{00000000-0005-0000-0000-0000EF200000}"/>
    <cellStyle name="Output 2 2 4 2 2 4 2 2 2" xfId="8552" xr:uid="{00000000-0005-0000-0000-0000F0200000}"/>
    <cellStyle name="Output 2 2 4 2 2 4 2 3" xfId="4145" xr:uid="{00000000-0005-0000-0000-0000F1200000}"/>
    <cellStyle name="Output 2 2 4 2 2 4 2 3 2" xfId="9975" xr:uid="{00000000-0005-0000-0000-0000F2200000}"/>
    <cellStyle name="Output 2 2 4 2 2 4 2 4" xfId="5541" xr:uid="{00000000-0005-0000-0000-0000F3200000}"/>
    <cellStyle name="Output 2 2 4 2 2 4 2 4 2" xfId="11371" xr:uid="{00000000-0005-0000-0000-0000F4200000}"/>
    <cellStyle name="Output 2 2 4 2 2 4 2 5" xfId="7036" xr:uid="{00000000-0005-0000-0000-0000F5200000}"/>
    <cellStyle name="Output 2 2 4 2 2 4 3" xfId="1993" xr:uid="{00000000-0005-0000-0000-0000F6200000}"/>
    <cellStyle name="Output 2 2 4 2 2 4 3 2" xfId="7823" xr:uid="{00000000-0005-0000-0000-0000F7200000}"/>
    <cellStyle name="Output 2 2 4 2 2 4 4" xfId="3420" xr:uid="{00000000-0005-0000-0000-0000F8200000}"/>
    <cellStyle name="Output 2 2 4 2 2 4 4 2" xfId="9250" xr:uid="{00000000-0005-0000-0000-0000F9200000}"/>
    <cellStyle name="Output 2 2 4 2 2 4 5" xfId="4817" xr:uid="{00000000-0005-0000-0000-0000FA200000}"/>
    <cellStyle name="Output 2 2 4 2 2 4 5 2" xfId="10647" xr:uid="{00000000-0005-0000-0000-0000FB200000}"/>
    <cellStyle name="Output 2 2 4 2 2 4 6" xfId="6312" xr:uid="{00000000-0005-0000-0000-0000FC200000}"/>
    <cellStyle name="Output 2 2 4 2 2 5" xfId="715" xr:uid="{00000000-0005-0000-0000-0000FD200000}"/>
    <cellStyle name="Output 2 2 4 2 2 5 2" xfId="1446" xr:uid="{00000000-0005-0000-0000-0000FE200000}"/>
    <cellStyle name="Output 2 2 4 2 2 5 2 2" xfId="2962" xr:uid="{00000000-0005-0000-0000-0000FF200000}"/>
    <cellStyle name="Output 2 2 4 2 2 5 2 2 2" xfId="8792" xr:uid="{00000000-0005-0000-0000-000000210000}"/>
    <cellStyle name="Output 2 2 4 2 2 5 2 3" xfId="4385" xr:uid="{00000000-0005-0000-0000-000001210000}"/>
    <cellStyle name="Output 2 2 4 2 2 5 2 3 2" xfId="10215" xr:uid="{00000000-0005-0000-0000-000002210000}"/>
    <cellStyle name="Output 2 2 4 2 2 5 2 4" xfId="5781" xr:uid="{00000000-0005-0000-0000-000003210000}"/>
    <cellStyle name="Output 2 2 4 2 2 5 2 4 2" xfId="11611" xr:uid="{00000000-0005-0000-0000-000004210000}"/>
    <cellStyle name="Output 2 2 4 2 2 5 2 5" xfId="7276" xr:uid="{00000000-0005-0000-0000-000005210000}"/>
    <cellStyle name="Output 2 2 4 2 2 5 3" xfId="2235" xr:uid="{00000000-0005-0000-0000-000006210000}"/>
    <cellStyle name="Output 2 2 4 2 2 5 3 2" xfId="8065" xr:uid="{00000000-0005-0000-0000-000007210000}"/>
    <cellStyle name="Output 2 2 4 2 2 5 4" xfId="3661" xr:uid="{00000000-0005-0000-0000-000008210000}"/>
    <cellStyle name="Output 2 2 4 2 2 5 4 2" xfId="9491" xr:uid="{00000000-0005-0000-0000-000009210000}"/>
    <cellStyle name="Output 2 2 4 2 2 5 5" xfId="5057" xr:uid="{00000000-0005-0000-0000-00000A210000}"/>
    <cellStyle name="Output 2 2 4 2 2 5 5 2" xfId="10887" xr:uid="{00000000-0005-0000-0000-00000B210000}"/>
    <cellStyle name="Output 2 2 4 2 2 5 6" xfId="6552" xr:uid="{00000000-0005-0000-0000-00000C210000}"/>
    <cellStyle name="Output 2 2 4 2 2 6" xfId="959" xr:uid="{00000000-0005-0000-0000-00000D210000}"/>
    <cellStyle name="Output 2 2 4 2 2 6 2" xfId="2479" xr:uid="{00000000-0005-0000-0000-00000E210000}"/>
    <cellStyle name="Output 2 2 4 2 2 6 2 2" xfId="8309" xr:uid="{00000000-0005-0000-0000-00000F210000}"/>
    <cellStyle name="Output 2 2 4 2 2 6 3" xfId="3905" xr:uid="{00000000-0005-0000-0000-000010210000}"/>
    <cellStyle name="Output 2 2 4 2 2 6 3 2" xfId="9735" xr:uid="{00000000-0005-0000-0000-000011210000}"/>
    <cellStyle name="Output 2 2 4 2 2 6 4" xfId="5301" xr:uid="{00000000-0005-0000-0000-000012210000}"/>
    <cellStyle name="Output 2 2 4 2 2 6 4 2" xfId="11131" xr:uid="{00000000-0005-0000-0000-000013210000}"/>
    <cellStyle name="Output 2 2 4 2 2 6 5" xfId="6796" xr:uid="{00000000-0005-0000-0000-000014210000}"/>
    <cellStyle name="Output 2 2 4 2 2 7" xfId="1733" xr:uid="{00000000-0005-0000-0000-000015210000}"/>
    <cellStyle name="Output 2 2 4 2 2 7 2" xfId="7563" xr:uid="{00000000-0005-0000-0000-000016210000}"/>
    <cellStyle name="Output 2 2 4 2 2 8" xfId="3164" xr:uid="{00000000-0005-0000-0000-000017210000}"/>
    <cellStyle name="Output 2 2 4 2 2 8 2" xfId="8994" xr:uid="{00000000-0005-0000-0000-000018210000}"/>
    <cellStyle name="Output 2 2 4 2 2 9" xfId="4576" xr:uid="{00000000-0005-0000-0000-000019210000}"/>
    <cellStyle name="Output 2 2 4 2 2 9 2" xfId="10406" xr:uid="{00000000-0005-0000-0000-00001A210000}"/>
    <cellStyle name="Output 2 2 4 2 3" xfId="232" xr:uid="{00000000-0005-0000-0000-00001B210000}"/>
    <cellStyle name="Output 2 2 4 2 3 2" xfId="511" xr:uid="{00000000-0005-0000-0000-00001C210000}"/>
    <cellStyle name="Output 2 2 4 2 3 2 2" xfId="1246" xr:uid="{00000000-0005-0000-0000-00001D210000}"/>
    <cellStyle name="Output 2 2 4 2 3 2 2 2" xfId="2762" xr:uid="{00000000-0005-0000-0000-00001E210000}"/>
    <cellStyle name="Output 2 2 4 2 3 2 2 2 2" xfId="8592" xr:uid="{00000000-0005-0000-0000-00001F210000}"/>
    <cellStyle name="Output 2 2 4 2 3 2 2 3" xfId="4185" xr:uid="{00000000-0005-0000-0000-000020210000}"/>
    <cellStyle name="Output 2 2 4 2 3 2 2 3 2" xfId="10015" xr:uid="{00000000-0005-0000-0000-000021210000}"/>
    <cellStyle name="Output 2 2 4 2 3 2 2 4" xfId="5581" xr:uid="{00000000-0005-0000-0000-000022210000}"/>
    <cellStyle name="Output 2 2 4 2 3 2 2 4 2" xfId="11411" xr:uid="{00000000-0005-0000-0000-000023210000}"/>
    <cellStyle name="Output 2 2 4 2 3 2 2 5" xfId="7076" xr:uid="{00000000-0005-0000-0000-000024210000}"/>
    <cellStyle name="Output 2 2 4 2 3 2 3" xfId="2033" xr:uid="{00000000-0005-0000-0000-000025210000}"/>
    <cellStyle name="Output 2 2 4 2 3 2 3 2" xfId="7863" xr:uid="{00000000-0005-0000-0000-000026210000}"/>
    <cellStyle name="Output 2 2 4 2 3 2 4" xfId="3460" xr:uid="{00000000-0005-0000-0000-000027210000}"/>
    <cellStyle name="Output 2 2 4 2 3 2 4 2" xfId="9290" xr:uid="{00000000-0005-0000-0000-000028210000}"/>
    <cellStyle name="Output 2 2 4 2 3 2 5" xfId="4857" xr:uid="{00000000-0005-0000-0000-000029210000}"/>
    <cellStyle name="Output 2 2 4 2 3 2 5 2" xfId="10687" xr:uid="{00000000-0005-0000-0000-00002A210000}"/>
    <cellStyle name="Output 2 2 4 2 3 2 6" xfId="6352" xr:uid="{00000000-0005-0000-0000-00002B210000}"/>
    <cellStyle name="Output 2 2 4 2 3 3" xfId="755" xr:uid="{00000000-0005-0000-0000-00002C210000}"/>
    <cellStyle name="Output 2 2 4 2 3 3 2" xfId="1486" xr:uid="{00000000-0005-0000-0000-00002D210000}"/>
    <cellStyle name="Output 2 2 4 2 3 3 2 2" xfId="3002" xr:uid="{00000000-0005-0000-0000-00002E210000}"/>
    <cellStyle name="Output 2 2 4 2 3 3 2 2 2" xfId="8832" xr:uid="{00000000-0005-0000-0000-00002F210000}"/>
    <cellStyle name="Output 2 2 4 2 3 3 2 3" xfId="4425" xr:uid="{00000000-0005-0000-0000-000030210000}"/>
    <cellStyle name="Output 2 2 4 2 3 3 2 3 2" xfId="10255" xr:uid="{00000000-0005-0000-0000-000031210000}"/>
    <cellStyle name="Output 2 2 4 2 3 3 2 4" xfId="5821" xr:uid="{00000000-0005-0000-0000-000032210000}"/>
    <cellStyle name="Output 2 2 4 2 3 3 2 4 2" xfId="11651" xr:uid="{00000000-0005-0000-0000-000033210000}"/>
    <cellStyle name="Output 2 2 4 2 3 3 2 5" xfId="7316" xr:uid="{00000000-0005-0000-0000-000034210000}"/>
    <cellStyle name="Output 2 2 4 2 3 3 3" xfId="2275" xr:uid="{00000000-0005-0000-0000-000035210000}"/>
    <cellStyle name="Output 2 2 4 2 3 3 3 2" xfId="8105" xr:uid="{00000000-0005-0000-0000-000036210000}"/>
    <cellStyle name="Output 2 2 4 2 3 3 4" xfId="3701" xr:uid="{00000000-0005-0000-0000-000037210000}"/>
    <cellStyle name="Output 2 2 4 2 3 3 4 2" xfId="9531" xr:uid="{00000000-0005-0000-0000-000038210000}"/>
    <cellStyle name="Output 2 2 4 2 3 3 5" xfId="5097" xr:uid="{00000000-0005-0000-0000-000039210000}"/>
    <cellStyle name="Output 2 2 4 2 3 3 5 2" xfId="10927" xr:uid="{00000000-0005-0000-0000-00003A210000}"/>
    <cellStyle name="Output 2 2 4 2 3 3 6" xfId="6592" xr:uid="{00000000-0005-0000-0000-00003B210000}"/>
    <cellStyle name="Output 2 2 4 2 3 4" xfId="999" xr:uid="{00000000-0005-0000-0000-00003C210000}"/>
    <cellStyle name="Output 2 2 4 2 3 4 2" xfId="2519" xr:uid="{00000000-0005-0000-0000-00003D210000}"/>
    <cellStyle name="Output 2 2 4 2 3 4 2 2" xfId="8349" xr:uid="{00000000-0005-0000-0000-00003E210000}"/>
    <cellStyle name="Output 2 2 4 2 3 4 3" xfId="3945" xr:uid="{00000000-0005-0000-0000-00003F210000}"/>
    <cellStyle name="Output 2 2 4 2 3 4 3 2" xfId="9775" xr:uid="{00000000-0005-0000-0000-000040210000}"/>
    <cellStyle name="Output 2 2 4 2 3 4 4" xfId="5341" xr:uid="{00000000-0005-0000-0000-000041210000}"/>
    <cellStyle name="Output 2 2 4 2 3 4 4 2" xfId="11171" xr:uid="{00000000-0005-0000-0000-000042210000}"/>
    <cellStyle name="Output 2 2 4 2 3 4 5" xfId="6836" xr:uid="{00000000-0005-0000-0000-000043210000}"/>
    <cellStyle name="Output 2 2 4 2 3 5" xfId="1773" xr:uid="{00000000-0005-0000-0000-000044210000}"/>
    <cellStyle name="Output 2 2 4 2 3 5 2" xfId="7603" xr:uid="{00000000-0005-0000-0000-000045210000}"/>
    <cellStyle name="Output 2 2 4 2 3 6" xfId="3204" xr:uid="{00000000-0005-0000-0000-000046210000}"/>
    <cellStyle name="Output 2 2 4 2 3 6 2" xfId="9034" xr:uid="{00000000-0005-0000-0000-000047210000}"/>
    <cellStyle name="Output 2 2 4 2 3 7" xfId="4616" xr:uid="{00000000-0005-0000-0000-000048210000}"/>
    <cellStyle name="Output 2 2 4 2 3 7 2" xfId="10446" xr:uid="{00000000-0005-0000-0000-000049210000}"/>
    <cellStyle name="Output 2 2 4 2 3 8" xfId="6111" xr:uid="{00000000-0005-0000-0000-00004A210000}"/>
    <cellStyle name="Output 2 2 4 2 4" xfId="312" xr:uid="{00000000-0005-0000-0000-00004B210000}"/>
    <cellStyle name="Output 2 2 4 2 4 2" xfId="591" xr:uid="{00000000-0005-0000-0000-00004C210000}"/>
    <cellStyle name="Output 2 2 4 2 4 2 2" xfId="1326" xr:uid="{00000000-0005-0000-0000-00004D210000}"/>
    <cellStyle name="Output 2 2 4 2 4 2 2 2" xfId="2842" xr:uid="{00000000-0005-0000-0000-00004E210000}"/>
    <cellStyle name="Output 2 2 4 2 4 2 2 2 2" xfId="8672" xr:uid="{00000000-0005-0000-0000-00004F210000}"/>
    <cellStyle name="Output 2 2 4 2 4 2 2 3" xfId="4265" xr:uid="{00000000-0005-0000-0000-000050210000}"/>
    <cellStyle name="Output 2 2 4 2 4 2 2 3 2" xfId="10095" xr:uid="{00000000-0005-0000-0000-000051210000}"/>
    <cellStyle name="Output 2 2 4 2 4 2 2 4" xfId="5661" xr:uid="{00000000-0005-0000-0000-000052210000}"/>
    <cellStyle name="Output 2 2 4 2 4 2 2 4 2" xfId="11491" xr:uid="{00000000-0005-0000-0000-000053210000}"/>
    <cellStyle name="Output 2 2 4 2 4 2 2 5" xfId="7156" xr:uid="{00000000-0005-0000-0000-000054210000}"/>
    <cellStyle name="Output 2 2 4 2 4 2 3" xfId="2113" xr:uid="{00000000-0005-0000-0000-000055210000}"/>
    <cellStyle name="Output 2 2 4 2 4 2 3 2" xfId="7943" xr:uid="{00000000-0005-0000-0000-000056210000}"/>
    <cellStyle name="Output 2 2 4 2 4 2 4" xfId="3540" xr:uid="{00000000-0005-0000-0000-000057210000}"/>
    <cellStyle name="Output 2 2 4 2 4 2 4 2" xfId="9370" xr:uid="{00000000-0005-0000-0000-000058210000}"/>
    <cellStyle name="Output 2 2 4 2 4 2 5" xfId="4937" xr:uid="{00000000-0005-0000-0000-000059210000}"/>
    <cellStyle name="Output 2 2 4 2 4 2 5 2" xfId="10767" xr:uid="{00000000-0005-0000-0000-00005A210000}"/>
    <cellStyle name="Output 2 2 4 2 4 2 6" xfId="6432" xr:uid="{00000000-0005-0000-0000-00005B210000}"/>
    <cellStyle name="Output 2 2 4 2 4 3" xfId="835" xr:uid="{00000000-0005-0000-0000-00005C210000}"/>
    <cellStyle name="Output 2 2 4 2 4 3 2" xfId="1566" xr:uid="{00000000-0005-0000-0000-00005D210000}"/>
    <cellStyle name="Output 2 2 4 2 4 3 2 2" xfId="3082" xr:uid="{00000000-0005-0000-0000-00005E210000}"/>
    <cellStyle name="Output 2 2 4 2 4 3 2 2 2" xfId="8912" xr:uid="{00000000-0005-0000-0000-00005F210000}"/>
    <cellStyle name="Output 2 2 4 2 4 3 2 3" xfId="4505" xr:uid="{00000000-0005-0000-0000-000060210000}"/>
    <cellStyle name="Output 2 2 4 2 4 3 2 3 2" xfId="10335" xr:uid="{00000000-0005-0000-0000-000061210000}"/>
    <cellStyle name="Output 2 2 4 2 4 3 2 4" xfId="5901" xr:uid="{00000000-0005-0000-0000-000062210000}"/>
    <cellStyle name="Output 2 2 4 2 4 3 2 4 2" xfId="11731" xr:uid="{00000000-0005-0000-0000-000063210000}"/>
    <cellStyle name="Output 2 2 4 2 4 3 2 5" xfId="7396" xr:uid="{00000000-0005-0000-0000-000064210000}"/>
    <cellStyle name="Output 2 2 4 2 4 3 3" xfId="2355" xr:uid="{00000000-0005-0000-0000-000065210000}"/>
    <cellStyle name="Output 2 2 4 2 4 3 3 2" xfId="8185" xr:uid="{00000000-0005-0000-0000-000066210000}"/>
    <cellStyle name="Output 2 2 4 2 4 3 4" xfId="3781" xr:uid="{00000000-0005-0000-0000-000067210000}"/>
    <cellStyle name="Output 2 2 4 2 4 3 4 2" xfId="9611" xr:uid="{00000000-0005-0000-0000-000068210000}"/>
    <cellStyle name="Output 2 2 4 2 4 3 5" xfId="5177" xr:uid="{00000000-0005-0000-0000-000069210000}"/>
    <cellStyle name="Output 2 2 4 2 4 3 5 2" xfId="11007" xr:uid="{00000000-0005-0000-0000-00006A210000}"/>
    <cellStyle name="Output 2 2 4 2 4 3 6" xfId="6672" xr:uid="{00000000-0005-0000-0000-00006B210000}"/>
    <cellStyle name="Output 2 2 4 2 4 4" xfId="1079" xr:uid="{00000000-0005-0000-0000-00006C210000}"/>
    <cellStyle name="Output 2 2 4 2 4 4 2" xfId="2599" xr:uid="{00000000-0005-0000-0000-00006D210000}"/>
    <cellStyle name="Output 2 2 4 2 4 4 2 2" xfId="8429" xr:uid="{00000000-0005-0000-0000-00006E210000}"/>
    <cellStyle name="Output 2 2 4 2 4 4 3" xfId="4025" xr:uid="{00000000-0005-0000-0000-00006F210000}"/>
    <cellStyle name="Output 2 2 4 2 4 4 3 2" xfId="9855" xr:uid="{00000000-0005-0000-0000-000070210000}"/>
    <cellStyle name="Output 2 2 4 2 4 4 4" xfId="5421" xr:uid="{00000000-0005-0000-0000-000071210000}"/>
    <cellStyle name="Output 2 2 4 2 4 4 4 2" xfId="11251" xr:uid="{00000000-0005-0000-0000-000072210000}"/>
    <cellStyle name="Output 2 2 4 2 4 4 5" xfId="6916" xr:uid="{00000000-0005-0000-0000-000073210000}"/>
    <cellStyle name="Output 2 2 4 2 4 5" xfId="1853" xr:uid="{00000000-0005-0000-0000-000074210000}"/>
    <cellStyle name="Output 2 2 4 2 4 5 2" xfId="7683" xr:uid="{00000000-0005-0000-0000-000075210000}"/>
    <cellStyle name="Output 2 2 4 2 4 6" xfId="3284" xr:uid="{00000000-0005-0000-0000-000076210000}"/>
    <cellStyle name="Output 2 2 4 2 4 6 2" xfId="9114" xr:uid="{00000000-0005-0000-0000-000077210000}"/>
    <cellStyle name="Output 2 2 4 2 4 7" xfId="4696" xr:uid="{00000000-0005-0000-0000-000078210000}"/>
    <cellStyle name="Output 2 2 4 2 4 7 2" xfId="10526" xr:uid="{00000000-0005-0000-0000-000079210000}"/>
    <cellStyle name="Output 2 2 4 2 4 8" xfId="6191" xr:uid="{00000000-0005-0000-0000-00007A210000}"/>
    <cellStyle name="Output 2 2 4 2 5" xfId="431" xr:uid="{00000000-0005-0000-0000-00007B210000}"/>
    <cellStyle name="Output 2 2 4 2 5 2" xfId="1166" xr:uid="{00000000-0005-0000-0000-00007C210000}"/>
    <cellStyle name="Output 2 2 4 2 5 2 2" xfId="2682" xr:uid="{00000000-0005-0000-0000-00007D210000}"/>
    <cellStyle name="Output 2 2 4 2 5 2 2 2" xfId="8512" xr:uid="{00000000-0005-0000-0000-00007E210000}"/>
    <cellStyle name="Output 2 2 4 2 5 2 3" xfId="4105" xr:uid="{00000000-0005-0000-0000-00007F210000}"/>
    <cellStyle name="Output 2 2 4 2 5 2 3 2" xfId="9935" xr:uid="{00000000-0005-0000-0000-000080210000}"/>
    <cellStyle name="Output 2 2 4 2 5 2 4" xfId="5501" xr:uid="{00000000-0005-0000-0000-000081210000}"/>
    <cellStyle name="Output 2 2 4 2 5 2 4 2" xfId="11331" xr:uid="{00000000-0005-0000-0000-000082210000}"/>
    <cellStyle name="Output 2 2 4 2 5 2 5" xfId="6996" xr:uid="{00000000-0005-0000-0000-000083210000}"/>
    <cellStyle name="Output 2 2 4 2 5 3" xfId="1953" xr:uid="{00000000-0005-0000-0000-000084210000}"/>
    <cellStyle name="Output 2 2 4 2 5 3 2" xfId="7783" xr:uid="{00000000-0005-0000-0000-000085210000}"/>
    <cellStyle name="Output 2 2 4 2 5 4" xfId="3380" xr:uid="{00000000-0005-0000-0000-000086210000}"/>
    <cellStyle name="Output 2 2 4 2 5 4 2" xfId="9210" xr:uid="{00000000-0005-0000-0000-000087210000}"/>
    <cellStyle name="Output 2 2 4 2 5 5" xfId="4777" xr:uid="{00000000-0005-0000-0000-000088210000}"/>
    <cellStyle name="Output 2 2 4 2 5 5 2" xfId="10607" xr:uid="{00000000-0005-0000-0000-000089210000}"/>
    <cellStyle name="Output 2 2 4 2 5 6" xfId="6272" xr:uid="{00000000-0005-0000-0000-00008A210000}"/>
    <cellStyle name="Output 2 2 4 2 6" xfId="675" xr:uid="{00000000-0005-0000-0000-00008B210000}"/>
    <cellStyle name="Output 2 2 4 2 6 2" xfId="1406" xr:uid="{00000000-0005-0000-0000-00008C210000}"/>
    <cellStyle name="Output 2 2 4 2 6 2 2" xfId="2922" xr:uid="{00000000-0005-0000-0000-00008D210000}"/>
    <cellStyle name="Output 2 2 4 2 6 2 2 2" xfId="8752" xr:uid="{00000000-0005-0000-0000-00008E210000}"/>
    <cellStyle name="Output 2 2 4 2 6 2 3" xfId="4345" xr:uid="{00000000-0005-0000-0000-00008F210000}"/>
    <cellStyle name="Output 2 2 4 2 6 2 3 2" xfId="10175" xr:uid="{00000000-0005-0000-0000-000090210000}"/>
    <cellStyle name="Output 2 2 4 2 6 2 4" xfId="5741" xr:uid="{00000000-0005-0000-0000-000091210000}"/>
    <cellStyle name="Output 2 2 4 2 6 2 4 2" xfId="11571" xr:uid="{00000000-0005-0000-0000-000092210000}"/>
    <cellStyle name="Output 2 2 4 2 6 2 5" xfId="7236" xr:uid="{00000000-0005-0000-0000-000093210000}"/>
    <cellStyle name="Output 2 2 4 2 6 3" xfId="2195" xr:uid="{00000000-0005-0000-0000-000094210000}"/>
    <cellStyle name="Output 2 2 4 2 6 3 2" xfId="8025" xr:uid="{00000000-0005-0000-0000-000095210000}"/>
    <cellStyle name="Output 2 2 4 2 6 4" xfId="3621" xr:uid="{00000000-0005-0000-0000-000096210000}"/>
    <cellStyle name="Output 2 2 4 2 6 4 2" xfId="9451" xr:uid="{00000000-0005-0000-0000-000097210000}"/>
    <cellStyle name="Output 2 2 4 2 6 5" xfId="5017" xr:uid="{00000000-0005-0000-0000-000098210000}"/>
    <cellStyle name="Output 2 2 4 2 6 5 2" xfId="10847" xr:uid="{00000000-0005-0000-0000-000099210000}"/>
    <cellStyle name="Output 2 2 4 2 6 6" xfId="6512" xr:uid="{00000000-0005-0000-0000-00009A210000}"/>
    <cellStyle name="Output 2 2 4 2 7" xfId="919" xr:uid="{00000000-0005-0000-0000-00009B210000}"/>
    <cellStyle name="Output 2 2 4 2 7 2" xfId="2439" xr:uid="{00000000-0005-0000-0000-00009C210000}"/>
    <cellStyle name="Output 2 2 4 2 7 2 2" xfId="8269" xr:uid="{00000000-0005-0000-0000-00009D210000}"/>
    <cellStyle name="Output 2 2 4 2 7 3" xfId="3865" xr:uid="{00000000-0005-0000-0000-00009E210000}"/>
    <cellStyle name="Output 2 2 4 2 7 3 2" xfId="9695" xr:uid="{00000000-0005-0000-0000-00009F210000}"/>
    <cellStyle name="Output 2 2 4 2 7 4" xfId="5261" xr:uid="{00000000-0005-0000-0000-0000A0210000}"/>
    <cellStyle name="Output 2 2 4 2 7 4 2" xfId="11091" xr:uid="{00000000-0005-0000-0000-0000A1210000}"/>
    <cellStyle name="Output 2 2 4 2 7 5" xfId="6756" xr:uid="{00000000-0005-0000-0000-0000A2210000}"/>
    <cellStyle name="Output 2 2 4 2 8" xfId="1693" xr:uid="{00000000-0005-0000-0000-0000A3210000}"/>
    <cellStyle name="Output 2 2 4 2 8 2" xfId="7523" xr:uid="{00000000-0005-0000-0000-0000A4210000}"/>
    <cellStyle name="Output 2 2 4 2 9" xfId="3124" xr:uid="{00000000-0005-0000-0000-0000A5210000}"/>
    <cellStyle name="Output 2 2 4 2 9 2" xfId="8954" xr:uid="{00000000-0005-0000-0000-0000A6210000}"/>
    <cellStyle name="Output 2 2 4 3" xfId="171" xr:uid="{00000000-0005-0000-0000-0000A7210000}"/>
    <cellStyle name="Output 2 2 4 3 10" xfId="6051" xr:uid="{00000000-0005-0000-0000-0000A8210000}"/>
    <cellStyle name="Output 2 2 4 3 2" xfId="252" xr:uid="{00000000-0005-0000-0000-0000A9210000}"/>
    <cellStyle name="Output 2 2 4 3 2 2" xfId="531" xr:uid="{00000000-0005-0000-0000-0000AA210000}"/>
    <cellStyle name="Output 2 2 4 3 2 2 2" xfId="1266" xr:uid="{00000000-0005-0000-0000-0000AB210000}"/>
    <cellStyle name="Output 2 2 4 3 2 2 2 2" xfId="2782" xr:uid="{00000000-0005-0000-0000-0000AC210000}"/>
    <cellStyle name="Output 2 2 4 3 2 2 2 2 2" xfId="8612" xr:uid="{00000000-0005-0000-0000-0000AD210000}"/>
    <cellStyle name="Output 2 2 4 3 2 2 2 3" xfId="4205" xr:uid="{00000000-0005-0000-0000-0000AE210000}"/>
    <cellStyle name="Output 2 2 4 3 2 2 2 3 2" xfId="10035" xr:uid="{00000000-0005-0000-0000-0000AF210000}"/>
    <cellStyle name="Output 2 2 4 3 2 2 2 4" xfId="5601" xr:uid="{00000000-0005-0000-0000-0000B0210000}"/>
    <cellStyle name="Output 2 2 4 3 2 2 2 4 2" xfId="11431" xr:uid="{00000000-0005-0000-0000-0000B1210000}"/>
    <cellStyle name="Output 2 2 4 3 2 2 2 5" xfId="7096" xr:uid="{00000000-0005-0000-0000-0000B2210000}"/>
    <cellStyle name="Output 2 2 4 3 2 2 3" xfId="2053" xr:uid="{00000000-0005-0000-0000-0000B3210000}"/>
    <cellStyle name="Output 2 2 4 3 2 2 3 2" xfId="7883" xr:uid="{00000000-0005-0000-0000-0000B4210000}"/>
    <cellStyle name="Output 2 2 4 3 2 2 4" xfId="3480" xr:uid="{00000000-0005-0000-0000-0000B5210000}"/>
    <cellStyle name="Output 2 2 4 3 2 2 4 2" xfId="9310" xr:uid="{00000000-0005-0000-0000-0000B6210000}"/>
    <cellStyle name="Output 2 2 4 3 2 2 5" xfId="4877" xr:uid="{00000000-0005-0000-0000-0000B7210000}"/>
    <cellStyle name="Output 2 2 4 3 2 2 5 2" xfId="10707" xr:uid="{00000000-0005-0000-0000-0000B8210000}"/>
    <cellStyle name="Output 2 2 4 3 2 2 6" xfId="6372" xr:uid="{00000000-0005-0000-0000-0000B9210000}"/>
    <cellStyle name="Output 2 2 4 3 2 3" xfId="775" xr:uid="{00000000-0005-0000-0000-0000BA210000}"/>
    <cellStyle name="Output 2 2 4 3 2 3 2" xfId="1506" xr:uid="{00000000-0005-0000-0000-0000BB210000}"/>
    <cellStyle name="Output 2 2 4 3 2 3 2 2" xfId="3022" xr:uid="{00000000-0005-0000-0000-0000BC210000}"/>
    <cellStyle name="Output 2 2 4 3 2 3 2 2 2" xfId="8852" xr:uid="{00000000-0005-0000-0000-0000BD210000}"/>
    <cellStyle name="Output 2 2 4 3 2 3 2 3" xfId="4445" xr:uid="{00000000-0005-0000-0000-0000BE210000}"/>
    <cellStyle name="Output 2 2 4 3 2 3 2 3 2" xfId="10275" xr:uid="{00000000-0005-0000-0000-0000BF210000}"/>
    <cellStyle name="Output 2 2 4 3 2 3 2 4" xfId="5841" xr:uid="{00000000-0005-0000-0000-0000C0210000}"/>
    <cellStyle name="Output 2 2 4 3 2 3 2 4 2" xfId="11671" xr:uid="{00000000-0005-0000-0000-0000C1210000}"/>
    <cellStyle name="Output 2 2 4 3 2 3 2 5" xfId="7336" xr:uid="{00000000-0005-0000-0000-0000C2210000}"/>
    <cellStyle name="Output 2 2 4 3 2 3 3" xfId="2295" xr:uid="{00000000-0005-0000-0000-0000C3210000}"/>
    <cellStyle name="Output 2 2 4 3 2 3 3 2" xfId="8125" xr:uid="{00000000-0005-0000-0000-0000C4210000}"/>
    <cellStyle name="Output 2 2 4 3 2 3 4" xfId="3721" xr:uid="{00000000-0005-0000-0000-0000C5210000}"/>
    <cellStyle name="Output 2 2 4 3 2 3 4 2" xfId="9551" xr:uid="{00000000-0005-0000-0000-0000C6210000}"/>
    <cellStyle name="Output 2 2 4 3 2 3 5" xfId="5117" xr:uid="{00000000-0005-0000-0000-0000C7210000}"/>
    <cellStyle name="Output 2 2 4 3 2 3 5 2" xfId="10947" xr:uid="{00000000-0005-0000-0000-0000C8210000}"/>
    <cellStyle name="Output 2 2 4 3 2 3 6" xfId="6612" xr:uid="{00000000-0005-0000-0000-0000C9210000}"/>
    <cellStyle name="Output 2 2 4 3 2 4" xfId="1019" xr:uid="{00000000-0005-0000-0000-0000CA210000}"/>
    <cellStyle name="Output 2 2 4 3 2 4 2" xfId="2539" xr:uid="{00000000-0005-0000-0000-0000CB210000}"/>
    <cellStyle name="Output 2 2 4 3 2 4 2 2" xfId="8369" xr:uid="{00000000-0005-0000-0000-0000CC210000}"/>
    <cellStyle name="Output 2 2 4 3 2 4 3" xfId="3965" xr:uid="{00000000-0005-0000-0000-0000CD210000}"/>
    <cellStyle name="Output 2 2 4 3 2 4 3 2" xfId="9795" xr:uid="{00000000-0005-0000-0000-0000CE210000}"/>
    <cellStyle name="Output 2 2 4 3 2 4 4" xfId="5361" xr:uid="{00000000-0005-0000-0000-0000CF210000}"/>
    <cellStyle name="Output 2 2 4 3 2 4 4 2" xfId="11191" xr:uid="{00000000-0005-0000-0000-0000D0210000}"/>
    <cellStyle name="Output 2 2 4 3 2 4 5" xfId="6856" xr:uid="{00000000-0005-0000-0000-0000D1210000}"/>
    <cellStyle name="Output 2 2 4 3 2 5" xfId="1793" xr:uid="{00000000-0005-0000-0000-0000D2210000}"/>
    <cellStyle name="Output 2 2 4 3 2 5 2" xfId="7623" xr:uid="{00000000-0005-0000-0000-0000D3210000}"/>
    <cellStyle name="Output 2 2 4 3 2 6" xfId="3224" xr:uid="{00000000-0005-0000-0000-0000D4210000}"/>
    <cellStyle name="Output 2 2 4 3 2 6 2" xfId="9054" xr:uid="{00000000-0005-0000-0000-0000D5210000}"/>
    <cellStyle name="Output 2 2 4 3 2 7" xfId="4636" xr:uid="{00000000-0005-0000-0000-0000D6210000}"/>
    <cellStyle name="Output 2 2 4 3 2 7 2" xfId="10466" xr:uid="{00000000-0005-0000-0000-0000D7210000}"/>
    <cellStyle name="Output 2 2 4 3 2 8" xfId="6131" xr:uid="{00000000-0005-0000-0000-0000D8210000}"/>
    <cellStyle name="Output 2 2 4 3 3" xfId="332" xr:uid="{00000000-0005-0000-0000-0000D9210000}"/>
    <cellStyle name="Output 2 2 4 3 3 2" xfId="611" xr:uid="{00000000-0005-0000-0000-0000DA210000}"/>
    <cellStyle name="Output 2 2 4 3 3 2 2" xfId="1346" xr:uid="{00000000-0005-0000-0000-0000DB210000}"/>
    <cellStyle name="Output 2 2 4 3 3 2 2 2" xfId="2862" xr:uid="{00000000-0005-0000-0000-0000DC210000}"/>
    <cellStyle name="Output 2 2 4 3 3 2 2 2 2" xfId="8692" xr:uid="{00000000-0005-0000-0000-0000DD210000}"/>
    <cellStyle name="Output 2 2 4 3 3 2 2 3" xfId="4285" xr:uid="{00000000-0005-0000-0000-0000DE210000}"/>
    <cellStyle name="Output 2 2 4 3 3 2 2 3 2" xfId="10115" xr:uid="{00000000-0005-0000-0000-0000DF210000}"/>
    <cellStyle name="Output 2 2 4 3 3 2 2 4" xfId="5681" xr:uid="{00000000-0005-0000-0000-0000E0210000}"/>
    <cellStyle name="Output 2 2 4 3 3 2 2 4 2" xfId="11511" xr:uid="{00000000-0005-0000-0000-0000E1210000}"/>
    <cellStyle name="Output 2 2 4 3 3 2 2 5" xfId="7176" xr:uid="{00000000-0005-0000-0000-0000E2210000}"/>
    <cellStyle name="Output 2 2 4 3 3 2 3" xfId="2133" xr:uid="{00000000-0005-0000-0000-0000E3210000}"/>
    <cellStyle name="Output 2 2 4 3 3 2 3 2" xfId="7963" xr:uid="{00000000-0005-0000-0000-0000E4210000}"/>
    <cellStyle name="Output 2 2 4 3 3 2 4" xfId="3560" xr:uid="{00000000-0005-0000-0000-0000E5210000}"/>
    <cellStyle name="Output 2 2 4 3 3 2 4 2" xfId="9390" xr:uid="{00000000-0005-0000-0000-0000E6210000}"/>
    <cellStyle name="Output 2 2 4 3 3 2 5" xfId="4957" xr:uid="{00000000-0005-0000-0000-0000E7210000}"/>
    <cellStyle name="Output 2 2 4 3 3 2 5 2" xfId="10787" xr:uid="{00000000-0005-0000-0000-0000E8210000}"/>
    <cellStyle name="Output 2 2 4 3 3 2 6" xfId="6452" xr:uid="{00000000-0005-0000-0000-0000E9210000}"/>
    <cellStyle name="Output 2 2 4 3 3 3" xfId="855" xr:uid="{00000000-0005-0000-0000-0000EA210000}"/>
    <cellStyle name="Output 2 2 4 3 3 3 2" xfId="1586" xr:uid="{00000000-0005-0000-0000-0000EB210000}"/>
    <cellStyle name="Output 2 2 4 3 3 3 2 2" xfId="3102" xr:uid="{00000000-0005-0000-0000-0000EC210000}"/>
    <cellStyle name="Output 2 2 4 3 3 3 2 2 2" xfId="8932" xr:uid="{00000000-0005-0000-0000-0000ED210000}"/>
    <cellStyle name="Output 2 2 4 3 3 3 2 3" xfId="4525" xr:uid="{00000000-0005-0000-0000-0000EE210000}"/>
    <cellStyle name="Output 2 2 4 3 3 3 2 3 2" xfId="10355" xr:uid="{00000000-0005-0000-0000-0000EF210000}"/>
    <cellStyle name="Output 2 2 4 3 3 3 2 4" xfId="5921" xr:uid="{00000000-0005-0000-0000-0000F0210000}"/>
    <cellStyle name="Output 2 2 4 3 3 3 2 4 2" xfId="11751" xr:uid="{00000000-0005-0000-0000-0000F1210000}"/>
    <cellStyle name="Output 2 2 4 3 3 3 2 5" xfId="7416" xr:uid="{00000000-0005-0000-0000-0000F2210000}"/>
    <cellStyle name="Output 2 2 4 3 3 3 3" xfId="2375" xr:uid="{00000000-0005-0000-0000-0000F3210000}"/>
    <cellStyle name="Output 2 2 4 3 3 3 3 2" xfId="8205" xr:uid="{00000000-0005-0000-0000-0000F4210000}"/>
    <cellStyle name="Output 2 2 4 3 3 3 4" xfId="3801" xr:uid="{00000000-0005-0000-0000-0000F5210000}"/>
    <cellStyle name="Output 2 2 4 3 3 3 4 2" xfId="9631" xr:uid="{00000000-0005-0000-0000-0000F6210000}"/>
    <cellStyle name="Output 2 2 4 3 3 3 5" xfId="5197" xr:uid="{00000000-0005-0000-0000-0000F7210000}"/>
    <cellStyle name="Output 2 2 4 3 3 3 5 2" xfId="11027" xr:uid="{00000000-0005-0000-0000-0000F8210000}"/>
    <cellStyle name="Output 2 2 4 3 3 3 6" xfId="6692" xr:uid="{00000000-0005-0000-0000-0000F9210000}"/>
    <cellStyle name="Output 2 2 4 3 3 4" xfId="1099" xr:uid="{00000000-0005-0000-0000-0000FA210000}"/>
    <cellStyle name="Output 2 2 4 3 3 4 2" xfId="2619" xr:uid="{00000000-0005-0000-0000-0000FB210000}"/>
    <cellStyle name="Output 2 2 4 3 3 4 2 2" xfId="8449" xr:uid="{00000000-0005-0000-0000-0000FC210000}"/>
    <cellStyle name="Output 2 2 4 3 3 4 3" xfId="4045" xr:uid="{00000000-0005-0000-0000-0000FD210000}"/>
    <cellStyle name="Output 2 2 4 3 3 4 3 2" xfId="9875" xr:uid="{00000000-0005-0000-0000-0000FE210000}"/>
    <cellStyle name="Output 2 2 4 3 3 4 4" xfId="5441" xr:uid="{00000000-0005-0000-0000-0000FF210000}"/>
    <cellStyle name="Output 2 2 4 3 3 4 4 2" xfId="11271" xr:uid="{00000000-0005-0000-0000-000000220000}"/>
    <cellStyle name="Output 2 2 4 3 3 4 5" xfId="6936" xr:uid="{00000000-0005-0000-0000-000001220000}"/>
    <cellStyle name="Output 2 2 4 3 3 5" xfId="1873" xr:uid="{00000000-0005-0000-0000-000002220000}"/>
    <cellStyle name="Output 2 2 4 3 3 5 2" xfId="7703" xr:uid="{00000000-0005-0000-0000-000003220000}"/>
    <cellStyle name="Output 2 2 4 3 3 6" xfId="3304" xr:uid="{00000000-0005-0000-0000-000004220000}"/>
    <cellStyle name="Output 2 2 4 3 3 6 2" xfId="9134" xr:uid="{00000000-0005-0000-0000-000005220000}"/>
    <cellStyle name="Output 2 2 4 3 3 7" xfId="4716" xr:uid="{00000000-0005-0000-0000-000006220000}"/>
    <cellStyle name="Output 2 2 4 3 3 7 2" xfId="10546" xr:uid="{00000000-0005-0000-0000-000007220000}"/>
    <cellStyle name="Output 2 2 4 3 3 8" xfId="6211" xr:uid="{00000000-0005-0000-0000-000008220000}"/>
    <cellStyle name="Output 2 2 4 3 4" xfId="451" xr:uid="{00000000-0005-0000-0000-000009220000}"/>
    <cellStyle name="Output 2 2 4 3 4 2" xfId="1186" xr:uid="{00000000-0005-0000-0000-00000A220000}"/>
    <cellStyle name="Output 2 2 4 3 4 2 2" xfId="2702" xr:uid="{00000000-0005-0000-0000-00000B220000}"/>
    <cellStyle name="Output 2 2 4 3 4 2 2 2" xfId="8532" xr:uid="{00000000-0005-0000-0000-00000C220000}"/>
    <cellStyle name="Output 2 2 4 3 4 2 3" xfId="4125" xr:uid="{00000000-0005-0000-0000-00000D220000}"/>
    <cellStyle name="Output 2 2 4 3 4 2 3 2" xfId="9955" xr:uid="{00000000-0005-0000-0000-00000E220000}"/>
    <cellStyle name="Output 2 2 4 3 4 2 4" xfId="5521" xr:uid="{00000000-0005-0000-0000-00000F220000}"/>
    <cellStyle name="Output 2 2 4 3 4 2 4 2" xfId="11351" xr:uid="{00000000-0005-0000-0000-000010220000}"/>
    <cellStyle name="Output 2 2 4 3 4 2 5" xfId="7016" xr:uid="{00000000-0005-0000-0000-000011220000}"/>
    <cellStyle name="Output 2 2 4 3 4 3" xfId="1973" xr:uid="{00000000-0005-0000-0000-000012220000}"/>
    <cellStyle name="Output 2 2 4 3 4 3 2" xfId="7803" xr:uid="{00000000-0005-0000-0000-000013220000}"/>
    <cellStyle name="Output 2 2 4 3 4 4" xfId="3400" xr:uid="{00000000-0005-0000-0000-000014220000}"/>
    <cellStyle name="Output 2 2 4 3 4 4 2" xfId="9230" xr:uid="{00000000-0005-0000-0000-000015220000}"/>
    <cellStyle name="Output 2 2 4 3 4 5" xfId="4797" xr:uid="{00000000-0005-0000-0000-000016220000}"/>
    <cellStyle name="Output 2 2 4 3 4 5 2" xfId="10627" xr:uid="{00000000-0005-0000-0000-000017220000}"/>
    <cellStyle name="Output 2 2 4 3 4 6" xfId="6292" xr:uid="{00000000-0005-0000-0000-000018220000}"/>
    <cellStyle name="Output 2 2 4 3 5" xfId="695" xr:uid="{00000000-0005-0000-0000-000019220000}"/>
    <cellStyle name="Output 2 2 4 3 5 2" xfId="1426" xr:uid="{00000000-0005-0000-0000-00001A220000}"/>
    <cellStyle name="Output 2 2 4 3 5 2 2" xfId="2942" xr:uid="{00000000-0005-0000-0000-00001B220000}"/>
    <cellStyle name="Output 2 2 4 3 5 2 2 2" xfId="8772" xr:uid="{00000000-0005-0000-0000-00001C220000}"/>
    <cellStyle name="Output 2 2 4 3 5 2 3" xfId="4365" xr:uid="{00000000-0005-0000-0000-00001D220000}"/>
    <cellStyle name="Output 2 2 4 3 5 2 3 2" xfId="10195" xr:uid="{00000000-0005-0000-0000-00001E220000}"/>
    <cellStyle name="Output 2 2 4 3 5 2 4" xfId="5761" xr:uid="{00000000-0005-0000-0000-00001F220000}"/>
    <cellStyle name="Output 2 2 4 3 5 2 4 2" xfId="11591" xr:uid="{00000000-0005-0000-0000-000020220000}"/>
    <cellStyle name="Output 2 2 4 3 5 2 5" xfId="7256" xr:uid="{00000000-0005-0000-0000-000021220000}"/>
    <cellStyle name="Output 2 2 4 3 5 3" xfId="2215" xr:uid="{00000000-0005-0000-0000-000022220000}"/>
    <cellStyle name="Output 2 2 4 3 5 3 2" xfId="8045" xr:uid="{00000000-0005-0000-0000-000023220000}"/>
    <cellStyle name="Output 2 2 4 3 5 4" xfId="3641" xr:uid="{00000000-0005-0000-0000-000024220000}"/>
    <cellStyle name="Output 2 2 4 3 5 4 2" xfId="9471" xr:uid="{00000000-0005-0000-0000-000025220000}"/>
    <cellStyle name="Output 2 2 4 3 5 5" xfId="5037" xr:uid="{00000000-0005-0000-0000-000026220000}"/>
    <cellStyle name="Output 2 2 4 3 5 5 2" xfId="10867" xr:uid="{00000000-0005-0000-0000-000027220000}"/>
    <cellStyle name="Output 2 2 4 3 5 6" xfId="6532" xr:uid="{00000000-0005-0000-0000-000028220000}"/>
    <cellStyle name="Output 2 2 4 3 6" xfId="939" xr:uid="{00000000-0005-0000-0000-000029220000}"/>
    <cellStyle name="Output 2 2 4 3 6 2" xfId="2459" xr:uid="{00000000-0005-0000-0000-00002A220000}"/>
    <cellStyle name="Output 2 2 4 3 6 2 2" xfId="8289" xr:uid="{00000000-0005-0000-0000-00002B220000}"/>
    <cellStyle name="Output 2 2 4 3 6 3" xfId="3885" xr:uid="{00000000-0005-0000-0000-00002C220000}"/>
    <cellStyle name="Output 2 2 4 3 6 3 2" xfId="9715" xr:uid="{00000000-0005-0000-0000-00002D220000}"/>
    <cellStyle name="Output 2 2 4 3 6 4" xfId="5281" xr:uid="{00000000-0005-0000-0000-00002E220000}"/>
    <cellStyle name="Output 2 2 4 3 6 4 2" xfId="11111" xr:uid="{00000000-0005-0000-0000-00002F220000}"/>
    <cellStyle name="Output 2 2 4 3 6 5" xfId="6776" xr:uid="{00000000-0005-0000-0000-000030220000}"/>
    <cellStyle name="Output 2 2 4 3 7" xfId="1713" xr:uid="{00000000-0005-0000-0000-000031220000}"/>
    <cellStyle name="Output 2 2 4 3 7 2" xfId="7543" xr:uid="{00000000-0005-0000-0000-000032220000}"/>
    <cellStyle name="Output 2 2 4 3 8" xfId="3144" xr:uid="{00000000-0005-0000-0000-000033220000}"/>
    <cellStyle name="Output 2 2 4 3 8 2" xfId="8974" xr:uid="{00000000-0005-0000-0000-000034220000}"/>
    <cellStyle name="Output 2 2 4 3 9" xfId="4556" xr:uid="{00000000-0005-0000-0000-000035220000}"/>
    <cellStyle name="Output 2 2 4 3 9 2" xfId="10386" xr:uid="{00000000-0005-0000-0000-000036220000}"/>
    <cellStyle name="Output 2 2 4 4" xfId="211" xr:uid="{00000000-0005-0000-0000-000037220000}"/>
    <cellStyle name="Output 2 2 4 4 2" xfId="491" xr:uid="{00000000-0005-0000-0000-000038220000}"/>
    <cellStyle name="Output 2 2 4 4 2 2" xfId="1226" xr:uid="{00000000-0005-0000-0000-000039220000}"/>
    <cellStyle name="Output 2 2 4 4 2 2 2" xfId="2742" xr:uid="{00000000-0005-0000-0000-00003A220000}"/>
    <cellStyle name="Output 2 2 4 4 2 2 2 2" xfId="8572" xr:uid="{00000000-0005-0000-0000-00003B220000}"/>
    <cellStyle name="Output 2 2 4 4 2 2 3" xfId="4165" xr:uid="{00000000-0005-0000-0000-00003C220000}"/>
    <cellStyle name="Output 2 2 4 4 2 2 3 2" xfId="9995" xr:uid="{00000000-0005-0000-0000-00003D220000}"/>
    <cellStyle name="Output 2 2 4 4 2 2 4" xfId="5561" xr:uid="{00000000-0005-0000-0000-00003E220000}"/>
    <cellStyle name="Output 2 2 4 4 2 2 4 2" xfId="11391" xr:uid="{00000000-0005-0000-0000-00003F220000}"/>
    <cellStyle name="Output 2 2 4 4 2 2 5" xfId="7056" xr:uid="{00000000-0005-0000-0000-000040220000}"/>
    <cellStyle name="Output 2 2 4 4 2 3" xfId="2013" xr:uid="{00000000-0005-0000-0000-000041220000}"/>
    <cellStyle name="Output 2 2 4 4 2 3 2" xfId="7843" xr:uid="{00000000-0005-0000-0000-000042220000}"/>
    <cellStyle name="Output 2 2 4 4 2 4" xfId="3440" xr:uid="{00000000-0005-0000-0000-000043220000}"/>
    <cellStyle name="Output 2 2 4 4 2 4 2" xfId="9270" xr:uid="{00000000-0005-0000-0000-000044220000}"/>
    <cellStyle name="Output 2 2 4 4 2 5" xfId="4837" xr:uid="{00000000-0005-0000-0000-000045220000}"/>
    <cellStyle name="Output 2 2 4 4 2 5 2" xfId="10667" xr:uid="{00000000-0005-0000-0000-000046220000}"/>
    <cellStyle name="Output 2 2 4 4 2 6" xfId="6332" xr:uid="{00000000-0005-0000-0000-000047220000}"/>
    <cellStyle name="Output 2 2 4 4 3" xfId="735" xr:uid="{00000000-0005-0000-0000-000048220000}"/>
    <cellStyle name="Output 2 2 4 4 3 2" xfId="1466" xr:uid="{00000000-0005-0000-0000-000049220000}"/>
    <cellStyle name="Output 2 2 4 4 3 2 2" xfId="2982" xr:uid="{00000000-0005-0000-0000-00004A220000}"/>
    <cellStyle name="Output 2 2 4 4 3 2 2 2" xfId="8812" xr:uid="{00000000-0005-0000-0000-00004B220000}"/>
    <cellStyle name="Output 2 2 4 4 3 2 3" xfId="4405" xr:uid="{00000000-0005-0000-0000-00004C220000}"/>
    <cellStyle name="Output 2 2 4 4 3 2 3 2" xfId="10235" xr:uid="{00000000-0005-0000-0000-00004D220000}"/>
    <cellStyle name="Output 2 2 4 4 3 2 4" xfId="5801" xr:uid="{00000000-0005-0000-0000-00004E220000}"/>
    <cellStyle name="Output 2 2 4 4 3 2 4 2" xfId="11631" xr:uid="{00000000-0005-0000-0000-00004F220000}"/>
    <cellStyle name="Output 2 2 4 4 3 2 5" xfId="7296" xr:uid="{00000000-0005-0000-0000-000050220000}"/>
    <cellStyle name="Output 2 2 4 4 3 3" xfId="2255" xr:uid="{00000000-0005-0000-0000-000051220000}"/>
    <cellStyle name="Output 2 2 4 4 3 3 2" xfId="8085" xr:uid="{00000000-0005-0000-0000-000052220000}"/>
    <cellStyle name="Output 2 2 4 4 3 4" xfId="3681" xr:uid="{00000000-0005-0000-0000-000053220000}"/>
    <cellStyle name="Output 2 2 4 4 3 4 2" xfId="9511" xr:uid="{00000000-0005-0000-0000-000054220000}"/>
    <cellStyle name="Output 2 2 4 4 3 5" xfId="5077" xr:uid="{00000000-0005-0000-0000-000055220000}"/>
    <cellStyle name="Output 2 2 4 4 3 5 2" xfId="10907" xr:uid="{00000000-0005-0000-0000-000056220000}"/>
    <cellStyle name="Output 2 2 4 4 3 6" xfId="6572" xr:uid="{00000000-0005-0000-0000-000057220000}"/>
    <cellStyle name="Output 2 2 4 4 4" xfId="979" xr:uid="{00000000-0005-0000-0000-000058220000}"/>
    <cellStyle name="Output 2 2 4 4 4 2" xfId="2499" xr:uid="{00000000-0005-0000-0000-000059220000}"/>
    <cellStyle name="Output 2 2 4 4 4 2 2" xfId="8329" xr:uid="{00000000-0005-0000-0000-00005A220000}"/>
    <cellStyle name="Output 2 2 4 4 4 3" xfId="3925" xr:uid="{00000000-0005-0000-0000-00005B220000}"/>
    <cellStyle name="Output 2 2 4 4 4 3 2" xfId="9755" xr:uid="{00000000-0005-0000-0000-00005C220000}"/>
    <cellStyle name="Output 2 2 4 4 4 4" xfId="5321" xr:uid="{00000000-0005-0000-0000-00005D220000}"/>
    <cellStyle name="Output 2 2 4 4 4 4 2" xfId="11151" xr:uid="{00000000-0005-0000-0000-00005E220000}"/>
    <cellStyle name="Output 2 2 4 4 4 5" xfId="6816" xr:uid="{00000000-0005-0000-0000-00005F220000}"/>
    <cellStyle name="Output 2 2 4 4 5" xfId="1753" xr:uid="{00000000-0005-0000-0000-000060220000}"/>
    <cellStyle name="Output 2 2 4 4 5 2" xfId="7583" xr:uid="{00000000-0005-0000-0000-000061220000}"/>
    <cellStyle name="Output 2 2 4 4 6" xfId="3184" xr:uid="{00000000-0005-0000-0000-000062220000}"/>
    <cellStyle name="Output 2 2 4 4 6 2" xfId="9014" xr:uid="{00000000-0005-0000-0000-000063220000}"/>
    <cellStyle name="Output 2 2 4 4 7" xfId="4596" xr:uid="{00000000-0005-0000-0000-000064220000}"/>
    <cellStyle name="Output 2 2 4 4 7 2" xfId="10426" xr:uid="{00000000-0005-0000-0000-000065220000}"/>
    <cellStyle name="Output 2 2 4 4 8" xfId="6091" xr:uid="{00000000-0005-0000-0000-000066220000}"/>
    <cellStyle name="Output 2 2 4 5" xfId="292" xr:uid="{00000000-0005-0000-0000-000067220000}"/>
    <cellStyle name="Output 2 2 4 5 2" xfId="571" xr:uid="{00000000-0005-0000-0000-000068220000}"/>
    <cellStyle name="Output 2 2 4 5 2 2" xfId="1306" xr:uid="{00000000-0005-0000-0000-000069220000}"/>
    <cellStyle name="Output 2 2 4 5 2 2 2" xfId="2822" xr:uid="{00000000-0005-0000-0000-00006A220000}"/>
    <cellStyle name="Output 2 2 4 5 2 2 2 2" xfId="8652" xr:uid="{00000000-0005-0000-0000-00006B220000}"/>
    <cellStyle name="Output 2 2 4 5 2 2 3" xfId="4245" xr:uid="{00000000-0005-0000-0000-00006C220000}"/>
    <cellStyle name="Output 2 2 4 5 2 2 3 2" xfId="10075" xr:uid="{00000000-0005-0000-0000-00006D220000}"/>
    <cellStyle name="Output 2 2 4 5 2 2 4" xfId="5641" xr:uid="{00000000-0005-0000-0000-00006E220000}"/>
    <cellStyle name="Output 2 2 4 5 2 2 4 2" xfId="11471" xr:uid="{00000000-0005-0000-0000-00006F220000}"/>
    <cellStyle name="Output 2 2 4 5 2 2 5" xfId="7136" xr:uid="{00000000-0005-0000-0000-000070220000}"/>
    <cellStyle name="Output 2 2 4 5 2 3" xfId="2093" xr:uid="{00000000-0005-0000-0000-000071220000}"/>
    <cellStyle name="Output 2 2 4 5 2 3 2" xfId="7923" xr:uid="{00000000-0005-0000-0000-000072220000}"/>
    <cellStyle name="Output 2 2 4 5 2 4" xfId="3520" xr:uid="{00000000-0005-0000-0000-000073220000}"/>
    <cellStyle name="Output 2 2 4 5 2 4 2" xfId="9350" xr:uid="{00000000-0005-0000-0000-000074220000}"/>
    <cellStyle name="Output 2 2 4 5 2 5" xfId="4917" xr:uid="{00000000-0005-0000-0000-000075220000}"/>
    <cellStyle name="Output 2 2 4 5 2 5 2" xfId="10747" xr:uid="{00000000-0005-0000-0000-000076220000}"/>
    <cellStyle name="Output 2 2 4 5 2 6" xfId="6412" xr:uid="{00000000-0005-0000-0000-000077220000}"/>
    <cellStyle name="Output 2 2 4 5 3" xfId="815" xr:uid="{00000000-0005-0000-0000-000078220000}"/>
    <cellStyle name="Output 2 2 4 5 3 2" xfId="1546" xr:uid="{00000000-0005-0000-0000-000079220000}"/>
    <cellStyle name="Output 2 2 4 5 3 2 2" xfId="3062" xr:uid="{00000000-0005-0000-0000-00007A220000}"/>
    <cellStyle name="Output 2 2 4 5 3 2 2 2" xfId="8892" xr:uid="{00000000-0005-0000-0000-00007B220000}"/>
    <cellStyle name="Output 2 2 4 5 3 2 3" xfId="4485" xr:uid="{00000000-0005-0000-0000-00007C220000}"/>
    <cellStyle name="Output 2 2 4 5 3 2 3 2" xfId="10315" xr:uid="{00000000-0005-0000-0000-00007D220000}"/>
    <cellStyle name="Output 2 2 4 5 3 2 4" xfId="5881" xr:uid="{00000000-0005-0000-0000-00007E220000}"/>
    <cellStyle name="Output 2 2 4 5 3 2 4 2" xfId="11711" xr:uid="{00000000-0005-0000-0000-00007F220000}"/>
    <cellStyle name="Output 2 2 4 5 3 2 5" xfId="7376" xr:uid="{00000000-0005-0000-0000-000080220000}"/>
    <cellStyle name="Output 2 2 4 5 3 3" xfId="2335" xr:uid="{00000000-0005-0000-0000-000081220000}"/>
    <cellStyle name="Output 2 2 4 5 3 3 2" xfId="8165" xr:uid="{00000000-0005-0000-0000-000082220000}"/>
    <cellStyle name="Output 2 2 4 5 3 4" xfId="3761" xr:uid="{00000000-0005-0000-0000-000083220000}"/>
    <cellStyle name="Output 2 2 4 5 3 4 2" xfId="9591" xr:uid="{00000000-0005-0000-0000-000084220000}"/>
    <cellStyle name="Output 2 2 4 5 3 5" xfId="5157" xr:uid="{00000000-0005-0000-0000-000085220000}"/>
    <cellStyle name="Output 2 2 4 5 3 5 2" xfId="10987" xr:uid="{00000000-0005-0000-0000-000086220000}"/>
    <cellStyle name="Output 2 2 4 5 3 6" xfId="6652" xr:uid="{00000000-0005-0000-0000-000087220000}"/>
    <cellStyle name="Output 2 2 4 5 4" xfId="1059" xr:uid="{00000000-0005-0000-0000-000088220000}"/>
    <cellStyle name="Output 2 2 4 5 4 2" xfId="2579" xr:uid="{00000000-0005-0000-0000-000089220000}"/>
    <cellStyle name="Output 2 2 4 5 4 2 2" xfId="8409" xr:uid="{00000000-0005-0000-0000-00008A220000}"/>
    <cellStyle name="Output 2 2 4 5 4 3" xfId="4005" xr:uid="{00000000-0005-0000-0000-00008B220000}"/>
    <cellStyle name="Output 2 2 4 5 4 3 2" xfId="9835" xr:uid="{00000000-0005-0000-0000-00008C220000}"/>
    <cellStyle name="Output 2 2 4 5 4 4" xfId="5401" xr:uid="{00000000-0005-0000-0000-00008D220000}"/>
    <cellStyle name="Output 2 2 4 5 4 4 2" xfId="11231" xr:uid="{00000000-0005-0000-0000-00008E220000}"/>
    <cellStyle name="Output 2 2 4 5 4 5" xfId="6896" xr:uid="{00000000-0005-0000-0000-00008F220000}"/>
    <cellStyle name="Output 2 2 4 5 5" xfId="1833" xr:uid="{00000000-0005-0000-0000-000090220000}"/>
    <cellStyle name="Output 2 2 4 5 5 2" xfId="7663" xr:uid="{00000000-0005-0000-0000-000091220000}"/>
    <cellStyle name="Output 2 2 4 5 6" xfId="3264" xr:uid="{00000000-0005-0000-0000-000092220000}"/>
    <cellStyle name="Output 2 2 4 5 6 2" xfId="9094" xr:uid="{00000000-0005-0000-0000-000093220000}"/>
    <cellStyle name="Output 2 2 4 5 7" xfId="4676" xr:uid="{00000000-0005-0000-0000-000094220000}"/>
    <cellStyle name="Output 2 2 4 5 7 2" xfId="10506" xr:uid="{00000000-0005-0000-0000-000095220000}"/>
    <cellStyle name="Output 2 2 4 5 8" xfId="6171" xr:uid="{00000000-0005-0000-0000-000096220000}"/>
    <cellStyle name="Output 2 2 4 6" xfId="411" xr:uid="{00000000-0005-0000-0000-000097220000}"/>
    <cellStyle name="Output 2 2 4 6 2" xfId="1146" xr:uid="{00000000-0005-0000-0000-000098220000}"/>
    <cellStyle name="Output 2 2 4 6 2 2" xfId="2662" xr:uid="{00000000-0005-0000-0000-000099220000}"/>
    <cellStyle name="Output 2 2 4 6 2 2 2" xfId="8492" xr:uid="{00000000-0005-0000-0000-00009A220000}"/>
    <cellStyle name="Output 2 2 4 6 2 3" xfId="4085" xr:uid="{00000000-0005-0000-0000-00009B220000}"/>
    <cellStyle name="Output 2 2 4 6 2 3 2" xfId="9915" xr:uid="{00000000-0005-0000-0000-00009C220000}"/>
    <cellStyle name="Output 2 2 4 6 2 4" xfId="5481" xr:uid="{00000000-0005-0000-0000-00009D220000}"/>
    <cellStyle name="Output 2 2 4 6 2 4 2" xfId="11311" xr:uid="{00000000-0005-0000-0000-00009E220000}"/>
    <cellStyle name="Output 2 2 4 6 2 5" xfId="6976" xr:uid="{00000000-0005-0000-0000-00009F220000}"/>
    <cellStyle name="Output 2 2 4 6 3" xfId="1933" xr:uid="{00000000-0005-0000-0000-0000A0220000}"/>
    <cellStyle name="Output 2 2 4 6 3 2" xfId="7763" xr:uid="{00000000-0005-0000-0000-0000A1220000}"/>
    <cellStyle name="Output 2 2 4 6 4" xfId="3360" xr:uid="{00000000-0005-0000-0000-0000A2220000}"/>
    <cellStyle name="Output 2 2 4 6 4 2" xfId="9190" xr:uid="{00000000-0005-0000-0000-0000A3220000}"/>
    <cellStyle name="Output 2 2 4 6 5" xfId="4757" xr:uid="{00000000-0005-0000-0000-0000A4220000}"/>
    <cellStyle name="Output 2 2 4 6 5 2" xfId="10587" xr:uid="{00000000-0005-0000-0000-0000A5220000}"/>
    <cellStyle name="Output 2 2 4 6 6" xfId="6252" xr:uid="{00000000-0005-0000-0000-0000A6220000}"/>
    <cellStyle name="Output 2 2 4 7" xfId="655" xr:uid="{00000000-0005-0000-0000-0000A7220000}"/>
    <cellStyle name="Output 2 2 4 7 2" xfId="1386" xr:uid="{00000000-0005-0000-0000-0000A8220000}"/>
    <cellStyle name="Output 2 2 4 7 2 2" xfId="2902" xr:uid="{00000000-0005-0000-0000-0000A9220000}"/>
    <cellStyle name="Output 2 2 4 7 2 2 2" xfId="8732" xr:uid="{00000000-0005-0000-0000-0000AA220000}"/>
    <cellStyle name="Output 2 2 4 7 2 3" xfId="4325" xr:uid="{00000000-0005-0000-0000-0000AB220000}"/>
    <cellStyle name="Output 2 2 4 7 2 3 2" xfId="10155" xr:uid="{00000000-0005-0000-0000-0000AC220000}"/>
    <cellStyle name="Output 2 2 4 7 2 4" xfId="5721" xr:uid="{00000000-0005-0000-0000-0000AD220000}"/>
    <cellStyle name="Output 2 2 4 7 2 4 2" xfId="11551" xr:uid="{00000000-0005-0000-0000-0000AE220000}"/>
    <cellStyle name="Output 2 2 4 7 2 5" xfId="7216" xr:uid="{00000000-0005-0000-0000-0000AF220000}"/>
    <cellStyle name="Output 2 2 4 7 3" xfId="2175" xr:uid="{00000000-0005-0000-0000-0000B0220000}"/>
    <cellStyle name="Output 2 2 4 7 3 2" xfId="8005" xr:uid="{00000000-0005-0000-0000-0000B1220000}"/>
    <cellStyle name="Output 2 2 4 7 4" xfId="3601" xr:uid="{00000000-0005-0000-0000-0000B2220000}"/>
    <cellStyle name="Output 2 2 4 7 4 2" xfId="9431" xr:uid="{00000000-0005-0000-0000-0000B3220000}"/>
    <cellStyle name="Output 2 2 4 7 5" xfId="4997" xr:uid="{00000000-0005-0000-0000-0000B4220000}"/>
    <cellStyle name="Output 2 2 4 7 5 2" xfId="10827" xr:uid="{00000000-0005-0000-0000-0000B5220000}"/>
    <cellStyle name="Output 2 2 4 7 6" xfId="6492" xr:uid="{00000000-0005-0000-0000-0000B6220000}"/>
    <cellStyle name="Output 2 2 4 8" xfId="899" xr:uid="{00000000-0005-0000-0000-0000B7220000}"/>
    <cellStyle name="Output 2 2 4 8 2" xfId="2419" xr:uid="{00000000-0005-0000-0000-0000B8220000}"/>
    <cellStyle name="Output 2 2 4 8 2 2" xfId="8249" xr:uid="{00000000-0005-0000-0000-0000B9220000}"/>
    <cellStyle name="Output 2 2 4 8 3" xfId="3845" xr:uid="{00000000-0005-0000-0000-0000BA220000}"/>
    <cellStyle name="Output 2 2 4 8 3 2" xfId="9675" xr:uid="{00000000-0005-0000-0000-0000BB220000}"/>
    <cellStyle name="Output 2 2 4 8 4" xfId="5241" xr:uid="{00000000-0005-0000-0000-0000BC220000}"/>
    <cellStyle name="Output 2 2 4 8 4 2" xfId="11071" xr:uid="{00000000-0005-0000-0000-0000BD220000}"/>
    <cellStyle name="Output 2 2 4 8 5" xfId="6736" xr:uid="{00000000-0005-0000-0000-0000BE220000}"/>
    <cellStyle name="Output 2 2 4 9" xfId="1673" xr:uid="{00000000-0005-0000-0000-0000BF220000}"/>
    <cellStyle name="Output 2 2 4 9 2" xfId="7503" xr:uid="{00000000-0005-0000-0000-0000C0220000}"/>
    <cellStyle name="Output 2 2 5" xfId="135" xr:uid="{00000000-0005-0000-0000-0000C1220000}"/>
    <cellStyle name="Output 2 2 5 10" xfId="3340" xr:uid="{00000000-0005-0000-0000-0000C2220000}"/>
    <cellStyle name="Output 2 2 5 10 2" xfId="9170" xr:uid="{00000000-0005-0000-0000-0000C3220000}"/>
    <cellStyle name="Output 2 2 5 11" xfId="6016" xr:uid="{00000000-0005-0000-0000-0000C4220000}"/>
    <cellStyle name="Output 2 2 5 2" xfId="176" xr:uid="{00000000-0005-0000-0000-0000C5220000}"/>
    <cellStyle name="Output 2 2 5 2 10" xfId="6056" xr:uid="{00000000-0005-0000-0000-0000C6220000}"/>
    <cellStyle name="Output 2 2 5 2 2" xfId="257" xr:uid="{00000000-0005-0000-0000-0000C7220000}"/>
    <cellStyle name="Output 2 2 5 2 2 2" xfId="536" xr:uid="{00000000-0005-0000-0000-0000C8220000}"/>
    <cellStyle name="Output 2 2 5 2 2 2 2" xfId="1271" xr:uid="{00000000-0005-0000-0000-0000C9220000}"/>
    <cellStyle name="Output 2 2 5 2 2 2 2 2" xfId="2787" xr:uid="{00000000-0005-0000-0000-0000CA220000}"/>
    <cellStyle name="Output 2 2 5 2 2 2 2 2 2" xfId="8617" xr:uid="{00000000-0005-0000-0000-0000CB220000}"/>
    <cellStyle name="Output 2 2 5 2 2 2 2 3" xfId="4210" xr:uid="{00000000-0005-0000-0000-0000CC220000}"/>
    <cellStyle name="Output 2 2 5 2 2 2 2 3 2" xfId="10040" xr:uid="{00000000-0005-0000-0000-0000CD220000}"/>
    <cellStyle name="Output 2 2 5 2 2 2 2 4" xfId="5606" xr:uid="{00000000-0005-0000-0000-0000CE220000}"/>
    <cellStyle name="Output 2 2 5 2 2 2 2 4 2" xfId="11436" xr:uid="{00000000-0005-0000-0000-0000CF220000}"/>
    <cellStyle name="Output 2 2 5 2 2 2 2 5" xfId="7101" xr:uid="{00000000-0005-0000-0000-0000D0220000}"/>
    <cellStyle name="Output 2 2 5 2 2 2 3" xfId="2058" xr:uid="{00000000-0005-0000-0000-0000D1220000}"/>
    <cellStyle name="Output 2 2 5 2 2 2 3 2" xfId="7888" xr:uid="{00000000-0005-0000-0000-0000D2220000}"/>
    <cellStyle name="Output 2 2 5 2 2 2 4" xfId="3485" xr:uid="{00000000-0005-0000-0000-0000D3220000}"/>
    <cellStyle name="Output 2 2 5 2 2 2 4 2" xfId="9315" xr:uid="{00000000-0005-0000-0000-0000D4220000}"/>
    <cellStyle name="Output 2 2 5 2 2 2 5" xfId="4882" xr:uid="{00000000-0005-0000-0000-0000D5220000}"/>
    <cellStyle name="Output 2 2 5 2 2 2 5 2" xfId="10712" xr:uid="{00000000-0005-0000-0000-0000D6220000}"/>
    <cellStyle name="Output 2 2 5 2 2 2 6" xfId="6377" xr:uid="{00000000-0005-0000-0000-0000D7220000}"/>
    <cellStyle name="Output 2 2 5 2 2 3" xfId="780" xr:uid="{00000000-0005-0000-0000-0000D8220000}"/>
    <cellStyle name="Output 2 2 5 2 2 3 2" xfId="1511" xr:uid="{00000000-0005-0000-0000-0000D9220000}"/>
    <cellStyle name="Output 2 2 5 2 2 3 2 2" xfId="3027" xr:uid="{00000000-0005-0000-0000-0000DA220000}"/>
    <cellStyle name="Output 2 2 5 2 2 3 2 2 2" xfId="8857" xr:uid="{00000000-0005-0000-0000-0000DB220000}"/>
    <cellStyle name="Output 2 2 5 2 2 3 2 3" xfId="4450" xr:uid="{00000000-0005-0000-0000-0000DC220000}"/>
    <cellStyle name="Output 2 2 5 2 2 3 2 3 2" xfId="10280" xr:uid="{00000000-0005-0000-0000-0000DD220000}"/>
    <cellStyle name="Output 2 2 5 2 2 3 2 4" xfId="5846" xr:uid="{00000000-0005-0000-0000-0000DE220000}"/>
    <cellStyle name="Output 2 2 5 2 2 3 2 4 2" xfId="11676" xr:uid="{00000000-0005-0000-0000-0000DF220000}"/>
    <cellStyle name="Output 2 2 5 2 2 3 2 5" xfId="7341" xr:uid="{00000000-0005-0000-0000-0000E0220000}"/>
    <cellStyle name="Output 2 2 5 2 2 3 3" xfId="2300" xr:uid="{00000000-0005-0000-0000-0000E1220000}"/>
    <cellStyle name="Output 2 2 5 2 2 3 3 2" xfId="8130" xr:uid="{00000000-0005-0000-0000-0000E2220000}"/>
    <cellStyle name="Output 2 2 5 2 2 3 4" xfId="3726" xr:uid="{00000000-0005-0000-0000-0000E3220000}"/>
    <cellStyle name="Output 2 2 5 2 2 3 4 2" xfId="9556" xr:uid="{00000000-0005-0000-0000-0000E4220000}"/>
    <cellStyle name="Output 2 2 5 2 2 3 5" xfId="5122" xr:uid="{00000000-0005-0000-0000-0000E5220000}"/>
    <cellStyle name="Output 2 2 5 2 2 3 5 2" xfId="10952" xr:uid="{00000000-0005-0000-0000-0000E6220000}"/>
    <cellStyle name="Output 2 2 5 2 2 3 6" xfId="6617" xr:uid="{00000000-0005-0000-0000-0000E7220000}"/>
    <cellStyle name="Output 2 2 5 2 2 4" xfId="1024" xr:uid="{00000000-0005-0000-0000-0000E8220000}"/>
    <cellStyle name="Output 2 2 5 2 2 4 2" xfId="2544" xr:uid="{00000000-0005-0000-0000-0000E9220000}"/>
    <cellStyle name="Output 2 2 5 2 2 4 2 2" xfId="8374" xr:uid="{00000000-0005-0000-0000-0000EA220000}"/>
    <cellStyle name="Output 2 2 5 2 2 4 3" xfId="3970" xr:uid="{00000000-0005-0000-0000-0000EB220000}"/>
    <cellStyle name="Output 2 2 5 2 2 4 3 2" xfId="9800" xr:uid="{00000000-0005-0000-0000-0000EC220000}"/>
    <cellStyle name="Output 2 2 5 2 2 4 4" xfId="5366" xr:uid="{00000000-0005-0000-0000-0000ED220000}"/>
    <cellStyle name="Output 2 2 5 2 2 4 4 2" xfId="11196" xr:uid="{00000000-0005-0000-0000-0000EE220000}"/>
    <cellStyle name="Output 2 2 5 2 2 4 5" xfId="6861" xr:uid="{00000000-0005-0000-0000-0000EF220000}"/>
    <cellStyle name="Output 2 2 5 2 2 5" xfId="1798" xr:uid="{00000000-0005-0000-0000-0000F0220000}"/>
    <cellStyle name="Output 2 2 5 2 2 5 2" xfId="7628" xr:uid="{00000000-0005-0000-0000-0000F1220000}"/>
    <cellStyle name="Output 2 2 5 2 2 6" xfId="3229" xr:uid="{00000000-0005-0000-0000-0000F2220000}"/>
    <cellStyle name="Output 2 2 5 2 2 6 2" xfId="9059" xr:uid="{00000000-0005-0000-0000-0000F3220000}"/>
    <cellStyle name="Output 2 2 5 2 2 7" xfId="4641" xr:uid="{00000000-0005-0000-0000-0000F4220000}"/>
    <cellStyle name="Output 2 2 5 2 2 7 2" xfId="10471" xr:uid="{00000000-0005-0000-0000-0000F5220000}"/>
    <cellStyle name="Output 2 2 5 2 2 8" xfId="6136" xr:uid="{00000000-0005-0000-0000-0000F6220000}"/>
    <cellStyle name="Output 2 2 5 2 3" xfId="337" xr:uid="{00000000-0005-0000-0000-0000F7220000}"/>
    <cellStyle name="Output 2 2 5 2 3 2" xfId="616" xr:uid="{00000000-0005-0000-0000-0000F8220000}"/>
    <cellStyle name="Output 2 2 5 2 3 2 2" xfId="1351" xr:uid="{00000000-0005-0000-0000-0000F9220000}"/>
    <cellStyle name="Output 2 2 5 2 3 2 2 2" xfId="2867" xr:uid="{00000000-0005-0000-0000-0000FA220000}"/>
    <cellStyle name="Output 2 2 5 2 3 2 2 2 2" xfId="8697" xr:uid="{00000000-0005-0000-0000-0000FB220000}"/>
    <cellStyle name="Output 2 2 5 2 3 2 2 3" xfId="4290" xr:uid="{00000000-0005-0000-0000-0000FC220000}"/>
    <cellStyle name="Output 2 2 5 2 3 2 2 3 2" xfId="10120" xr:uid="{00000000-0005-0000-0000-0000FD220000}"/>
    <cellStyle name="Output 2 2 5 2 3 2 2 4" xfId="5686" xr:uid="{00000000-0005-0000-0000-0000FE220000}"/>
    <cellStyle name="Output 2 2 5 2 3 2 2 4 2" xfId="11516" xr:uid="{00000000-0005-0000-0000-0000FF220000}"/>
    <cellStyle name="Output 2 2 5 2 3 2 2 5" xfId="7181" xr:uid="{00000000-0005-0000-0000-000000230000}"/>
    <cellStyle name="Output 2 2 5 2 3 2 3" xfId="2138" xr:uid="{00000000-0005-0000-0000-000001230000}"/>
    <cellStyle name="Output 2 2 5 2 3 2 3 2" xfId="7968" xr:uid="{00000000-0005-0000-0000-000002230000}"/>
    <cellStyle name="Output 2 2 5 2 3 2 4" xfId="3565" xr:uid="{00000000-0005-0000-0000-000003230000}"/>
    <cellStyle name="Output 2 2 5 2 3 2 4 2" xfId="9395" xr:uid="{00000000-0005-0000-0000-000004230000}"/>
    <cellStyle name="Output 2 2 5 2 3 2 5" xfId="4962" xr:uid="{00000000-0005-0000-0000-000005230000}"/>
    <cellStyle name="Output 2 2 5 2 3 2 5 2" xfId="10792" xr:uid="{00000000-0005-0000-0000-000006230000}"/>
    <cellStyle name="Output 2 2 5 2 3 2 6" xfId="6457" xr:uid="{00000000-0005-0000-0000-000007230000}"/>
    <cellStyle name="Output 2 2 5 2 3 3" xfId="860" xr:uid="{00000000-0005-0000-0000-000008230000}"/>
    <cellStyle name="Output 2 2 5 2 3 3 2" xfId="1591" xr:uid="{00000000-0005-0000-0000-000009230000}"/>
    <cellStyle name="Output 2 2 5 2 3 3 2 2" xfId="3107" xr:uid="{00000000-0005-0000-0000-00000A230000}"/>
    <cellStyle name="Output 2 2 5 2 3 3 2 2 2" xfId="8937" xr:uid="{00000000-0005-0000-0000-00000B230000}"/>
    <cellStyle name="Output 2 2 5 2 3 3 2 3" xfId="4530" xr:uid="{00000000-0005-0000-0000-00000C230000}"/>
    <cellStyle name="Output 2 2 5 2 3 3 2 3 2" xfId="10360" xr:uid="{00000000-0005-0000-0000-00000D230000}"/>
    <cellStyle name="Output 2 2 5 2 3 3 2 4" xfId="5926" xr:uid="{00000000-0005-0000-0000-00000E230000}"/>
    <cellStyle name="Output 2 2 5 2 3 3 2 4 2" xfId="11756" xr:uid="{00000000-0005-0000-0000-00000F230000}"/>
    <cellStyle name="Output 2 2 5 2 3 3 2 5" xfId="7421" xr:uid="{00000000-0005-0000-0000-000010230000}"/>
    <cellStyle name="Output 2 2 5 2 3 3 3" xfId="2380" xr:uid="{00000000-0005-0000-0000-000011230000}"/>
    <cellStyle name="Output 2 2 5 2 3 3 3 2" xfId="8210" xr:uid="{00000000-0005-0000-0000-000012230000}"/>
    <cellStyle name="Output 2 2 5 2 3 3 4" xfId="3806" xr:uid="{00000000-0005-0000-0000-000013230000}"/>
    <cellStyle name="Output 2 2 5 2 3 3 4 2" xfId="9636" xr:uid="{00000000-0005-0000-0000-000014230000}"/>
    <cellStyle name="Output 2 2 5 2 3 3 5" xfId="5202" xr:uid="{00000000-0005-0000-0000-000015230000}"/>
    <cellStyle name="Output 2 2 5 2 3 3 5 2" xfId="11032" xr:uid="{00000000-0005-0000-0000-000016230000}"/>
    <cellStyle name="Output 2 2 5 2 3 3 6" xfId="6697" xr:uid="{00000000-0005-0000-0000-000017230000}"/>
    <cellStyle name="Output 2 2 5 2 3 4" xfId="1104" xr:uid="{00000000-0005-0000-0000-000018230000}"/>
    <cellStyle name="Output 2 2 5 2 3 4 2" xfId="2624" xr:uid="{00000000-0005-0000-0000-000019230000}"/>
    <cellStyle name="Output 2 2 5 2 3 4 2 2" xfId="8454" xr:uid="{00000000-0005-0000-0000-00001A230000}"/>
    <cellStyle name="Output 2 2 5 2 3 4 3" xfId="4050" xr:uid="{00000000-0005-0000-0000-00001B230000}"/>
    <cellStyle name="Output 2 2 5 2 3 4 3 2" xfId="9880" xr:uid="{00000000-0005-0000-0000-00001C230000}"/>
    <cellStyle name="Output 2 2 5 2 3 4 4" xfId="5446" xr:uid="{00000000-0005-0000-0000-00001D230000}"/>
    <cellStyle name="Output 2 2 5 2 3 4 4 2" xfId="11276" xr:uid="{00000000-0005-0000-0000-00001E230000}"/>
    <cellStyle name="Output 2 2 5 2 3 4 5" xfId="6941" xr:uid="{00000000-0005-0000-0000-00001F230000}"/>
    <cellStyle name="Output 2 2 5 2 3 5" xfId="1878" xr:uid="{00000000-0005-0000-0000-000020230000}"/>
    <cellStyle name="Output 2 2 5 2 3 5 2" xfId="7708" xr:uid="{00000000-0005-0000-0000-000021230000}"/>
    <cellStyle name="Output 2 2 5 2 3 6" xfId="3309" xr:uid="{00000000-0005-0000-0000-000022230000}"/>
    <cellStyle name="Output 2 2 5 2 3 6 2" xfId="9139" xr:uid="{00000000-0005-0000-0000-000023230000}"/>
    <cellStyle name="Output 2 2 5 2 3 7" xfId="4721" xr:uid="{00000000-0005-0000-0000-000024230000}"/>
    <cellStyle name="Output 2 2 5 2 3 7 2" xfId="10551" xr:uid="{00000000-0005-0000-0000-000025230000}"/>
    <cellStyle name="Output 2 2 5 2 3 8" xfId="6216" xr:uid="{00000000-0005-0000-0000-000026230000}"/>
    <cellStyle name="Output 2 2 5 2 4" xfId="456" xr:uid="{00000000-0005-0000-0000-000027230000}"/>
    <cellStyle name="Output 2 2 5 2 4 2" xfId="1191" xr:uid="{00000000-0005-0000-0000-000028230000}"/>
    <cellStyle name="Output 2 2 5 2 4 2 2" xfId="2707" xr:uid="{00000000-0005-0000-0000-000029230000}"/>
    <cellStyle name="Output 2 2 5 2 4 2 2 2" xfId="8537" xr:uid="{00000000-0005-0000-0000-00002A230000}"/>
    <cellStyle name="Output 2 2 5 2 4 2 3" xfId="4130" xr:uid="{00000000-0005-0000-0000-00002B230000}"/>
    <cellStyle name="Output 2 2 5 2 4 2 3 2" xfId="9960" xr:uid="{00000000-0005-0000-0000-00002C230000}"/>
    <cellStyle name="Output 2 2 5 2 4 2 4" xfId="5526" xr:uid="{00000000-0005-0000-0000-00002D230000}"/>
    <cellStyle name="Output 2 2 5 2 4 2 4 2" xfId="11356" xr:uid="{00000000-0005-0000-0000-00002E230000}"/>
    <cellStyle name="Output 2 2 5 2 4 2 5" xfId="7021" xr:uid="{00000000-0005-0000-0000-00002F230000}"/>
    <cellStyle name="Output 2 2 5 2 4 3" xfId="1978" xr:uid="{00000000-0005-0000-0000-000030230000}"/>
    <cellStyle name="Output 2 2 5 2 4 3 2" xfId="7808" xr:uid="{00000000-0005-0000-0000-000031230000}"/>
    <cellStyle name="Output 2 2 5 2 4 4" xfId="3405" xr:uid="{00000000-0005-0000-0000-000032230000}"/>
    <cellStyle name="Output 2 2 5 2 4 4 2" xfId="9235" xr:uid="{00000000-0005-0000-0000-000033230000}"/>
    <cellStyle name="Output 2 2 5 2 4 5" xfId="4802" xr:uid="{00000000-0005-0000-0000-000034230000}"/>
    <cellStyle name="Output 2 2 5 2 4 5 2" xfId="10632" xr:uid="{00000000-0005-0000-0000-000035230000}"/>
    <cellStyle name="Output 2 2 5 2 4 6" xfId="6297" xr:uid="{00000000-0005-0000-0000-000036230000}"/>
    <cellStyle name="Output 2 2 5 2 5" xfId="700" xr:uid="{00000000-0005-0000-0000-000037230000}"/>
    <cellStyle name="Output 2 2 5 2 5 2" xfId="1431" xr:uid="{00000000-0005-0000-0000-000038230000}"/>
    <cellStyle name="Output 2 2 5 2 5 2 2" xfId="2947" xr:uid="{00000000-0005-0000-0000-000039230000}"/>
    <cellStyle name="Output 2 2 5 2 5 2 2 2" xfId="8777" xr:uid="{00000000-0005-0000-0000-00003A230000}"/>
    <cellStyle name="Output 2 2 5 2 5 2 3" xfId="4370" xr:uid="{00000000-0005-0000-0000-00003B230000}"/>
    <cellStyle name="Output 2 2 5 2 5 2 3 2" xfId="10200" xr:uid="{00000000-0005-0000-0000-00003C230000}"/>
    <cellStyle name="Output 2 2 5 2 5 2 4" xfId="5766" xr:uid="{00000000-0005-0000-0000-00003D230000}"/>
    <cellStyle name="Output 2 2 5 2 5 2 4 2" xfId="11596" xr:uid="{00000000-0005-0000-0000-00003E230000}"/>
    <cellStyle name="Output 2 2 5 2 5 2 5" xfId="7261" xr:uid="{00000000-0005-0000-0000-00003F230000}"/>
    <cellStyle name="Output 2 2 5 2 5 3" xfId="2220" xr:uid="{00000000-0005-0000-0000-000040230000}"/>
    <cellStyle name="Output 2 2 5 2 5 3 2" xfId="8050" xr:uid="{00000000-0005-0000-0000-000041230000}"/>
    <cellStyle name="Output 2 2 5 2 5 4" xfId="3646" xr:uid="{00000000-0005-0000-0000-000042230000}"/>
    <cellStyle name="Output 2 2 5 2 5 4 2" xfId="9476" xr:uid="{00000000-0005-0000-0000-000043230000}"/>
    <cellStyle name="Output 2 2 5 2 5 5" xfId="5042" xr:uid="{00000000-0005-0000-0000-000044230000}"/>
    <cellStyle name="Output 2 2 5 2 5 5 2" xfId="10872" xr:uid="{00000000-0005-0000-0000-000045230000}"/>
    <cellStyle name="Output 2 2 5 2 5 6" xfId="6537" xr:uid="{00000000-0005-0000-0000-000046230000}"/>
    <cellStyle name="Output 2 2 5 2 6" xfId="944" xr:uid="{00000000-0005-0000-0000-000047230000}"/>
    <cellStyle name="Output 2 2 5 2 6 2" xfId="2464" xr:uid="{00000000-0005-0000-0000-000048230000}"/>
    <cellStyle name="Output 2 2 5 2 6 2 2" xfId="8294" xr:uid="{00000000-0005-0000-0000-000049230000}"/>
    <cellStyle name="Output 2 2 5 2 6 3" xfId="3890" xr:uid="{00000000-0005-0000-0000-00004A230000}"/>
    <cellStyle name="Output 2 2 5 2 6 3 2" xfId="9720" xr:uid="{00000000-0005-0000-0000-00004B230000}"/>
    <cellStyle name="Output 2 2 5 2 6 4" xfId="5286" xr:uid="{00000000-0005-0000-0000-00004C230000}"/>
    <cellStyle name="Output 2 2 5 2 6 4 2" xfId="11116" xr:uid="{00000000-0005-0000-0000-00004D230000}"/>
    <cellStyle name="Output 2 2 5 2 6 5" xfId="6781" xr:uid="{00000000-0005-0000-0000-00004E230000}"/>
    <cellStyle name="Output 2 2 5 2 7" xfId="1718" xr:uid="{00000000-0005-0000-0000-00004F230000}"/>
    <cellStyle name="Output 2 2 5 2 7 2" xfId="7548" xr:uid="{00000000-0005-0000-0000-000050230000}"/>
    <cellStyle name="Output 2 2 5 2 8" xfId="3149" xr:uid="{00000000-0005-0000-0000-000051230000}"/>
    <cellStyle name="Output 2 2 5 2 8 2" xfId="8979" xr:uid="{00000000-0005-0000-0000-000052230000}"/>
    <cellStyle name="Output 2 2 5 2 9" xfId="4561" xr:uid="{00000000-0005-0000-0000-000053230000}"/>
    <cellStyle name="Output 2 2 5 2 9 2" xfId="10391" xr:uid="{00000000-0005-0000-0000-000054230000}"/>
    <cellStyle name="Output 2 2 5 3" xfId="217" xr:uid="{00000000-0005-0000-0000-000055230000}"/>
    <cellStyle name="Output 2 2 5 3 2" xfId="496" xr:uid="{00000000-0005-0000-0000-000056230000}"/>
    <cellStyle name="Output 2 2 5 3 2 2" xfId="1231" xr:uid="{00000000-0005-0000-0000-000057230000}"/>
    <cellStyle name="Output 2 2 5 3 2 2 2" xfId="2747" xr:uid="{00000000-0005-0000-0000-000058230000}"/>
    <cellStyle name="Output 2 2 5 3 2 2 2 2" xfId="8577" xr:uid="{00000000-0005-0000-0000-000059230000}"/>
    <cellStyle name="Output 2 2 5 3 2 2 3" xfId="4170" xr:uid="{00000000-0005-0000-0000-00005A230000}"/>
    <cellStyle name="Output 2 2 5 3 2 2 3 2" xfId="10000" xr:uid="{00000000-0005-0000-0000-00005B230000}"/>
    <cellStyle name="Output 2 2 5 3 2 2 4" xfId="5566" xr:uid="{00000000-0005-0000-0000-00005C230000}"/>
    <cellStyle name="Output 2 2 5 3 2 2 4 2" xfId="11396" xr:uid="{00000000-0005-0000-0000-00005D230000}"/>
    <cellStyle name="Output 2 2 5 3 2 2 5" xfId="7061" xr:uid="{00000000-0005-0000-0000-00005E230000}"/>
    <cellStyle name="Output 2 2 5 3 2 3" xfId="2018" xr:uid="{00000000-0005-0000-0000-00005F230000}"/>
    <cellStyle name="Output 2 2 5 3 2 3 2" xfId="7848" xr:uid="{00000000-0005-0000-0000-000060230000}"/>
    <cellStyle name="Output 2 2 5 3 2 4" xfId="3445" xr:uid="{00000000-0005-0000-0000-000061230000}"/>
    <cellStyle name="Output 2 2 5 3 2 4 2" xfId="9275" xr:uid="{00000000-0005-0000-0000-000062230000}"/>
    <cellStyle name="Output 2 2 5 3 2 5" xfId="4842" xr:uid="{00000000-0005-0000-0000-000063230000}"/>
    <cellStyle name="Output 2 2 5 3 2 5 2" xfId="10672" xr:uid="{00000000-0005-0000-0000-000064230000}"/>
    <cellStyle name="Output 2 2 5 3 2 6" xfId="6337" xr:uid="{00000000-0005-0000-0000-000065230000}"/>
    <cellStyle name="Output 2 2 5 3 3" xfId="740" xr:uid="{00000000-0005-0000-0000-000066230000}"/>
    <cellStyle name="Output 2 2 5 3 3 2" xfId="1471" xr:uid="{00000000-0005-0000-0000-000067230000}"/>
    <cellStyle name="Output 2 2 5 3 3 2 2" xfId="2987" xr:uid="{00000000-0005-0000-0000-000068230000}"/>
    <cellStyle name="Output 2 2 5 3 3 2 2 2" xfId="8817" xr:uid="{00000000-0005-0000-0000-000069230000}"/>
    <cellStyle name="Output 2 2 5 3 3 2 3" xfId="4410" xr:uid="{00000000-0005-0000-0000-00006A230000}"/>
    <cellStyle name="Output 2 2 5 3 3 2 3 2" xfId="10240" xr:uid="{00000000-0005-0000-0000-00006B230000}"/>
    <cellStyle name="Output 2 2 5 3 3 2 4" xfId="5806" xr:uid="{00000000-0005-0000-0000-00006C230000}"/>
    <cellStyle name="Output 2 2 5 3 3 2 4 2" xfId="11636" xr:uid="{00000000-0005-0000-0000-00006D230000}"/>
    <cellStyle name="Output 2 2 5 3 3 2 5" xfId="7301" xr:uid="{00000000-0005-0000-0000-00006E230000}"/>
    <cellStyle name="Output 2 2 5 3 3 3" xfId="2260" xr:uid="{00000000-0005-0000-0000-00006F230000}"/>
    <cellStyle name="Output 2 2 5 3 3 3 2" xfId="8090" xr:uid="{00000000-0005-0000-0000-000070230000}"/>
    <cellStyle name="Output 2 2 5 3 3 4" xfId="3686" xr:uid="{00000000-0005-0000-0000-000071230000}"/>
    <cellStyle name="Output 2 2 5 3 3 4 2" xfId="9516" xr:uid="{00000000-0005-0000-0000-000072230000}"/>
    <cellStyle name="Output 2 2 5 3 3 5" xfId="5082" xr:uid="{00000000-0005-0000-0000-000073230000}"/>
    <cellStyle name="Output 2 2 5 3 3 5 2" xfId="10912" xr:uid="{00000000-0005-0000-0000-000074230000}"/>
    <cellStyle name="Output 2 2 5 3 3 6" xfId="6577" xr:uid="{00000000-0005-0000-0000-000075230000}"/>
    <cellStyle name="Output 2 2 5 3 4" xfId="984" xr:uid="{00000000-0005-0000-0000-000076230000}"/>
    <cellStyle name="Output 2 2 5 3 4 2" xfId="2504" xr:uid="{00000000-0005-0000-0000-000077230000}"/>
    <cellStyle name="Output 2 2 5 3 4 2 2" xfId="8334" xr:uid="{00000000-0005-0000-0000-000078230000}"/>
    <cellStyle name="Output 2 2 5 3 4 3" xfId="3930" xr:uid="{00000000-0005-0000-0000-000079230000}"/>
    <cellStyle name="Output 2 2 5 3 4 3 2" xfId="9760" xr:uid="{00000000-0005-0000-0000-00007A230000}"/>
    <cellStyle name="Output 2 2 5 3 4 4" xfId="5326" xr:uid="{00000000-0005-0000-0000-00007B230000}"/>
    <cellStyle name="Output 2 2 5 3 4 4 2" xfId="11156" xr:uid="{00000000-0005-0000-0000-00007C230000}"/>
    <cellStyle name="Output 2 2 5 3 4 5" xfId="6821" xr:uid="{00000000-0005-0000-0000-00007D230000}"/>
    <cellStyle name="Output 2 2 5 3 5" xfId="1758" xr:uid="{00000000-0005-0000-0000-00007E230000}"/>
    <cellStyle name="Output 2 2 5 3 5 2" xfId="7588" xr:uid="{00000000-0005-0000-0000-00007F230000}"/>
    <cellStyle name="Output 2 2 5 3 6" xfId="3189" xr:uid="{00000000-0005-0000-0000-000080230000}"/>
    <cellStyle name="Output 2 2 5 3 6 2" xfId="9019" xr:uid="{00000000-0005-0000-0000-000081230000}"/>
    <cellStyle name="Output 2 2 5 3 7" xfId="4601" xr:uid="{00000000-0005-0000-0000-000082230000}"/>
    <cellStyle name="Output 2 2 5 3 7 2" xfId="10431" xr:uid="{00000000-0005-0000-0000-000083230000}"/>
    <cellStyle name="Output 2 2 5 3 8" xfId="6096" xr:uid="{00000000-0005-0000-0000-000084230000}"/>
    <cellStyle name="Output 2 2 5 4" xfId="297" xr:uid="{00000000-0005-0000-0000-000085230000}"/>
    <cellStyle name="Output 2 2 5 4 2" xfId="576" xr:uid="{00000000-0005-0000-0000-000086230000}"/>
    <cellStyle name="Output 2 2 5 4 2 2" xfId="1311" xr:uid="{00000000-0005-0000-0000-000087230000}"/>
    <cellStyle name="Output 2 2 5 4 2 2 2" xfId="2827" xr:uid="{00000000-0005-0000-0000-000088230000}"/>
    <cellStyle name="Output 2 2 5 4 2 2 2 2" xfId="8657" xr:uid="{00000000-0005-0000-0000-000089230000}"/>
    <cellStyle name="Output 2 2 5 4 2 2 3" xfId="4250" xr:uid="{00000000-0005-0000-0000-00008A230000}"/>
    <cellStyle name="Output 2 2 5 4 2 2 3 2" xfId="10080" xr:uid="{00000000-0005-0000-0000-00008B230000}"/>
    <cellStyle name="Output 2 2 5 4 2 2 4" xfId="5646" xr:uid="{00000000-0005-0000-0000-00008C230000}"/>
    <cellStyle name="Output 2 2 5 4 2 2 4 2" xfId="11476" xr:uid="{00000000-0005-0000-0000-00008D230000}"/>
    <cellStyle name="Output 2 2 5 4 2 2 5" xfId="7141" xr:uid="{00000000-0005-0000-0000-00008E230000}"/>
    <cellStyle name="Output 2 2 5 4 2 3" xfId="2098" xr:uid="{00000000-0005-0000-0000-00008F230000}"/>
    <cellStyle name="Output 2 2 5 4 2 3 2" xfId="7928" xr:uid="{00000000-0005-0000-0000-000090230000}"/>
    <cellStyle name="Output 2 2 5 4 2 4" xfId="3525" xr:uid="{00000000-0005-0000-0000-000091230000}"/>
    <cellStyle name="Output 2 2 5 4 2 4 2" xfId="9355" xr:uid="{00000000-0005-0000-0000-000092230000}"/>
    <cellStyle name="Output 2 2 5 4 2 5" xfId="4922" xr:uid="{00000000-0005-0000-0000-000093230000}"/>
    <cellStyle name="Output 2 2 5 4 2 5 2" xfId="10752" xr:uid="{00000000-0005-0000-0000-000094230000}"/>
    <cellStyle name="Output 2 2 5 4 2 6" xfId="6417" xr:uid="{00000000-0005-0000-0000-000095230000}"/>
    <cellStyle name="Output 2 2 5 4 3" xfId="820" xr:uid="{00000000-0005-0000-0000-000096230000}"/>
    <cellStyle name="Output 2 2 5 4 3 2" xfId="1551" xr:uid="{00000000-0005-0000-0000-000097230000}"/>
    <cellStyle name="Output 2 2 5 4 3 2 2" xfId="3067" xr:uid="{00000000-0005-0000-0000-000098230000}"/>
    <cellStyle name="Output 2 2 5 4 3 2 2 2" xfId="8897" xr:uid="{00000000-0005-0000-0000-000099230000}"/>
    <cellStyle name="Output 2 2 5 4 3 2 3" xfId="4490" xr:uid="{00000000-0005-0000-0000-00009A230000}"/>
    <cellStyle name="Output 2 2 5 4 3 2 3 2" xfId="10320" xr:uid="{00000000-0005-0000-0000-00009B230000}"/>
    <cellStyle name="Output 2 2 5 4 3 2 4" xfId="5886" xr:uid="{00000000-0005-0000-0000-00009C230000}"/>
    <cellStyle name="Output 2 2 5 4 3 2 4 2" xfId="11716" xr:uid="{00000000-0005-0000-0000-00009D230000}"/>
    <cellStyle name="Output 2 2 5 4 3 2 5" xfId="7381" xr:uid="{00000000-0005-0000-0000-00009E230000}"/>
    <cellStyle name="Output 2 2 5 4 3 3" xfId="2340" xr:uid="{00000000-0005-0000-0000-00009F230000}"/>
    <cellStyle name="Output 2 2 5 4 3 3 2" xfId="8170" xr:uid="{00000000-0005-0000-0000-0000A0230000}"/>
    <cellStyle name="Output 2 2 5 4 3 4" xfId="3766" xr:uid="{00000000-0005-0000-0000-0000A1230000}"/>
    <cellStyle name="Output 2 2 5 4 3 4 2" xfId="9596" xr:uid="{00000000-0005-0000-0000-0000A2230000}"/>
    <cellStyle name="Output 2 2 5 4 3 5" xfId="5162" xr:uid="{00000000-0005-0000-0000-0000A3230000}"/>
    <cellStyle name="Output 2 2 5 4 3 5 2" xfId="10992" xr:uid="{00000000-0005-0000-0000-0000A4230000}"/>
    <cellStyle name="Output 2 2 5 4 3 6" xfId="6657" xr:uid="{00000000-0005-0000-0000-0000A5230000}"/>
    <cellStyle name="Output 2 2 5 4 4" xfId="1064" xr:uid="{00000000-0005-0000-0000-0000A6230000}"/>
    <cellStyle name="Output 2 2 5 4 4 2" xfId="2584" xr:uid="{00000000-0005-0000-0000-0000A7230000}"/>
    <cellStyle name="Output 2 2 5 4 4 2 2" xfId="8414" xr:uid="{00000000-0005-0000-0000-0000A8230000}"/>
    <cellStyle name="Output 2 2 5 4 4 3" xfId="4010" xr:uid="{00000000-0005-0000-0000-0000A9230000}"/>
    <cellStyle name="Output 2 2 5 4 4 3 2" xfId="9840" xr:uid="{00000000-0005-0000-0000-0000AA230000}"/>
    <cellStyle name="Output 2 2 5 4 4 4" xfId="5406" xr:uid="{00000000-0005-0000-0000-0000AB230000}"/>
    <cellStyle name="Output 2 2 5 4 4 4 2" xfId="11236" xr:uid="{00000000-0005-0000-0000-0000AC230000}"/>
    <cellStyle name="Output 2 2 5 4 4 5" xfId="6901" xr:uid="{00000000-0005-0000-0000-0000AD230000}"/>
    <cellStyle name="Output 2 2 5 4 5" xfId="1838" xr:uid="{00000000-0005-0000-0000-0000AE230000}"/>
    <cellStyle name="Output 2 2 5 4 5 2" xfId="7668" xr:uid="{00000000-0005-0000-0000-0000AF230000}"/>
    <cellStyle name="Output 2 2 5 4 6" xfId="3269" xr:uid="{00000000-0005-0000-0000-0000B0230000}"/>
    <cellStyle name="Output 2 2 5 4 6 2" xfId="9099" xr:uid="{00000000-0005-0000-0000-0000B1230000}"/>
    <cellStyle name="Output 2 2 5 4 7" xfId="4681" xr:uid="{00000000-0005-0000-0000-0000B2230000}"/>
    <cellStyle name="Output 2 2 5 4 7 2" xfId="10511" xr:uid="{00000000-0005-0000-0000-0000B3230000}"/>
    <cellStyle name="Output 2 2 5 4 8" xfId="6176" xr:uid="{00000000-0005-0000-0000-0000B4230000}"/>
    <cellStyle name="Output 2 2 5 5" xfId="416" xr:uid="{00000000-0005-0000-0000-0000B5230000}"/>
    <cellStyle name="Output 2 2 5 5 2" xfId="1151" xr:uid="{00000000-0005-0000-0000-0000B6230000}"/>
    <cellStyle name="Output 2 2 5 5 2 2" xfId="2667" xr:uid="{00000000-0005-0000-0000-0000B7230000}"/>
    <cellStyle name="Output 2 2 5 5 2 2 2" xfId="8497" xr:uid="{00000000-0005-0000-0000-0000B8230000}"/>
    <cellStyle name="Output 2 2 5 5 2 3" xfId="4090" xr:uid="{00000000-0005-0000-0000-0000B9230000}"/>
    <cellStyle name="Output 2 2 5 5 2 3 2" xfId="9920" xr:uid="{00000000-0005-0000-0000-0000BA230000}"/>
    <cellStyle name="Output 2 2 5 5 2 4" xfId="5486" xr:uid="{00000000-0005-0000-0000-0000BB230000}"/>
    <cellStyle name="Output 2 2 5 5 2 4 2" xfId="11316" xr:uid="{00000000-0005-0000-0000-0000BC230000}"/>
    <cellStyle name="Output 2 2 5 5 2 5" xfId="6981" xr:uid="{00000000-0005-0000-0000-0000BD230000}"/>
    <cellStyle name="Output 2 2 5 5 3" xfId="1938" xr:uid="{00000000-0005-0000-0000-0000BE230000}"/>
    <cellStyle name="Output 2 2 5 5 3 2" xfId="7768" xr:uid="{00000000-0005-0000-0000-0000BF230000}"/>
    <cellStyle name="Output 2 2 5 5 4" xfId="3365" xr:uid="{00000000-0005-0000-0000-0000C0230000}"/>
    <cellStyle name="Output 2 2 5 5 4 2" xfId="9195" xr:uid="{00000000-0005-0000-0000-0000C1230000}"/>
    <cellStyle name="Output 2 2 5 5 5" xfId="4762" xr:uid="{00000000-0005-0000-0000-0000C2230000}"/>
    <cellStyle name="Output 2 2 5 5 5 2" xfId="10592" xr:uid="{00000000-0005-0000-0000-0000C3230000}"/>
    <cellStyle name="Output 2 2 5 5 6" xfId="6257" xr:uid="{00000000-0005-0000-0000-0000C4230000}"/>
    <cellStyle name="Output 2 2 5 6" xfId="660" xr:uid="{00000000-0005-0000-0000-0000C5230000}"/>
    <cellStyle name="Output 2 2 5 6 2" xfId="1391" xr:uid="{00000000-0005-0000-0000-0000C6230000}"/>
    <cellStyle name="Output 2 2 5 6 2 2" xfId="2907" xr:uid="{00000000-0005-0000-0000-0000C7230000}"/>
    <cellStyle name="Output 2 2 5 6 2 2 2" xfId="8737" xr:uid="{00000000-0005-0000-0000-0000C8230000}"/>
    <cellStyle name="Output 2 2 5 6 2 3" xfId="4330" xr:uid="{00000000-0005-0000-0000-0000C9230000}"/>
    <cellStyle name="Output 2 2 5 6 2 3 2" xfId="10160" xr:uid="{00000000-0005-0000-0000-0000CA230000}"/>
    <cellStyle name="Output 2 2 5 6 2 4" xfId="5726" xr:uid="{00000000-0005-0000-0000-0000CB230000}"/>
    <cellStyle name="Output 2 2 5 6 2 4 2" xfId="11556" xr:uid="{00000000-0005-0000-0000-0000CC230000}"/>
    <cellStyle name="Output 2 2 5 6 2 5" xfId="7221" xr:uid="{00000000-0005-0000-0000-0000CD230000}"/>
    <cellStyle name="Output 2 2 5 6 3" xfId="2180" xr:uid="{00000000-0005-0000-0000-0000CE230000}"/>
    <cellStyle name="Output 2 2 5 6 3 2" xfId="8010" xr:uid="{00000000-0005-0000-0000-0000CF230000}"/>
    <cellStyle name="Output 2 2 5 6 4" xfId="3606" xr:uid="{00000000-0005-0000-0000-0000D0230000}"/>
    <cellStyle name="Output 2 2 5 6 4 2" xfId="9436" xr:uid="{00000000-0005-0000-0000-0000D1230000}"/>
    <cellStyle name="Output 2 2 5 6 5" xfId="5002" xr:uid="{00000000-0005-0000-0000-0000D2230000}"/>
    <cellStyle name="Output 2 2 5 6 5 2" xfId="10832" xr:uid="{00000000-0005-0000-0000-0000D3230000}"/>
    <cellStyle name="Output 2 2 5 6 6" xfId="6497" xr:uid="{00000000-0005-0000-0000-0000D4230000}"/>
    <cellStyle name="Output 2 2 5 7" xfId="904" xr:uid="{00000000-0005-0000-0000-0000D5230000}"/>
    <cellStyle name="Output 2 2 5 7 2" xfId="2424" xr:uid="{00000000-0005-0000-0000-0000D6230000}"/>
    <cellStyle name="Output 2 2 5 7 2 2" xfId="8254" xr:uid="{00000000-0005-0000-0000-0000D7230000}"/>
    <cellStyle name="Output 2 2 5 7 3" xfId="3850" xr:uid="{00000000-0005-0000-0000-0000D8230000}"/>
    <cellStyle name="Output 2 2 5 7 3 2" xfId="9680" xr:uid="{00000000-0005-0000-0000-0000D9230000}"/>
    <cellStyle name="Output 2 2 5 7 4" xfId="5246" xr:uid="{00000000-0005-0000-0000-0000DA230000}"/>
    <cellStyle name="Output 2 2 5 7 4 2" xfId="11076" xr:uid="{00000000-0005-0000-0000-0000DB230000}"/>
    <cellStyle name="Output 2 2 5 7 5" xfId="6741" xr:uid="{00000000-0005-0000-0000-0000DC230000}"/>
    <cellStyle name="Output 2 2 5 8" xfId="1678" xr:uid="{00000000-0005-0000-0000-0000DD230000}"/>
    <cellStyle name="Output 2 2 5 8 2" xfId="7508" xr:uid="{00000000-0005-0000-0000-0000DE230000}"/>
    <cellStyle name="Output 2 2 5 9" xfId="1632" xr:uid="{00000000-0005-0000-0000-0000DF230000}"/>
    <cellStyle name="Output 2 2 5 9 2" xfId="7462" xr:uid="{00000000-0005-0000-0000-0000E0230000}"/>
    <cellStyle name="Output 2 2 6" xfId="156" xr:uid="{00000000-0005-0000-0000-0000E1230000}"/>
    <cellStyle name="Output 2 2 6 10" xfId="6036" xr:uid="{00000000-0005-0000-0000-0000E2230000}"/>
    <cellStyle name="Output 2 2 6 2" xfId="237" xr:uid="{00000000-0005-0000-0000-0000E3230000}"/>
    <cellStyle name="Output 2 2 6 2 2" xfId="516" xr:uid="{00000000-0005-0000-0000-0000E4230000}"/>
    <cellStyle name="Output 2 2 6 2 2 2" xfId="1251" xr:uid="{00000000-0005-0000-0000-0000E5230000}"/>
    <cellStyle name="Output 2 2 6 2 2 2 2" xfId="2767" xr:uid="{00000000-0005-0000-0000-0000E6230000}"/>
    <cellStyle name="Output 2 2 6 2 2 2 2 2" xfId="8597" xr:uid="{00000000-0005-0000-0000-0000E7230000}"/>
    <cellStyle name="Output 2 2 6 2 2 2 3" xfId="4190" xr:uid="{00000000-0005-0000-0000-0000E8230000}"/>
    <cellStyle name="Output 2 2 6 2 2 2 3 2" xfId="10020" xr:uid="{00000000-0005-0000-0000-0000E9230000}"/>
    <cellStyle name="Output 2 2 6 2 2 2 4" xfId="5586" xr:uid="{00000000-0005-0000-0000-0000EA230000}"/>
    <cellStyle name="Output 2 2 6 2 2 2 4 2" xfId="11416" xr:uid="{00000000-0005-0000-0000-0000EB230000}"/>
    <cellStyle name="Output 2 2 6 2 2 2 5" xfId="7081" xr:uid="{00000000-0005-0000-0000-0000EC230000}"/>
    <cellStyle name="Output 2 2 6 2 2 3" xfId="2038" xr:uid="{00000000-0005-0000-0000-0000ED230000}"/>
    <cellStyle name="Output 2 2 6 2 2 3 2" xfId="7868" xr:uid="{00000000-0005-0000-0000-0000EE230000}"/>
    <cellStyle name="Output 2 2 6 2 2 4" xfId="3465" xr:uid="{00000000-0005-0000-0000-0000EF230000}"/>
    <cellStyle name="Output 2 2 6 2 2 4 2" xfId="9295" xr:uid="{00000000-0005-0000-0000-0000F0230000}"/>
    <cellStyle name="Output 2 2 6 2 2 5" xfId="4862" xr:uid="{00000000-0005-0000-0000-0000F1230000}"/>
    <cellStyle name="Output 2 2 6 2 2 5 2" xfId="10692" xr:uid="{00000000-0005-0000-0000-0000F2230000}"/>
    <cellStyle name="Output 2 2 6 2 2 6" xfId="6357" xr:uid="{00000000-0005-0000-0000-0000F3230000}"/>
    <cellStyle name="Output 2 2 6 2 3" xfId="760" xr:uid="{00000000-0005-0000-0000-0000F4230000}"/>
    <cellStyle name="Output 2 2 6 2 3 2" xfId="1491" xr:uid="{00000000-0005-0000-0000-0000F5230000}"/>
    <cellStyle name="Output 2 2 6 2 3 2 2" xfId="3007" xr:uid="{00000000-0005-0000-0000-0000F6230000}"/>
    <cellStyle name="Output 2 2 6 2 3 2 2 2" xfId="8837" xr:uid="{00000000-0005-0000-0000-0000F7230000}"/>
    <cellStyle name="Output 2 2 6 2 3 2 3" xfId="4430" xr:uid="{00000000-0005-0000-0000-0000F8230000}"/>
    <cellStyle name="Output 2 2 6 2 3 2 3 2" xfId="10260" xr:uid="{00000000-0005-0000-0000-0000F9230000}"/>
    <cellStyle name="Output 2 2 6 2 3 2 4" xfId="5826" xr:uid="{00000000-0005-0000-0000-0000FA230000}"/>
    <cellStyle name="Output 2 2 6 2 3 2 4 2" xfId="11656" xr:uid="{00000000-0005-0000-0000-0000FB230000}"/>
    <cellStyle name="Output 2 2 6 2 3 2 5" xfId="7321" xr:uid="{00000000-0005-0000-0000-0000FC230000}"/>
    <cellStyle name="Output 2 2 6 2 3 3" xfId="2280" xr:uid="{00000000-0005-0000-0000-0000FD230000}"/>
    <cellStyle name="Output 2 2 6 2 3 3 2" xfId="8110" xr:uid="{00000000-0005-0000-0000-0000FE230000}"/>
    <cellStyle name="Output 2 2 6 2 3 4" xfId="3706" xr:uid="{00000000-0005-0000-0000-0000FF230000}"/>
    <cellStyle name="Output 2 2 6 2 3 4 2" xfId="9536" xr:uid="{00000000-0005-0000-0000-000000240000}"/>
    <cellStyle name="Output 2 2 6 2 3 5" xfId="5102" xr:uid="{00000000-0005-0000-0000-000001240000}"/>
    <cellStyle name="Output 2 2 6 2 3 5 2" xfId="10932" xr:uid="{00000000-0005-0000-0000-000002240000}"/>
    <cellStyle name="Output 2 2 6 2 3 6" xfId="6597" xr:uid="{00000000-0005-0000-0000-000003240000}"/>
    <cellStyle name="Output 2 2 6 2 4" xfId="1004" xr:uid="{00000000-0005-0000-0000-000004240000}"/>
    <cellStyle name="Output 2 2 6 2 4 2" xfId="2524" xr:uid="{00000000-0005-0000-0000-000005240000}"/>
    <cellStyle name="Output 2 2 6 2 4 2 2" xfId="8354" xr:uid="{00000000-0005-0000-0000-000006240000}"/>
    <cellStyle name="Output 2 2 6 2 4 3" xfId="3950" xr:uid="{00000000-0005-0000-0000-000007240000}"/>
    <cellStyle name="Output 2 2 6 2 4 3 2" xfId="9780" xr:uid="{00000000-0005-0000-0000-000008240000}"/>
    <cellStyle name="Output 2 2 6 2 4 4" xfId="5346" xr:uid="{00000000-0005-0000-0000-000009240000}"/>
    <cellStyle name="Output 2 2 6 2 4 4 2" xfId="11176" xr:uid="{00000000-0005-0000-0000-00000A240000}"/>
    <cellStyle name="Output 2 2 6 2 4 5" xfId="6841" xr:uid="{00000000-0005-0000-0000-00000B240000}"/>
    <cellStyle name="Output 2 2 6 2 5" xfId="1778" xr:uid="{00000000-0005-0000-0000-00000C240000}"/>
    <cellStyle name="Output 2 2 6 2 5 2" xfId="7608" xr:uid="{00000000-0005-0000-0000-00000D240000}"/>
    <cellStyle name="Output 2 2 6 2 6" xfId="3209" xr:uid="{00000000-0005-0000-0000-00000E240000}"/>
    <cellStyle name="Output 2 2 6 2 6 2" xfId="9039" xr:uid="{00000000-0005-0000-0000-00000F240000}"/>
    <cellStyle name="Output 2 2 6 2 7" xfId="4621" xr:uid="{00000000-0005-0000-0000-000010240000}"/>
    <cellStyle name="Output 2 2 6 2 7 2" xfId="10451" xr:uid="{00000000-0005-0000-0000-000011240000}"/>
    <cellStyle name="Output 2 2 6 2 8" xfId="6116" xr:uid="{00000000-0005-0000-0000-000012240000}"/>
    <cellStyle name="Output 2 2 6 3" xfId="317" xr:uid="{00000000-0005-0000-0000-000013240000}"/>
    <cellStyle name="Output 2 2 6 3 2" xfId="596" xr:uid="{00000000-0005-0000-0000-000014240000}"/>
    <cellStyle name="Output 2 2 6 3 2 2" xfId="1331" xr:uid="{00000000-0005-0000-0000-000015240000}"/>
    <cellStyle name="Output 2 2 6 3 2 2 2" xfId="2847" xr:uid="{00000000-0005-0000-0000-000016240000}"/>
    <cellStyle name="Output 2 2 6 3 2 2 2 2" xfId="8677" xr:uid="{00000000-0005-0000-0000-000017240000}"/>
    <cellStyle name="Output 2 2 6 3 2 2 3" xfId="4270" xr:uid="{00000000-0005-0000-0000-000018240000}"/>
    <cellStyle name="Output 2 2 6 3 2 2 3 2" xfId="10100" xr:uid="{00000000-0005-0000-0000-000019240000}"/>
    <cellStyle name="Output 2 2 6 3 2 2 4" xfId="5666" xr:uid="{00000000-0005-0000-0000-00001A240000}"/>
    <cellStyle name="Output 2 2 6 3 2 2 4 2" xfId="11496" xr:uid="{00000000-0005-0000-0000-00001B240000}"/>
    <cellStyle name="Output 2 2 6 3 2 2 5" xfId="7161" xr:uid="{00000000-0005-0000-0000-00001C240000}"/>
    <cellStyle name="Output 2 2 6 3 2 3" xfId="2118" xr:uid="{00000000-0005-0000-0000-00001D240000}"/>
    <cellStyle name="Output 2 2 6 3 2 3 2" xfId="7948" xr:uid="{00000000-0005-0000-0000-00001E240000}"/>
    <cellStyle name="Output 2 2 6 3 2 4" xfId="3545" xr:uid="{00000000-0005-0000-0000-00001F240000}"/>
    <cellStyle name="Output 2 2 6 3 2 4 2" xfId="9375" xr:uid="{00000000-0005-0000-0000-000020240000}"/>
    <cellStyle name="Output 2 2 6 3 2 5" xfId="4942" xr:uid="{00000000-0005-0000-0000-000021240000}"/>
    <cellStyle name="Output 2 2 6 3 2 5 2" xfId="10772" xr:uid="{00000000-0005-0000-0000-000022240000}"/>
    <cellStyle name="Output 2 2 6 3 2 6" xfId="6437" xr:uid="{00000000-0005-0000-0000-000023240000}"/>
    <cellStyle name="Output 2 2 6 3 3" xfId="840" xr:uid="{00000000-0005-0000-0000-000024240000}"/>
    <cellStyle name="Output 2 2 6 3 3 2" xfId="1571" xr:uid="{00000000-0005-0000-0000-000025240000}"/>
    <cellStyle name="Output 2 2 6 3 3 2 2" xfId="3087" xr:uid="{00000000-0005-0000-0000-000026240000}"/>
    <cellStyle name="Output 2 2 6 3 3 2 2 2" xfId="8917" xr:uid="{00000000-0005-0000-0000-000027240000}"/>
    <cellStyle name="Output 2 2 6 3 3 2 3" xfId="4510" xr:uid="{00000000-0005-0000-0000-000028240000}"/>
    <cellStyle name="Output 2 2 6 3 3 2 3 2" xfId="10340" xr:uid="{00000000-0005-0000-0000-000029240000}"/>
    <cellStyle name="Output 2 2 6 3 3 2 4" xfId="5906" xr:uid="{00000000-0005-0000-0000-00002A240000}"/>
    <cellStyle name="Output 2 2 6 3 3 2 4 2" xfId="11736" xr:uid="{00000000-0005-0000-0000-00002B240000}"/>
    <cellStyle name="Output 2 2 6 3 3 2 5" xfId="7401" xr:uid="{00000000-0005-0000-0000-00002C240000}"/>
    <cellStyle name="Output 2 2 6 3 3 3" xfId="2360" xr:uid="{00000000-0005-0000-0000-00002D240000}"/>
    <cellStyle name="Output 2 2 6 3 3 3 2" xfId="8190" xr:uid="{00000000-0005-0000-0000-00002E240000}"/>
    <cellStyle name="Output 2 2 6 3 3 4" xfId="3786" xr:uid="{00000000-0005-0000-0000-00002F240000}"/>
    <cellStyle name="Output 2 2 6 3 3 4 2" xfId="9616" xr:uid="{00000000-0005-0000-0000-000030240000}"/>
    <cellStyle name="Output 2 2 6 3 3 5" xfId="5182" xr:uid="{00000000-0005-0000-0000-000031240000}"/>
    <cellStyle name="Output 2 2 6 3 3 5 2" xfId="11012" xr:uid="{00000000-0005-0000-0000-000032240000}"/>
    <cellStyle name="Output 2 2 6 3 3 6" xfId="6677" xr:uid="{00000000-0005-0000-0000-000033240000}"/>
    <cellStyle name="Output 2 2 6 3 4" xfId="1084" xr:uid="{00000000-0005-0000-0000-000034240000}"/>
    <cellStyle name="Output 2 2 6 3 4 2" xfId="2604" xr:uid="{00000000-0005-0000-0000-000035240000}"/>
    <cellStyle name="Output 2 2 6 3 4 2 2" xfId="8434" xr:uid="{00000000-0005-0000-0000-000036240000}"/>
    <cellStyle name="Output 2 2 6 3 4 3" xfId="4030" xr:uid="{00000000-0005-0000-0000-000037240000}"/>
    <cellStyle name="Output 2 2 6 3 4 3 2" xfId="9860" xr:uid="{00000000-0005-0000-0000-000038240000}"/>
    <cellStyle name="Output 2 2 6 3 4 4" xfId="5426" xr:uid="{00000000-0005-0000-0000-000039240000}"/>
    <cellStyle name="Output 2 2 6 3 4 4 2" xfId="11256" xr:uid="{00000000-0005-0000-0000-00003A240000}"/>
    <cellStyle name="Output 2 2 6 3 4 5" xfId="6921" xr:uid="{00000000-0005-0000-0000-00003B240000}"/>
    <cellStyle name="Output 2 2 6 3 5" xfId="1858" xr:uid="{00000000-0005-0000-0000-00003C240000}"/>
    <cellStyle name="Output 2 2 6 3 5 2" xfId="7688" xr:uid="{00000000-0005-0000-0000-00003D240000}"/>
    <cellStyle name="Output 2 2 6 3 6" xfId="3289" xr:uid="{00000000-0005-0000-0000-00003E240000}"/>
    <cellStyle name="Output 2 2 6 3 6 2" xfId="9119" xr:uid="{00000000-0005-0000-0000-00003F240000}"/>
    <cellStyle name="Output 2 2 6 3 7" xfId="4701" xr:uid="{00000000-0005-0000-0000-000040240000}"/>
    <cellStyle name="Output 2 2 6 3 7 2" xfId="10531" xr:uid="{00000000-0005-0000-0000-000041240000}"/>
    <cellStyle name="Output 2 2 6 3 8" xfId="6196" xr:uid="{00000000-0005-0000-0000-000042240000}"/>
    <cellStyle name="Output 2 2 6 4" xfId="436" xr:uid="{00000000-0005-0000-0000-000043240000}"/>
    <cellStyle name="Output 2 2 6 4 2" xfId="1171" xr:uid="{00000000-0005-0000-0000-000044240000}"/>
    <cellStyle name="Output 2 2 6 4 2 2" xfId="2687" xr:uid="{00000000-0005-0000-0000-000045240000}"/>
    <cellStyle name="Output 2 2 6 4 2 2 2" xfId="8517" xr:uid="{00000000-0005-0000-0000-000046240000}"/>
    <cellStyle name="Output 2 2 6 4 2 3" xfId="4110" xr:uid="{00000000-0005-0000-0000-000047240000}"/>
    <cellStyle name="Output 2 2 6 4 2 3 2" xfId="9940" xr:uid="{00000000-0005-0000-0000-000048240000}"/>
    <cellStyle name="Output 2 2 6 4 2 4" xfId="5506" xr:uid="{00000000-0005-0000-0000-000049240000}"/>
    <cellStyle name="Output 2 2 6 4 2 4 2" xfId="11336" xr:uid="{00000000-0005-0000-0000-00004A240000}"/>
    <cellStyle name="Output 2 2 6 4 2 5" xfId="7001" xr:uid="{00000000-0005-0000-0000-00004B240000}"/>
    <cellStyle name="Output 2 2 6 4 3" xfId="1958" xr:uid="{00000000-0005-0000-0000-00004C240000}"/>
    <cellStyle name="Output 2 2 6 4 3 2" xfId="7788" xr:uid="{00000000-0005-0000-0000-00004D240000}"/>
    <cellStyle name="Output 2 2 6 4 4" xfId="3385" xr:uid="{00000000-0005-0000-0000-00004E240000}"/>
    <cellStyle name="Output 2 2 6 4 4 2" xfId="9215" xr:uid="{00000000-0005-0000-0000-00004F240000}"/>
    <cellStyle name="Output 2 2 6 4 5" xfId="4782" xr:uid="{00000000-0005-0000-0000-000050240000}"/>
    <cellStyle name="Output 2 2 6 4 5 2" xfId="10612" xr:uid="{00000000-0005-0000-0000-000051240000}"/>
    <cellStyle name="Output 2 2 6 4 6" xfId="6277" xr:uid="{00000000-0005-0000-0000-000052240000}"/>
    <cellStyle name="Output 2 2 6 5" xfId="680" xr:uid="{00000000-0005-0000-0000-000053240000}"/>
    <cellStyle name="Output 2 2 6 5 2" xfId="1411" xr:uid="{00000000-0005-0000-0000-000054240000}"/>
    <cellStyle name="Output 2 2 6 5 2 2" xfId="2927" xr:uid="{00000000-0005-0000-0000-000055240000}"/>
    <cellStyle name="Output 2 2 6 5 2 2 2" xfId="8757" xr:uid="{00000000-0005-0000-0000-000056240000}"/>
    <cellStyle name="Output 2 2 6 5 2 3" xfId="4350" xr:uid="{00000000-0005-0000-0000-000057240000}"/>
    <cellStyle name="Output 2 2 6 5 2 3 2" xfId="10180" xr:uid="{00000000-0005-0000-0000-000058240000}"/>
    <cellStyle name="Output 2 2 6 5 2 4" xfId="5746" xr:uid="{00000000-0005-0000-0000-000059240000}"/>
    <cellStyle name="Output 2 2 6 5 2 4 2" xfId="11576" xr:uid="{00000000-0005-0000-0000-00005A240000}"/>
    <cellStyle name="Output 2 2 6 5 2 5" xfId="7241" xr:uid="{00000000-0005-0000-0000-00005B240000}"/>
    <cellStyle name="Output 2 2 6 5 3" xfId="2200" xr:uid="{00000000-0005-0000-0000-00005C240000}"/>
    <cellStyle name="Output 2 2 6 5 3 2" xfId="8030" xr:uid="{00000000-0005-0000-0000-00005D240000}"/>
    <cellStyle name="Output 2 2 6 5 4" xfId="3626" xr:uid="{00000000-0005-0000-0000-00005E240000}"/>
    <cellStyle name="Output 2 2 6 5 4 2" xfId="9456" xr:uid="{00000000-0005-0000-0000-00005F240000}"/>
    <cellStyle name="Output 2 2 6 5 5" xfId="5022" xr:uid="{00000000-0005-0000-0000-000060240000}"/>
    <cellStyle name="Output 2 2 6 5 5 2" xfId="10852" xr:uid="{00000000-0005-0000-0000-000061240000}"/>
    <cellStyle name="Output 2 2 6 5 6" xfId="6517" xr:uid="{00000000-0005-0000-0000-000062240000}"/>
    <cellStyle name="Output 2 2 6 6" xfId="924" xr:uid="{00000000-0005-0000-0000-000063240000}"/>
    <cellStyle name="Output 2 2 6 6 2" xfId="2444" xr:uid="{00000000-0005-0000-0000-000064240000}"/>
    <cellStyle name="Output 2 2 6 6 2 2" xfId="8274" xr:uid="{00000000-0005-0000-0000-000065240000}"/>
    <cellStyle name="Output 2 2 6 6 3" xfId="3870" xr:uid="{00000000-0005-0000-0000-000066240000}"/>
    <cellStyle name="Output 2 2 6 6 3 2" xfId="9700" xr:uid="{00000000-0005-0000-0000-000067240000}"/>
    <cellStyle name="Output 2 2 6 6 4" xfId="5266" xr:uid="{00000000-0005-0000-0000-000068240000}"/>
    <cellStyle name="Output 2 2 6 6 4 2" xfId="11096" xr:uid="{00000000-0005-0000-0000-000069240000}"/>
    <cellStyle name="Output 2 2 6 6 5" xfId="6761" xr:uid="{00000000-0005-0000-0000-00006A240000}"/>
    <cellStyle name="Output 2 2 6 7" xfId="1698" xr:uid="{00000000-0005-0000-0000-00006B240000}"/>
    <cellStyle name="Output 2 2 6 7 2" xfId="7528" xr:uid="{00000000-0005-0000-0000-00006C240000}"/>
    <cellStyle name="Output 2 2 6 8" xfId="3129" xr:uid="{00000000-0005-0000-0000-00006D240000}"/>
    <cellStyle name="Output 2 2 6 8 2" xfId="8959" xr:uid="{00000000-0005-0000-0000-00006E240000}"/>
    <cellStyle name="Output 2 2 6 9" xfId="3332" xr:uid="{00000000-0005-0000-0000-00006F240000}"/>
    <cellStyle name="Output 2 2 6 9 2" xfId="9162" xr:uid="{00000000-0005-0000-0000-000070240000}"/>
    <cellStyle name="Output 2 2 7" xfId="195" xr:uid="{00000000-0005-0000-0000-000071240000}"/>
    <cellStyle name="Output 2 2 7 2" xfId="475" xr:uid="{00000000-0005-0000-0000-000072240000}"/>
    <cellStyle name="Output 2 2 7 2 2" xfId="1210" xr:uid="{00000000-0005-0000-0000-000073240000}"/>
    <cellStyle name="Output 2 2 7 2 2 2" xfId="2726" xr:uid="{00000000-0005-0000-0000-000074240000}"/>
    <cellStyle name="Output 2 2 7 2 2 2 2" xfId="8556" xr:uid="{00000000-0005-0000-0000-000075240000}"/>
    <cellStyle name="Output 2 2 7 2 2 3" xfId="4149" xr:uid="{00000000-0005-0000-0000-000076240000}"/>
    <cellStyle name="Output 2 2 7 2 2 3 2" xfId="9979" xr:uid="{00000000-0005-0000-0000-000077240000}"/>
    <cellStyle name="Output 2 2 7 2 2 4" xfId="5545" xr:uid="{00000000-0005-0000-0000-000078240000}"/>
    <cellStyle name="Output 2 2 7 2 2 4 2" xfId="11375" xr:uid="{00000000-0005-0000-0000-000079240000}"/>
    <cellStyle name="Output 2 2 7 2 2 5" xfId="7040" xr:uid="{00000000-0005-0000-0000-00007A240000}"/>
    <cellStyle name="Output 2 2 7 2 3" xfId="1997" xr:uid="{00000000-0005-0000-0000-00007B240000}"/>
    <cellStyle name="Output 2 2 7 2 3 2" xfId="7827" xr:uid="{00000000-0005-0000-0000-00007C240000}"/>
    <cellStyle name="Output 2 2 7 2 4" xfId="3424" xr:uid="{00000000-0005-0000-0000-00007D240000}"/>
    <cellStyle name="Output 2 2 7 2 4 2" xfId="9254" xr:uid="{00000000-0005-0000-0000-00007E240000}"/>
    <cellStyle name="Output 2 2 7 2 5" xfId="4821" xr:uid="{00000000-0005-0000-0000-00007F240000}"/>
    <cellStyle name="Output 2 2 7 2 5 2" xfId="10651" xr:uid="{00000000-0005-0000-0000-000080240000}"/>
    <cellStyle name="Output 2 2 7 2 6" xfId="6316" xr:uid="{00000000-0005-0000-0000-000081240000}"/>
    <cellStyle name="Output 2 2 7 3" xfId="719" xr:uid="{00000000-0005-0000-0000-000082240000}"/>
    <cellStyle name="Output 2 2 7 3 2" xfId="1450" xr:uid="{00000000-0005-0000-0000-000083240000}"/>
    <cellStyle name="Output 2 2 7 3 2 2" xfId="2966" xr:uid="{00000000-0005-0000-0000-000084240000}"/>
    <cellStyle name="Output 2 2 7 3 2 2 2" xfId="8796" xr:uid="{00000000-0005-0000-0000-000085240000}"/>
    <cellStyle name="Output 2 2 7 3 2 3" xfId="4389" xr:uid="{00000000-0005-0000-0000-000086240000}"/>
    <cellStyle name="Output 2 2 7 3 2 3 2" xfId="10219" xr:uid="{00000000-0005-0000-0000-000087240000}"/>
    <cellStyle name="Output 2 2 7 3 2 4" xfId="5785" xr:uid="{00000000-0005-0000-0000-000088240000}"/>
    <cellStyle name="Output 2 2 7 3 2 4 2" xfId="11615" xr:uid="{00000000-0005-0000-0000-000089240000}"/>
    <cellStyle name="Output 2 2 7 3 2 5" xfId="7280" xr:uid="{00000000-0005-0000-0000-00008A240000}"/>
    <cellStyle name="Output 2 2 7 3 3" xfId="2239" xr:uid="{00000000-0005-0000-0000-00008B240000}"/>
    <cellStyle name="Output 2 2 7 3 3 2" xfId="8069" xr:uid="{00000000-0005-0000-0000-00008C240000}"/>
    <cellStyle name="Output 2 2 7 3 4" xfId="3665" xr:uid="{00000000-0005-0000-0000-00008D240000}"/>
    <cellStyle name="Output 2 2 7 3 4 2" xfId="9495" xr:uid="{00000000-0005-0000-0000-00008E240000}"/>
    <cellStyle name="Output 2 2 7 3 5" xfId="5061" xr:uid="{00000000-0005-0000-0000-00008F240000}"/>
    <cellStyle name="Output 2 2 7 3 5 2" xfId="10891" xr:uid="{00000000-0005-0000-0000-000090240000}"/>
    <cellStyle name="Output 2 2 7 3 6" xfId="6556" xr:uid="{00000000-0005-0000-0000-000091240000}"/>
    <cellStyle name="Output 2 2 7 4" xfId="963" xr:uid="{00000000-0005-0000-0000-000092240000}"/>
    <cellStyle name="Output 2 2 7 4 2" xfId="2483" xr:uid="{00000000-0005-0000-0000-000093240000}"/>
    <cellStyle name="Output 2 2 7 4 2 2" xfId="8313" xr:uid="{00000000-0005-0000-0000-000094240000}"/>
    <cellStyle name="Output 2 2 7 4 3" xfId="3909" xr:uid="{00000000-0005-0000-0000-000095240000}"/>
    <cellStyle name="Output 2 2 7 4 3 2" xfId="9739" xr:uid="{00000000-0005-0000-0000-000096240000}"/>
    <cellStyle name="Output 2 2 7 4 4" xfId="5305" xr:uid="{00000000-0005-0000-0000-000097240000}"/>
    <cellStyle name="Output 2 2 7 4 4 2" xfId="11135" xr:uid="{00000000-0005-0000-0000-000098240000}"/>
    <cellStyle name="Output 2 2 7 4 5" xfId="6800" xr:uid="{00000000-0005-0000-0000-000099240000}"/>
    <cellStyle name="Output 2 2 7 5" xfId="1737" xr:uid="{00000000-0005-0000-0000-00009A240000}"/>
    <cellStyle name="Output 2 2 7 5 2" xfId="7567" xr:uid="{00000000-0005-0000-0000-00009B240000}"/>
    <cellStyle name="Output 2 2 7 6" xfId="3168" xr:uid="{00000000-0005-0000-0000-00009C240000}"/>
    <cellStyle name="Output 2 2 7 6 2" xfId="8998" xr:uid="{00000000-0005-0000-0000-00009D240000}"/>
    <cellStyle name="Output 2 2 7 7" xfId="4580" xr:uid="{00000000-0005-0000-0000-00009E240000}"/>
    <cellStyle name="Output 2 2 7 7 2" xfId="10410" xr:uid="{00000000-0005-0000-0000-00009F240000}"/>
    <cellStyle name="Output 2 2 7 8" xfId="6075" xr:uid="{00000000-0005-0000-0000-0000A0240000}"/>
    <cellStyle name="Output 2 2 8" xfId="277" xr:uid="{00000000-0005-0000-0000-0000A1240000}"/>
    <cellStyle name="Output 2 2 8 2" xfId="556" xr:uid="{00000000-0005-0000-0000-0000A2240000}"/>
    <cellStyle name="Output 2 2 8 2 2" xfId="1291" xr:uid="{00000000-0005-0000-0000-0000A3240000}"/>
    <cellStyle name="Output 2 2 8 2 2 2" xfId="2807" xr:uid="{00000000-0005-0000-0000-0000A4240000}"/>
    <cellStyle name="Output 2 2 8 2 2 2 2" xfId="8637" xr:uid="{00000000-0005-0000-0000-0000A5240000}"/>
    <cellStyle name="Output 2 2 8 2 2 3" xfId="4230" xr:uid="{00000000-0005-0000-0000-0000A6240000}"/>
    <cellStyle name="Output 2 2 8 2 2 3 2" xfId="10060" xr:uid="{00000000-0005-0000-0000-0000A7240000}"/>
    <cellStyle name="Output 2 2 8 2 2 4" xfId="5626" xr:uid="{00000000-0005-0000-0000-0000A8240000}"/>
    <cellStyle name="Output 2 2 8 2 2 4 2" xfId="11456" xr:uid="{00000000-0005-0000-0000-0000A9240000}"/>
    <cellStyle name="Output 2 2 8 2 2 5" xfId="7121" xr:uid="{00000000-0005-0000-0000-0000AA240000}"/>
    <cellStyle name="Output 2 2 8 2 3" xfId="2078" xr:uid="{00000000-0005-0000-0000-0000AB240000}"/>
    <cellStyle name="Output 2 2 8 2 3 2" xfId="7908" xr:uid="{00000000-0005-0000-0000-0000AC240000}"/>
    <cellStyle name="Output 2 2 8 2 4" xfId="3505" xr:uid="{00000000-0005-0000-0000-0000AD240000}"/>
    <cellStyle name="Output 2 2 8 2 4 2" xfId="9335" xr:uid="{00000000-0005-0000-0000-0000AE240000}"/>
    <cellStyle name="Output 2 2 8 2 5" xfId="4902" xr:uid="{00000000-0005-0000-0000-0000AF240000}"/>
    <cellStyle name="Output 2 2 8 2 5 2" xfId="10732" xr:uid="{00000000-0005-0000-0000-0000B0240000}"/>
    <cellStyle name="Output 2 2 8 2 6" xfId="6397" xr:uid="{00000000-0005-0000-0000-0000B1240000}"/>
    <cellStyle name="Output 2 2 8 3" xfId="800" xr:uid="{00000000-0005-0000-0000-0000B2240000}"/>
    <cellStyle name="Output 2 2 8 3 2" xfId="1531" xr:uid="{00000000-0005-0000-0000-0000B3240000}"/>
    <cellStyle name="Output 2 2 8 3 2 2" xfId="3047" xr:uid="{00000000-0005-0000-0000-0000B4240000}"/>
    <cellStyle name="Output 2 2 8 3 2 2 2" xfId="8877" xr:uid="{00000000-0005-0000-0000-0000B5240000}"/>
    <cellStyle name="Output 2 2 8 3 2 3" xfId="4470" xr:uid="{00000000-0005-0000-0000-0000B6240000}"/>
    <cellStyle name="Output 2 2 8 3 2 3 2" xfId="10300" xr:uid="{00000000-0005-0000-0000-0000B7240000}"/>
    <cellStyle name="Output 2 2 8 3 2 4" xfId="5866" xr:uid="{00000000-0005-0000-0000-0000B8240000}"/>
    <cellStyle name="Output 2 2 8 3 2 4 2" xfId="11696" xr:uid="{00000000-0005-0000-0000-0000B9240000}"/>
    <cellStyle name="Output 2 2 8 3 2 5" xfId="7361" xr:uid="{00000000-0005-0000-0000-0000BA240000}"/>
    <cellStyle name="Output 2 2 8 3 3" xfId="2320" xr:uid="{00000000-0005-0000-0000-0000BB240000}"/>
    <cellStyle name="Output 2 2 8 3 3 2" xfId="8150" xr:uid="{00000000-0005-0000-0000-0000BC240000}"/>
    <cellStyle name="Output 2 2 8 3 4" xfId="3746" xr:uid="{00000000-0005-0000-0000-0000BD240000}"/>
    <cellStyle name="Output 2 2 8 3 4 2" xfId="9576" xr:uid="{00000000-0005-0000-0000-0000BE240000}"/>
    <cellStyle name="Output 2 2 8 3 5" xfId="5142" xr:uid="{00000000-0005-0000-0000-0000BF240000}"/>
    <cellStyle name="Output 2 2 8 3 5 2" xfId="10972" xr:uid="{00000000-0005-0000-0000-0000C0240000}"/>
    <cellStyle name="Output 2 2 8 3 6" xfId="6637" xr:uid="{00000000-0005-0000-0000-0000C1240000}"/>
    <cellStyle name="Output 2 2 8 4" xfId="1044" xr:uid="{00000000-0005-0000-0000-0000C2240000}"/>
    <cellStyle name="Output 2 2 8 4 2" xfId="2564" xr:uid="{00000000-0005-0000-0000-0000C3240000}"/>
    <cellStyle name="Output 2 2 8 4 2 2" xfId="8394" xr:uid="{00000000-0005-0000-0000-0000C4240000}"/>
    <cellStyle name="Output 2 2 8 4 3" xfId="3990" xr:uid="{00000000-0005-0000-0000-0000C5240000}"/>
    <cellStyle name="Output 2 2 8 4 3 2" xfId="9820" xr:uid="{00000000-0005-0000-0000-0000C6240000}"/>
    <cellStyle name="Output 2 2 8 4 4" xfId="5386" xr:uid="{00000000-0005-0000-0000-0000C7240000}"/>
    <cellStyle name="Output 2 2 8 4 4 2" xfId="11216" xr:uid="{00000000-0005-0000-0000-0000C8240000}"/>
    <cellStyle name="Output 2 2 8 4 5" xfId="6881" xr:uid="{00000000-0005-0000-0000-0000C9240000}"/>
    <cellStyle name="Output 2 2 8 5" xfId="1818" xr:uid="{00000000-0005-0000-0000-0000CA240000}"/>
    <cellStyle name="Output 2 2 8 5 2" xfId="7648" xr:uid="{00000000-0005-0000-0000-0000CB240000}"/>
    <cellStyle name="Output 2 2 8 6" xfId="3249" xr:uid="{00000000-0005-0000-0000-0000CC240000}"/>
    <cellStyle name="Output 2 2 8 6 2" xfId="9079" xr:uid="{00000000-0005-0000-0000-0000CD240000}"/>
    <cellStyle name="Output 2 2 8 7" xfId="4661" xr:uid="{00000000-0005-0000-0000-0000CE240000}"/>
    <cellStyle name="Output 2 2 8 7 2" xfId="10491" xr:uid="{00000000-0005-0000-0000-0000CF240000}"/>
    <cellStyle name="Output 2 2 8 8" xfId="6156" xr:uid="{00000000-0005-0000-0000-0000D0240000}"/>
    <cellStyle name="Output 2 2 9" xfId="396" xr:uid="{00000000-0005-0000-0000-0000D1240000}"/>
    <cellStyle name="Output 2 2 9 2" xfId="1131" xr:uid="{00000000-0005-0000-0000-0000D2240000}"/>
    <cellStyle name="Output 2 2 9 2 2" xfId="2647" xr:uid="{00000000-0005-0000-0000-0000D3240000}"/>
    <cellStyle name="Output 2 2 9 2 2 2" xfId="8477" xr:uid="{00000000-0005-0000-0000-0000D4240000}"/>
    <cellStyle name="Output 2 2 9 2 3" xfId="4070" xr:uid="{00000000-0005-0000-0000-0000D5240000}"/>
    <cellStyle name="Output 2 2 9 2 3 2" xfId="9900" xr:uid="{00000000-0005-0000-0000-0000D6240000}"/>
    <cellStyle name="Output 2 2 9 2 4" xfId="5466" xr:uid="{00000000-0005-0000-0000-0000D7240000}"/>
    <cellStyle name="Output 2 2 9 2 4 2" xfId="11296" xr:uid="{00000000-0005-0000-0000-0000D8240000}"/>
    <cellStyle name="Output 2 2 9 2 5" xfId="6961" xr:uid="{00000000-0005-0000-0000-0000D9240000}"/>
    <cellStyle name="Output 2 2 9 3" xfId="1918" xr:uid="{00000000-0005-0000-0000-0000DA240000}"/>
    <cellStyle name="Output 2 2 9 3 2" xfId="7748" xr:uid="{00000000-0005-0000-0000-0000DB240000}"/>
    <cellStyle name="Output 2 2 9 4" xfId="3345" xr:uid="{00000000-0005-0000-0000-0000DC240000}"/>
    <cellStyle name="Output 2 2 9 4 2" xfId="9175" xr:uid="{00000000-0005-0000-0000-0000DD240000}"/>
    <cellStyle name="Output 2 2 9 5" xfId="4742" xr:uid="{00000000-0005-0000-0000-0000DE240000}"/>
    <cellStyle name="Output 2 2 9 5 2" xfId="10572" xr:uid="{00000000-0005-0000-0000-0000DF240000}"/>
    <cellStyle name="Output 2 2 9 6" xfId="6237" xr:uid="{00000000-0005-0000-0000-0000E0240000}"/>
    <cellStyle name="Output 2 3" xfId="879" xr:uid="{00000000-0005-0000-0000-0000E1240000}"/>
    <cellStyle name="Output 2 3 2" xfId="2399" xr:uid="{00000000-0005-0000-0000-0000E2240000}"/>
    <cellStyle name="Output 2 3 2 2" xfId="8229" xr:uid="{00000000-0005-0000-0000-0000E3240000}"/>
    <cellStyle name="Output 2 3 3" xfId="3825" xr:uid="{00000000-0005-0000-0000-0000E4240000}"/>
    <cellStyle name="Output 2 3 3 2" xfId="9655" xr:uid="{00000000-0005-0000-0000-0000E5240000}"/>
    <cellStyle name="Output 2 3 4" xfId="5221" xr:uid="{00000000-0005-0000-0000-0000E6240000}"/>
    <cellStyle name="Output 2 3 4 2" xfId="11051" xr:uid="{00000000-0005-0000-0000-0000E7240000}"/>
    <cellStyle name="Output 2 3 5" xfId="6716" xr:uid="{00000000-0005-0000-0000-0000E8240000}"/>
    <cellStyle name="Output 2 4" xfId="5991" xr:uid="{00000000-0005-0000-0000-0000E9240000}"/>
    <cellStyle name="Output 3" xfId="368" xr:uid="{00000000-0005-0000-0000-0000EA240000}"/>
    <cellStyle name="Output 4" xfId="5956" xr:uid="{00000000-0005-0000-0000-0000EB240000}"/>
    <cellStyle name="Percent" xfId="11776" builtinId="5"/>
    <cellStyle name="Title 2" xfId="51" xr:uid="{00000000-0005-0000-0000-0000EC240000}"/>
    <cellStyle name="Title 3" xfId="93" xr:uid="{00000000-0005-0000-0000-0000ED240000}"/>
    <cellStyle name="Title 4" xfId="5947" xr:uid="{00000000-0005-0000-0000-0000EE240000}"/>
    <cellStyle name="Total" xfId="16" builtinId="25" customBuiltin="1"/>
    <cellStyle name="Total 2" xfId="94" xr:uid="{00000000-0005-0000-0000-0000F0240000}"/>
    <cellStyle name="Total 2 2" xfId="116" xr:uid="{00000000-0005-0000-0000-0000F1240000}"/>
    <cellStyle name="Total 2 2 10" xfId="641" xr:uid="{00000000-0005-0000-0000-0000F2240000}"/>
    <cellStyle name="Total 2 2 10 2" xfId="1372" xr:uid="{00000000-0005-0000-0000-0000F3240000}"/>
    <cellStyle name="Total 2 2 10 2 2" xfId="2888" xr:uid="{00000000-0005-0000-0000-0000F4240000}"/>
    <cellStyle name="Total 2 2 10 2 2 2" xfId="8718" xr:uid="{00000000-0005-0000-0000-0000F5240000}"/>
    <cellStyle name="Total 2 2 10 2 3" xfId="4311" xr:uid="{00000000-0005-0000-0000-0000F6240000}"/>
    <cellStyle name="Total 2 2 10 2 3 2" xfId="10141" xr:uid="{00000000-0005-0000-0000-0000F7240000}"/>
    <cellStyle name="Total 2 2 10 2 4" xfId="5707" xr:uid="{00000000-0005-0000-0000-0000F8240000}"/>
    <cellStyle name="Total 2 2 10 2 4 2" xfId="11537" xr:uid="{00000000-0005-0000-0000-0000F9240000}"/>
    <cellStyle name="Total 2 2 10 2 5" xfId="7202" xr:uid="{00000000-0005-0000-0000-0000FA240000}"/>
    <cellStyle name="Total 2 2 10 3" xfId="2161" xr:uid="{00000000-0005-0000-0000-0000FB240000}"/>
    <cellStyle name="Total 2 2 10 3 2" xfId="7991" xr:uid="{00000000-0005-0000-0000-0000FC240000}"/>
    <cellStyle name="Total 2 2 10 4" xfId="3587" xr:uid="{00000000-0005-0000-0000-0000FD240000}"/>
    <cellStyle name="Total 2 2 10 4 2" xfId="9417" xr:uid="{00000000-0005-0000-0000-0000FE240000}"/>
    <cellStyle name="Total 2 2 10 5" xfId="4983" xr:uid="{00000000-0005-0000-0000-0000FF240000}"/>
    <cellStyle name="Total 2 2 10 5 2" xfId="10813" xr:uid="{00000000-0005-0000-0000-000000250000}"/>
    <cellStyle name="Total 2 2 10 6" xfId="6478" xr:uid="{00000000-0005-0000-0000-000001250000}"/>
    <cellStyle name="Total 2 2 11" xfId="885" xr:uid="{00000000-0005-0000-0000-000002250000}"/>
    <cellStyle name="Total 2 2 11 2" xfId="2405" xr:uid="{00000000-0005-0000-0000-000003250000}"/>
    <cellStyle name="Total 2 2 11 2 2" xfId="8235" xr:uid="{00000000-0005-0000-0000-000004250000}"/>
    <cellStyle name="Total 2 2 11 3" xfId="3831" xr:uid="{00000000-0005-0000-0000-000005250000}"/>
    <cellStyle name="Total 2 2 11 3 2" xfId="9661" xr:uid="{00000000-0005-0000-0000-000006250000}"/>
    <cellStyle name="Total 2 2 11 4" xfId="5227" xr:uid="{00000000-0005-0000-0000-000007250000}"/>
    <cellStyle name="Total 2 2 11 4 2" xfId="11057" xr:uid="{00000000-0005-0000-0000-000008250000}"/>
    <cellStyle name="Total 2 2 11 5" xfId="6722" xr:uid="{00000000-0005-0000-0000-000009250000}"/>
    <cellStyle name="Total 2 2 12" xfId="1659" xr:uid="{00000000-0005-0000-0000-00000A250000}"/>
    <cellStyle name="Total 2 2 12 2" xfId="7489" xr:uid="{00000000-0005-0000-0000-00000B250000}"/>
    <cellStyle name="Total 2 2 13" xfId="1634" xr:uid="{00000000-0005-0000-0000-00000C250000}"/>
    <cellStyle name="Total 2 2 13 2" xfId="7464" xr:uid="{00000000-0005-0000-0000-00000D250000}"/>
    <cellStyle name="Total 2 2 14" xfId="1619" xr:uid="{00000000-0005-0000-0000-00000E250000}"/>
    <cellStyle name="Total 2 2 14 2" xfId="7449" xr:uid="{00000000-0005-0000-0000-00000F250000}"/>
    <cellStyle name="Total 2 2 15" xfId="5997" xr:uid="{00000000-0005-0000-0000-000010250000}"/>
    <cellStyle name="Total 2 2 2" xfId="121" xr:uid="{00000000-0005-0000-0000-000011250000}"/>
    <cellStyle name="Total 2 2 2 10" xfId="1631" xr:uid="{00000000-0005-0000-0000-000012250000}"/>
    <cellStyle name="Total 2 2 2 10 2" xfId="7461" xr:uid="{00000000-0005-0000-0000-000013250000}"/>
    <cellStyle name="Total 2 2 2 11" xfId="3327" xr:uid="{00000000-0005-0000-0000-000014250000}"/>
    <cellStyle name="Total 2 2 2 11 2" xfId="9157" xr:uid="{00000000-0005-0000-0000-000015250000}"/>
    <cellStyle name="Total 2 2 2 12" xfId="6002" xr:uid="{00000000-0005-0000-0000-000016250000}"/>
    <cellStyle name="Total 2 2 2 2" xfId="142" xr:uid="{00000000-0005-0000-0000-000017250000}"/>
    <cellStyle name="Total 2 2 2 2 10" xfId="1651" xr:uid="{00000000-0005-0000-0000-000018250000}"/>
    <cellStyle name="Total 2 2 2 2 10 2" xfId="7481" xr:uid="{00000000-0005-0000-0000-000019250000}"/>
    <cellStyle name="Total 2 2 2 2 11" xfId="6022" xr:uid="{00000000-0005-0000-0000-00001A250000}"/>
    <cellStyle name="Total 2 2 2 2 2" xfId="182" xr:uid="{00000000-0005-0000-0000-00001B250000}"/>
    <cellStyle name="Total 2 2 2 2 2 10" xfId="6062" xr:uid="{00000000-0005-0000-0000-00001C250000}"/>
    <cellStyle name="Total 2 2 2 2 2 2" xfId="263" xr:uid="{00000000-0005-0000-0000-00001D250000}"/>
    <cellStyle name="Total 2 2 2 2 2 2 2" xfId="542" xr:uid="{00000000-0005-0000-0000-00001E250000}"/>
    <cellStyle name="Total 2 2 2 2 2 2 2 2" xfId="1277" xr:uid="{00000000-0005-0000-0000-00001F250000}"/>
    <cellStyle name="Total 2 2 2 2 2 2 2 2 2" xfId="2793" xr:uid="{00000000-0005-0000-0000-000020250000}"/>
    <cellStyle name="Total 2 2 2 2 2 2 2 2 2 2" xfId="8623" xr:uid="{00000000-0005-0000-0000-000021250000}"/>
    <cellStyle name="Total 2 2 2 2 2 2 2 2 3" xfId="4216" xr:uid="{00000000-0005-0000-0000-000022250000}"/>
    <cellStyle name="Total 2 2 2 2 2 2 2 2 3 2" xfId="10046" xr:uid="{00000000-0005-0000-0000-000023250000}"/>
    <cellStyle name="Total 2 2 2 2 2 2 2 2 4" xfId="5612" xr:uid="{00000000-0005-0000-0000-000024250000}"/>
    <cellStyle name="Total 2 2 2 2 2 2 2 2 4 2" xfId="11442" xr:uid="{00000000-0005-0000-0000-000025250000}"/>
    <cellStyle name="Total 2 2 2 2 2 2 2 2 5" xfId="7107" xr:uid="{00000000-0005-0000-0000-000026250000}"/>
    <cellStyle name="Total 2 2 2 2 2 2 2 3" xfId="2064" xr:uid="{00000000-0005-0000-0000-000027250000}"/>
    <cellStyle name="Total 2 2 2 2 2 2 2 3 2" xfId="7894" xr:uid="{00000000-0005-0000-0000-000028250000}"/>
    <cellStyle name="Total 2 2 2 2 2 2 2 4" xfId="3491" xr:uid="{00000000-0005-0000-0000-000029250000}"/>
    <cellStyle name="Total 2 2 2 2 2 2 2 4 2" xfId="9321" xr:uid="{00000000-0005-0000-0000-00002A250000}"/>
    <cellStyle name="Total 2 2 2 2 2 2 2 5" xfId="4888" xr:uid="{00000000-0005-0000-0000-00002B250000}"/>
    <cellStyle name="Total 2 2 2 2 2 2 2 5 2" xfId="10718" xr:uid="{00000000-0005-0000-0000-00002C250000}"/>
    <cellStyle name="Total 2 2 2 2 2 2 2 6" xfId="6383" xr:uid="{00000000-0005-0000-0000-00002D250000}"/>
    <cellStyle name="Total 2 2 2 2 2 2 3" xfId="786" xr:uid="{00000000-0005-0000-0000-00002E250000}"/>
    <cellStyle name="Total 2 2 2 2 2 2 3 2" xfId="1517" xr:uid="{00000000-0005-0000-0000-00002F250000}"/>
    <cellStyle name="Total 2 2 2 2 2 2 3 2 2" xfId="3033" xr:uid="{00000000-0005-0000-0000-000030250000}"/>
    <cellStyle name="Total 2 2 2 2 2 2 3 2 2 2" xfId="8863" xr:uid="{00000000-0005-0000-0000-000031250000}"/>
    <cellStyle name="Total 2 2 2 2 2 2 3 2 3" xfId="4456" xr:uid="{00000000-0005-0000-0000-000032250000}"/>
    <cellStyle name="Total 2 2 2 2 2 2 3 2 3 2" xfId="10286" xr:uid="{00000000-0005-0000-0000-000033250000}"/>
    <cellStyle name="Total 2 2 2 2 2 2 3 2 4" xfId="5852" xr:uid="{00000000-0005-0000-0000-000034250000}"/>
    <cellStyle name="Total 2 2 2 2 2 2 3 2 4 2" xfId="11682" xr:uid="{00000000-0005-0000-0000-000035250000}"/>
    <cellStyle name="Total 2 2 2 2 2 2 3 2 5" xfId="7347" xr:uid="{00000000-0005-0000-0000-000036250000}"/>
    <cellStyle name="Total 2 2 2 2 2 2 3 3" xfId="2306" xr:uid="{00000000-0005-0000-0000-000037250000}"/>
    <cellStyle name="Total 2 2 2 2 2 2 3 3 2" xfId="8136" xr:uid="{00000000-0005-0000-0000-000038250000}"/>
    <cellStyle name="Total 2 2 2 2 2 2 3 4" xfId="3732" xr:uid="{00000000-0005-0000-0000-000039250000}"/>
    <cellStyle name="Total 2 2 2 2 2 2 3 4 2" xfId="9562" xr:uid="{00000000-0005-0000-0000-00003A250000}"/>
    <cellStyle name="Total 2 2 2 2 2 2 3 5" xfId="5128" xr:uid="{00000000-0005-0000-0000-00003B250000}"/>
    <cellStyle name="Total 2 2 2 2 2 2 3 5 2" xfId="10958" xr:uid="{00000000-0005-0000-0000-00003C250000}"/>
    <cellStyle name="Total 2 2 2 2 2 2 3 6" xfId="6623" xr:uid="{00000000-0005-0000-0000-00003D250000}"/>
    <cellStyle name="Total 2 2 2 2 2 2 4" xfId="1030" xr:uid="{00000000-0005-0000-0000-00003E250000}"/>
    <cellStyle name="Total 2 2 2 2 2 2 4 2" xfId="2550" xr:uid="{00000000-0005-0000-0000-00003F250000}"/>
    <cellStyle name="Total 2 2 2 2 2 2 4 2 2" xfId="8380" xr:uid="{00000000-0005-0000-0000-000040250000}"/>
    <cellStyle name="Total 2 2 2 2 2 2 4 3" xfId="3976" xr:uid="{00000000-0005-0000-0000-000041250000}"/>
    <cellStyle name="Total 2 2 2 2 2 2 4 3 2" xfId="9806" xr:uid="{00000000-0005-0000-0000-000042250000}"/>
    <cellStyle name="Total 2 2 2 2 2 2 4 4" xfId="5372" xr:uid="{00000000-0005-0000-0000-000043250000}"/>
    <cellStyle name="Total 2 2 2 2 2 2 4 4 2" xfId="11202" xr:uid="{00000000-0005-0000-0000-000044250000}"/>
    <cellStyle name="Total 2 2 2 2 2 2 4 5" xfId="6867" xr:uid="{00000000-0005-0000-0000-000045250000}"/>
    <cellStyle name="Total 2 2 2 2 2 2 5" xfId="1804" xr:uid="{00000000-0005-0000-0000-000046250000}"/>
    <cellStyle name="Total 2 2 2 2 2 2 5 2" xfId="7634" xr:uid="{00000000-0005-0000-0000-000047250000}"/>
    <cellStyle name="Total 2 2 2 2 2 2 6" xfId="3235" xr:uid="{00000000-0005-0000-0000-000048250000}"/>
    <cellStyle name="Total 2 2 2 2 2 2 6 2" xfId="9065" xr:uid="{00000000-0005-0000-0000-000049250000}"/>
    <cellStyle name="Total 2 2 2 2 2 2 7" xfId="4647" xr:uid="{00000000-0005-0000-0000-00004A250000}"/>
    <cellStyle name="Total 2 2 2 2 2 2 7 2" xfId="10477" xr:uid="{00000000-0005-0000-0000-00004B250000}"/>
    <cellStyle name="Total 2 2 2 2 2 2 8" xfId="6142" xr:uid="{00000000-0005-0000-0000-00004C250000}"/>
    <cellStyle name="Total 2 2 2 2 2 3" xfId="343" xr:uid="{00000000-0005-0000-0000-00004D250000}"/>
    <cellStyle name="Total 2 2 2 2 2 3 2" xfId="622" xr:uid="{00000000-0005-0000-0000-00004E250000}"/>
    <cellStyle name="Total 2 2 2 2 2 3 2 2" xfId="1357" xr:uid="{00000000-0005-0000-0000-00004F250000}"/>
    <cellStyle name="Total 2 2 2 2 2 3 2 2 2" xfId="2873" xr:uid="{00000000-0005-0000-0000-000050250000}"/>
    <cellStyle name="Total 2 2 2 2 2 3 2 2 2 2" xfId="8703" xr:uid="{00000000-0005-0000-0000-000051250000}"/>
    <cellStyle name="Total 2 2 2 2 2 3 2 2 3" xfId="4296" xr:uid="{00000000-0005-0000-0000-000052250000}"/>
    <cellStyle name="Total 2 2 2 2 2 3 2 2 3 2" xfId="10126" xr:uid="{00000000-0005-0000-0000-000053250000}"/>
    <cellStyle name="Total 2 2 2 2 2 3 2 2 4" xfId="5692" xr:uid="{00000000-0005-0000-0000-000054250000}"/>
    <cellStyle name="Total 2 2 2 2 2 3 2 2 4 2" xfId="11522" xr:uid="{00000000-0005-0000-0000-000055250000}"/>
    <cellStyle name="Total 2 2 2 2 2 3 2 2 5" xfId="7187" xr:uid="{00000000-0005-0000-0000-000056250000}"/>
    <cellStyle name="Total 2 2 2 2 2 3 2 3" xfId="2144" xr:uid="{00000000-0005-0000-0000-000057250000}"/>
    <cellStyle name="Total 2 2 2 2 2 3 2 3 2" xfId="7974" xr:uid="{00000000-0005-0000-0000-000058250000}"/>
    <cellStyle name="Total 2 2 2 2 2 3 2 4" xfId="3571" xr:uid="{00000000-0005-0000-0000-000059250000}"/>
    <cellStyle name="Total 2 2 2 2 2 3 2 4 2" xfId="9401" xr:uid="{00000000-0005-0000-0000-00005A250000}"/>
    <cellStyle name="Total 2 2 2 2 2 3 2 5" xfId="4968" xr:uid="{00000000-0005-0000-0000-00005B250000}"/>
    <cellStyle name="Total 2 2 2 2 2 3 2 5 2" xfId="10798" xr:uid="{00000000-0005-0000-0000-00005C250000}"/>
    <cellStyle name="Total 2 2 2 2 2 3 2 6" xfId="6463" xr:uid="{00000000-0005-0000-0000-00005D250000}"/>
    <cellStyle name="Total 2 2 2 2 2 3 3" xfId="866" xr:uid="{00000000-0005-0000-0000-00005E250000}"/>
    <cellStyle name="Total 2 2 2 2 2 3 3 2" xfId="1597" xr:uid="{00000000-0005-0000-0000-00005F250000}"/>
    <cellStyle name="Total 2 2 2 2 2 3 3 2 2" xfId="3113" xr:uid="{00000000-0005-0000-0000-000060250000}"/>
    <cellStyle name="Total 2 2 2 2 2 3 3 2 2 2" xfId="8943" xr:uid="{00000000-0005-0000-0000-000061250000}"/>
    <cellStyle name="Total 2 2 2 2 2 3 3 2 3" xfId="4536" xr:uid="{00000000-0005-0000-0000-000062250000}"/>
    <cellStyle name="Total 2 2 2 2 2 3 3 2 3 2" xfId="10366" xr:uid="{00000000-0005-0000-0000-000063250000}"/>
    <cellStyle name="Total 2 2 2 2 2 3 3 2 4" xfId="5932" xr:uid="{00000000-0005-0000-0000-000064250000}"/>
    <cellStyle name="Total 2 2 2 2 2 3 3 2 4 2" xfId="11762" xr:uid="{00000000-0005-0000-0000-000065250000}"/>
    <cellStyle name="Total 2 2 2 2 2 3 3 2 5" xfId="7427" xr:uid="{00000000-0005-0000-0000-000066250000}"/>
    <cellStyle name="Total 2 2 2 2 2 3 3 3" xfId="2386" xr:uid="{00000000-0005-0000-0000-000067250000}"/>
    <cellStyle name="Total 2 2 2 2 2 3 3 3 2" xfId="8216" xr:uid="{00000000-0005-0000-0000-000068250000}"/>
    <cellStyle name="Total 2 2 2 2 2 3 3 4" xfId="3812" xr:uid="{00000000-0005-0000-0000-000069250000}"/>
    <cellStyle name="Total 2 2 2 2 2 3 3 4 2" xfId="9642" xr:uid="{00000000-0005-0000-0000-00006A250000}"/>
    <cellStyle name="Total 2 2 2 2 2 3 3 5" xfId="5208" xr:uid="{00000000-0005-0000-0000-00006B250000}"/>
    <cellStyle name="Total 2 2 2 2 2 3 3 5 2" xfId="11038" xr:uid="{00000000-0005-0000-0000-00006C250000}"/>
    <cellStyle name="Total 2 2 2 2 2 3 3 6" xfId="6703" xr:uid="{00000000-0005-0000-0000-00006D250000}"/>
    <cellStyle name="Total 2 2 2 2 2 3 4" xfId="1110" xr:uid="{00000000-0005-0000-0000-00006E250000}"/>
    <cellStyle name="Total 2 2 2 2 2 3 4 2" xfId="2630" xr:uid="{00000000-0005-0000-0000-00006F250000}"/>
    <cellStyle name="Total 2 2 2 2 2 3 4 2 2" xfId="8460" xr:uid="{00000000-0005-0000-0000-000070250000}"/>
    <cellStyle name="Total 2 2 2 2 2 3 4 3" xfId="4056" xr:uid="{00000000-0005-0000-0000-000071250000}"/>
    <cellStyle name="Total 2 2 2 2 2 3 4 3 2" xfId="9886" xr:uid="{00000000-0005-0000-0000-000072250000}"/>
    <cellStyle name="Total 2 2 2 2 2 3 4 4" xfId="5452" xr:uid="{00000000-0005-0000-0000-000073250000}"/>
    <cellStyle name="Total 2 2 2 2 2 3 4 4 2" xfId="11282" xr:uid="{00000000-0005-0000-0000-000074250000}"/>
    <cellStyle name="Total 2 2 2 2 2 3 4 5" xfId="6947" xr:uid="{00000000-0005-0000-0000-000075250000}"/>
    <cellStyle name="Total 2 2 2 2 2 3 5" xfId="1884" xr:uid="{00000000-0005-0000-0000-000076250000}"/>
    <cellStyle name="Total 2 2 2 2 2 3 5 2" xfId="7714" xr:uid="{00000000-0005-0000-0000-000077250000}"/>
    <cellStyle name="Total 2 2 2 2 2 3 6" xfId="3315" xr:uid="{00000000-0005-0000-0000-000078250000}"/>
    <cellStyle name="Total 2 2 2 2 2 3 6 2" xfId="9145" xr:uid="{00000000-0005-0000-0000-000079250000}"/>
    <cellStyle name="Total 2 2 2 2 2 3 7" xfId="4727" xr:uid="{00000000-0005-0000-0000-00007A250000}"/>
    <cellStyle name="Total 2 2 2 2 2 3 7 2" xfId="10557" xr:uid="{00000000-0005-0000-0000-00007B250000}"/>
    <cellStyle name="Total 2 2 2 2 2 3 8" xfId="6222" xr:uid="{00000000-0005-0000-0000-00007C250000}"/>
    <cellStyle name="Total 2 2 2 2 2 4" xfId="462" xr:uid="{00000000-0005-0000-0000-00007D250000}"/>
    <cellStyle name="Total 2 2 2 2 2 4 2" xfId="1197" xr:uid="{00000000-0005-0000-0000-00007E250000}"/>
    <cellStyle name="Total 2 2 2 2 2 4 2 2" xfId="2713" xr:uid="{00000000-0005-0000-0000-00007F250000}"/>
    <cellStyle name="Total 2 2 2 2 2 4 2 2 2" xfId="8543" xr:uid="{00000000-0005-0000-0000-000080250000}"/>
    <cellStyle name="Total 2 2 2 2 2 4 2 3" xfId="4136" xr:uid="{00000000-0005-0000-0000-000081250000}"/>
    <cellStyle name="Total 2 2 2 2 2 4 2 3 2" xfId="9966" xr:uid="{00000000-0005-0000-0000-000082250000}"/>
    <cellStyle name="Total 2 2 2 2 2 4 2 4" xfId="5532" xr:uid="{00000000-0005-0000-0000-000083250000}"/>
    <cellStyle name="Total 2 2 2 2 2 4 2 4 2" xfId="11362" xr:uid="{00000000-0005-0000-0000-000084250000}"/>
    <cellStyle name="Total 2 2 2 2 2 4 2 5" xfId="7027" xr:uid="{00000000-0005-0000-0000-000085250000}"/>
    <cellStyle name="Total 2 2 2 2 2 4 3" xfId="1984" xr:uid="{00000000-0005-0000-0000-000086250000}"/>
    <cellStyle name="Total 2 2 2 2 2 4 3 2" xfId="7814" xr:uid="{00000000-0005-0000-0000-000087250000}"/>
    <cellStyle name="Total 2 2 2 2 2 4 4" xfId="3411" xr:uid="{00000000-0005-0000-0000-000088250000}"/>
    <cellStyle name="Total 2 2 2 2 2 4 4 2" xfId="9241" xr:uid="{00000000-0005-0000-0000-000089250000}"/>
    <cellStyle name="Total 2 2 2 2 2 4 5" xfId="4808" xr:uid="{00000000-0005-0000-0000-00008A250000}"/>
    <cellStyle name="Total 2 2 2 2 2 4 5 2" xfId="10638" xr:uid="{00000000-0005-0000-0000-00008B250000}"/>
    <cellStyle name="Total 2 2 2 2 2 4 6" xfId="6303" xr:uid="{00000000-0005-0000-0000-00008C250000}"/>
    <cellStyle name="Total 2 2 2 2 2 5" xfId="706" xr:uid="{00000000-0005-0000-0000-00008D250000}"/>
    <cellStyle name="Total 2 2 2 2 2 5 2" xfId="1437" xr:uid="{00000000-0005-0000-0000-00008E250000}"/>
    <cellStyle name="Total 2 2 2 2 2 5 2 2" xfId="2953" xr:uid="{00000000-0005-0000-0000-00008F250000}"/>
    <cellStyle name="Total 2 2 2 2 2 5 2 2 2" xfId="8783" xr:uid="{00000000-0005-0000-0000-000090250000}"/>
    <cellStyle name="Total 2 2 2 2 2 5 2 3" xfId="4376" xr:uid="{00000000-0005-0000-0000-000091250000}"/>
    <cellStyle name="Total 2 2 2 2 2 5 2 3 2" xfId="10206" xr:uid="{00000000-0005-0000-0000-000092250000}"/>
    <cellStyle name="Total 2 2 2 2 2 5 2 4" xfId="5772" xr:uid="{00000000-0005-0000-0000-000093250000}"/>
    <cellStyle name="Total 2 2 2 2 2 5 2 4 2" xfId="11602" xr:uid="{00000000-0005-0000-0000-000094250000}"/>
    <cellStyle name="Total 2 2 2 2 2 5 2 5" xfId="7267" xr:uid="{00000000-0005-0000-0000-000095250000}"/>
    <cellStyle name="Total 2 2 2 2 2 5 3" xfId="2226" xr:uid="{00000000-0005-0000-0000-000096250000}"/>
    <cellStyle name="Total 2 2 2 2 2 5 3 2" xfId="8056" xr:uid="{00000000-0005-0000-0000-000097250000}"/>
    <cellStyle name="Total 2 2 2 2 2 5 4" xfId="3652" xr:uid="{00000000-0005-0000-0000-000098250000}"/>
    <cellStyle name="Total 2 2 2 2 2 5 4 2" xfId="9482" xr:uid="{00000000-0005-0000-0000-000099250000}"/>
    <cellStyle name="Total 2 2 2 2 2 5 5" xfId="5048" xr:uid="{00000000-0005-0000-0000-00009A250000}"/>
    <cellStyle name="Total 2 2 2 2 2 5 5 2" xfId="10878" xr:uid="{00000000-0005-0000-0000-00009B250000}"/>
    <cellStyle name="Total 2 2 2 2 2 5 6" xfId="6543" xr:uid="{00000000-0005-0000-0000-00009C250000}"/>
    <cellStyle name="Total 2 2 2 2 2 6" xfId="950" xr:uid="{00000000-0005-0000-0000-00009D250000}"/>
    <cellStyle name="Total 2 2 2 2 2 6 2" xfId="2470" xr:uid="{00000000-0005-0000-0000-00009E250000}"/>
    <cellStyle name="Total 2 2 2 2 2 6 2 2" xfId="8300" xr:uid="{00000000-0005-0000-0000-00009F250000}"/>
    <cellStyle name="Total 2 2 2 2 2 6 3" xfId="3896" xr:uid="{00000000-0005-0000-0000-0000A0250000}"/>
    <cellStyle name="Total 2 2 2 2 2 6 3 2" xfId="9726" xr:uid="{00000000-0005-0000-0000-0000A1250000}"/>
    <cellStyle name="Total 2 2 2 2 2 6 4" xfId="5292" xr:uid="{00000000-0005-0000-0000-0000A2250000}"/>
    <cellStyle name="Total 2 2 2 2 2 6 4 2" xfId="11122" xr:uid="{00000000-0005-0000-0000-0000A3250000}"/>
    <cellStyle name="Total 2 2 2 2 2 6 5" xfId="6787" xr:uid="{00000000-0005-0000-0000-0000A4250000}"/>
    <cellStyle name="Total 2 2 2 2 2 7" xfId="1724" xr:uid="{00000000-0005-0000-0000-0000A5250000}"/>
    <cellStyle name="Total 2 2 2 2 2 7 2" xfId="7554" xr:uid="{00000000-0005-0000-0000-0000A6250000}"/>
    <cellStyle name="Total 2 2 2 2 2 8" xfId="3155" xr:uid="{00000000-0005-0000-0000-0000A7250000}"/>
    <cellStyle name="Total 2 2 2 2 2 8 2" xfId="8985" xr:uid="{00000000-0005-0000-0000-0000A8250000}"/>
    <cellStyle name="Total 2 2 2 2 2 9" xfId="4567" xr:uid="{00000000-0005-0000-0000-0000A9250000}"/>
    <cellStyle name="Total 2 2 2 2 2 9 2" xfId="10397" xr:uid="{00000000-0005-0000-0000-0000AA250000}"/>
    <cellStyle name="Total 2 2 2 2 3" xfId="223" xr:uid="{00000000-0005-0000-0000-0000AB250000}"/>
    <cellStyle name="Total 2 2 2 2 3 2" xfId="502" xr:uid="{00000000-0005-0000-0000-0000AC250000}"/>
    <cellStyle name="Total 2 2 2 2 3 2 2" xfId="1237" xr:uid="{00000000-0005-0000-0000-0000AD250000}"/>
    <cellStyle name="Total 2 2 2 2 3 2 2 2" xfId="2753" xr:uid="{00000000-0005-0000-0000-0000AE250000}"/>
    <cellStyle name="Total 2 2 2 2 3 2 2 2 2" xfId="8583" xr:uid="{00000000-0005-0000-0000-0000AF250000}"/>
    <cellStyle name="Total 2 2 2 2 3 2 2 3" xfId="4176" xr:uid="{00000000-0005-0000-0000-0000B0250000}"/>
    <cellStyle name="Total 2 2 2 2 3 2 2 3 2" xfId="10006" xr:uid="{00000000-0005-0000-0000-0000B1250000}"/>
    <cellStyle name="Total 2 2 2 2 3 2 2 4" xfId="5572" xr:uid="{00000000-0005-0000-0000-0000B2250000}"/>
    <cellStyle name="Total 2 2 2 2 3 2 2 4 2" xfId="11402" xr:uid="{00000000-0005-0000-0000-0000B3250000}"/>
    <cellStyle name="Total 2 2 2 2 3 2 2 5" xfId="7067" xr:uid="{00000000-0005-0000-0000-0000B4250000}"/>
    <cellStyle name="Total 2 2 2 2 3 2 3" xfId="2024" xr:uid="{00000000-0005-0000-0000-0000B5250000}"/>
    <cellStyle name="Total 2 2 2 2 3 2 3 2" xfId="7854" xr:uid="{00000000-0005-0000-0000-0000B6250000}"/>
    <cellStyle name="Total 2 2 2 2 3 2 4" xfId="3451" xr:uid="{00000000-0005-0000-0000-0000B7250000}"/>
    <cellStyle name="Total 2 2 2 2 3 2 4 2" xfId="9281" xr:uid="{00000000-0005-0000-0000-0000B8250000}"/>
    <cellStyle name="Total 2 2 2 2 3 2 5" xfId="4848" xr:uid="{00000000-0005-0000-0000-0000B9250000}"/>
    <cellStyle name="Total 2 2 2 2 3 2 5 2" xfId="10678" xr:uid="{00000000-0005-0000-0000-0000BA250000}"/>
    <cellStyle name="Total 2 2 2 2 3 2 6" xfId="6343" xr:uid="{00000000-0005-0000-0000-0000BB250000}"/>
    <cellStyle name="Total 2 2 2 2 3 3" xfId="746" xr:uid="{00000000-0005-0000-0000-0000BC250000}"/>
    <cellStyle name="Total 2 2 2 2 3 3 2" xfId="1477" xr:uid="{00000000-0005-0000-0000-0000BD250000}"/>
    <cellStyle name="Total 2 2 2 2 3 3 2 2" xfId="2993" xr:uid="{00000000-0005-0000-0000-0000BE250000}"/>
    <cellStyle name="Total 2 2 2 2 3 3 2 2 2" xfId="8823" xr:uid="{00000000-0005-0000-0000-0000BF250000}"/>
    <cellStyle name="Total 2 2 2 2 3 3 2 3" xfId="4416" xr:uid="{00000000-0005-0000-0000-0000C0250000}"/>
    <cellStyle name="Total 2 2 2 2 3 3 2 3 2" xfId="10246" xr:uid="{00000000-0005-0000-0000-0000C1250000}"/>
    <cellStyle name="Total 2 2 2 2 3 3 2 4" xfId="5812" xr:uid="{00000000-0005-0000-0000-0000C2250000}"/>
    <cellStyle name="Total 2 2 2 2 3 3 2 4 2" xfId="11642" xr:uid="{00000000-0005-0000-0000-0000C3250000}"/>
    <cellStyle name="Total 2 2 2 2 3 3 2 5" xfId="7307" xr:uid="{00000000-0005-0000-0000-0000C4250000}"/>
    <cellStyle name="Total 2 2 2 2 3 3 3" xfId="2266" xr:uid="{00000000-0005-0000-0000-0000C5250000}"/>
    <cellStyle name="Total 2 2 2 2 3 3 3 2" xfId="8096" xr:uid="{00000000-0005-0000-0000-0000C6250000}"/>
    <cellStyle name="Total 2 2 2 2 3 3 4" xfId="3692" xr:uid="{00000000-0005-0000-0000-0000C7250000}"/>
    <cellStyle name="Total 2 2 2 2 3 3 4 2" xfId="9522" xr:uid="{00000000-0005-0000-0000-0000C8250000}"/>
    <cellStyle name="Total 2 2 2 2 3 3 5" xfId="5088" xr:uid="{00000000-0005-0000-0000-0000C9250000}"/>
    <cellStyle name="Total 2 2 2 2 3 3 5 2" xfId="10918" xr:uid="{00000000-0005-0000-0000-0000CA250000}"/>
    <cellStyle name="Total 2 2 2 2 3 3 6" xfId="6583" xr:uid="{00000000-0005-0000-0000-0000CB250000}"/>
    <cellStyle name="Total 2 2 2 2 3 4" xfId="990" xr:uid="{00000000-0005-0000-0000-0000CC250000}"/>
    <cellStyle name="Total 2 2 2 2 3 4 2" xfId="2510" xr:uid="{00000000-0005-0000-0000-0000CD250000}"/>
    <cellStyle name="Total 2 2 2 2 3 4 2 2" xfId="8340" xr:uid="{00000000-0005-0000-0000-0000CE250000}"/>
    <cellStyle name="Total 2 2 2 2 3 4 3" xfId="3936" xr:uid="{00000000-0005-0000-0000-0000CF250000}"/>
    <cellStyle name="Total 2 2 2 2 3 4 3 2" xfId="9766" xr:uid="{00000000-0005-0000-0000-0000D0250000}"/>
    <cellStyle name="Total 2 2 2 2 3 4 4" xfId="5332" xr:uid="{00000000-0005-0000-0000-0000D1250000}"/>
    <cellStyle name="Total 2 2 2 2 3 4 4 2" xfId="11162" xr:uid="{00000000-0005-0000-0000-0000D2250000}"/>
    <cellStyle name="Total 2 2 2 2 3 4 5" xfId="6827" xr:uid="{00000000-0005-0000-0000-0000D3250000}"/>
    <cellStyle name="Total 2 2 2 2 3 5" xfId="1764" xr:uid="{00000000-0005-0000-0000-0000D4250000}"/>
    <cellStyle name="Total 2 2 2 2 3 5 2" xfId="7594" xr:uid="{00000000-0005-0000-0000-0000D5250000}"/>
    <cellStyle name="Total 2 2 2 2 3 6" xfId="3195" xr:uid="{00000000-0005-0000-0000-0000D6250000}"/>
    <cellStyle name="Total 2 2 2 2 3 6 2" xfId="9025" xr:uid="{00000000-0005-0000-0000-0000D7250000}"/>
    <cellStyle name="Total 2 2 2 2 3 7" xfId="4607" xr:uid="{00000000-0005-0000-0000-0000D8250000}"/>
    <cellStyle name="Total 2 2 2 2 3 7 2" xfId="10437" xr:uid="{00000000-0005-0000-0000-0000D9250000}"/>
    <cellStyle name="Total 2 2 2 2 3 8" xfId="6102" xr:uid="{00000000-0005-0000-0000-0000DA250000}"/>
    <cellStyle name="Total 2 2 2 2 4" xfId="303" xr:uid="{00000000-0005-0000-0000-0000DB250000}"/>
    <cellStyle name="Total 2 2 2 2 4 2" xfId="582" xr:uid="{00000000-0005-0000-0000-0000DC250000}"/>
    <cellStyle name="Total 2 2 2 2 4 2 2" xfId="1317" xr:uid="{00000000-0005-0000-0000-0000DD250000}"/>
    <cellStyle name="Total 2 2 2 2 4 2 2 2" xfId="2833" xr:uid="{00000000-0005-0000-0000-0000DE250000}"/>
    <cellStyle name="Total 2 2 2 2 4 2 2 2 2" xfId="8663" xr:uid="{00000000-0005-0000-0000-0000DF250000}"/>
    <cellStyle name="Total 2 2 2 2 4 2 2 3" xfId="4256" xr:uid="{00000000-0005-0000-0000-0000E0250000}"/>
    <cellStyle name="Total 2 2 2 2 4 2 2 3 2" xfId="10086" xr:uid="{00000000-0005-0000-0000-0000E1250000}"/>
    <cellStyle name="Total 2 2 2 2 4 2 2 4" xfId="5652" xr:uid="{00000000-0005-0000-0000-0000E2250000}"/>
    <cellStyle name="Total 2 2 2 2 4 2 2 4 2" xfId="11482" xr:uid="{00000000-0005-0000-0000-0000E3250000}"/>
    <cellStyle name="Total 2 2 2 2 4 2 2 5" xfId="7147" xr:uid="{00000000-0005-0000-0000-0000E4250000}"/>
    <cellStyle name="Total 2 2 2 2 4 2 3" xfId="2104" xr:uid="{00000000-0005-0000-0000-0000E5250000}"/>
    <cellStyle name="Total 2 2 2 2 4 2 3 2" xfId="7934" xr:uid="{00000000-0005-0000-0000-0000E6250000}"/>
    <cellStyle name="Total 2 2 2 2 4 2 4" xfId="3531" xr:uid="{00000000-0005-0000-0000-0000E7250000}"/>
    <cellStyle name="Total 2 2 2 2 4 2 4 2" xfId="9361" xr:uid="{00000000-0005-0000-0000-0000E8250000}"/>
    <cellStyle name="Total 2 2 2 2 4 2 5" xfId="4928" xr:uid="{00000000-0005-0000-0000-0000E9250000}"/>
    <cellStyle name="Total 2 2 2 2 4 2 5 2" xfId="10758" xr:uid="{00000000-0005-0000-0000-0000EA250000}"/>
    <cellStyle name="Total 2 2 2 2 4 2 6" xfId="6423" xr:uid="{00000000-0005-0000-0000-0000EB250000}"/>
    <cellStyle name="Total 2 2 2 2 4 3" xfId="826" xr:uid="{00000000-0005-0000-0000-0000EC250000}"/>
    <cellStyle name="Total 2 2 2 2 4 3 2" xfId="1557" xr:uid="{00000000-0005-0000-0000-0000ED250000}"/>
    <cellStyle name="Total 2 2 2 2 4 3 2 2" xfId="3073" xr:uid="{00000000-0005-0000-0000-0000EE250000}"/>
    <cellStyle name="Total 2 2 2 2 4 3 2 2 2" xfId="8903" xr:uid="{00000000-0005-0000-0000-0000EF250000}"/>
    <cellStyle name="Total 2 2 2 2 4 3 2 3" xfId="4496" xr:uid="{00000000-0005-0000-0000-0000F0250000}"/>
    <cellStyle name="Total 2 2 2 2 4 3 2 3 2" xfId="10326" xr:uid="{00000000-0005-0000-0000-0000F1250000}"/>
    <cellStyle name="Total 2 2 2 2 4 3 2 4" xfId="5892" xr:uid="{00000000-0005-0000-0000-0000F2250000}"/>
    <cellStyle name="Total 2 2 2 2 4 3 2 4 2" xfId="11722" xr:uid="{00000000-0005-0000-0000-0000F3250000}"/>
    <cellStyle name="Total 2 2 2 2 4 3 2 5" xfId="7387" xr:uid="{00000000-0005-0000-0000-0000F4250000}"/>
    <cellStyle name="Total 2 2 2 2 4 3 3" xfId="2346" xr:uid="{00000000-0005-0000-0000-0000F5250000}"/>
    <cellStyle name="Total 2 2 2 2 4 3 3 2" xfId="8176" xr:uid="{00000000-0005-0000-0000-0000F6250000}"/>
    <cellStyle name="Total 2 2 2 2 4 3 4" xfId="3772" xr:uid="{00000000-0005-0000-0000-0000F7250000}"/>
    <cellStyle name="Total 2 2 2 2 4 3 4 2" xfId="9602" xr:uid="{00000000-0005-0000-0000-0000F8250000}"/>
    <cellStyle name="Total 2 2 2 2 4 3 5" xfId="5168" xr:uid="{00000000-0005-0000-0000-0000F9250000}"/>
    <cellStyle name="Total 2 2 2 2 4 3 5 2" xfId="10998" xr:uid="{00000000-0005-0000-0000-0000FA250000}"/>
    <cellStyle name="Total 2 2 2 2 4 3 6" xfId="6663" xr:uid="{00000000-0005-0000-0000-0000FB250000}"/>
    <cellStyle name="Total 2 2 2 2 4 4" xfId="1070" xr:uid="{00000000-0005-0000-0000-0000FC250000}"/>
    <cellStyle name="Total 2 2 2 2 4 4 2" xfId="2590" xr:uid="{00000000-0005-0000-0000-0000FD250000}"/>
    <cellStyle name="Total 2 2 2 2 4 4 2 2" xfId="8420" xr:uid="{00000000-0005-0000-0000-0000FE250000}"/>
    <cellStyle name="Total 2 2 2 2 4 4 3" xfId="4016" xr:uid="{00000000-0005-0000-0000-0000FF250000}"/>
    <cellStyle name="Total 2 2 2 2 4 4 3 2" xfId="9846" xr:uid="{00000000-0005-0000-0000-000000260000}"/>
    <cellStyle name="Total 2 2 2 2 4 4 4" xfId="5412" xr:uid="{00000000-0005-0000-0000-000001260000}"/>
    <cellStyle name="Total 2 2 2 2 4 4 4 2" xfId="11242" xr:uid="{00000000-0005-0000-0000-000002260000}"/>
    <cellStyle name="Total 2 2 2 2 4 4 5" xfId="6907" xr:uid="{00000000-0005-0000-0000-000003260000}"/>
    <cellStyle name="Total 2 2 2 2 4 5" xfId="1844" xr:uid="{00000000-0005-0000-0000-000004260000}"/>
    <cellStyle name="Total 2 2 2 2 4 5 2" xfId="7674" xr:uid="{00000000-0005-0000-0000-000005260000}"/>
    <cellStyle name="Total 2 2 2 2 4 6" xfId="3275" xr:uid="{00000000-0005-0000-0000-000006260000}"/>
    <cellStyle name="Total 2 2 2 2 4 6 2" xfId="9105" xr:uid="{00000000-0005-0000-0000-000007260000}"/>
    <cellStyle name="Total 2 2 2 2 4 7" xfId="4687" xr:uid="{00000000-0005-0000-0000-000008260000}"/>
    <cellStyle name="Total 2 2 2 2 4 7 2" xfId="10517" xr:uid="{00000000-0005-0000-0000-000009260000}"/>
    <cellStyle name="Total 2 2 2 2 4 8" xfId="6182" xr:uid="{00000000-0005-0000-0000-00000A260000}"/>
    <cellStyle name="Total 2 2 2 2 5" xfId="422" xr:uid="{00000000-0005-0000-0000-00000B260000}"/>
    <cellStyle name="Total 2 2 2 2 5 2" xfId="1157" xr:uid="{00000000-0005-0000-0000-00000C260000}"/>
    <cellStyle name="Total 2 2 2 2 5 2 2" xfId="2673" xr:uid="{00000000-0005-0000-0000-00000D260000}"/>
    <cellStyle name="Total 2 2 2 2 5 2 2 2" xfId="8503" xr:uid="{00000000-0005-0000-0000-00000E260000}"/>
    <cellStyle name="Total 2 2 2 2 5 2 3" xfId="4096" xr:uid="{00000000-0005-0000-0000-00000F260000}"/>
    <cellStyle name="Total 2 2 2 2 5 2 3 2" xfId="9926" xr:uid="{00000000-0005-0000-0000-000010260000}"/>
    <cellStyle name="Total 2 2 2 2 5 2 4" xfId="5492" xr:uid="{00000000-0005-0000-0000-000011260000}"/>
    <cellStyle name="Total 2 2 2 2 5 2 4 2" xfId="11322" xr:uid="{00000000-0005-0000-0000-000012260000}"/>
    <cellStyle name="Total 2 2 2 2 5 2 5" xfId="6987" xr:uid="{00000000-0005-0000-0000-000013260000}"/>
    <cellStyle name="Total 2 2 2 2 5 3" xfId="1944" xr:uid="{00000000-0005-0000-0000-000014260000}"/>
    <cellStyle name="Total 2 2 2 2 5 3 2" xfId="7774" xr:uid="{00000000-0005-0000-0000-000015260000}"/>
    <cellStyle name="Total 2 2 2 2 5 4" xfId="3371" xr:uid="{00000000-0005-0000-0000-000016260000}"/>
    <cellStyle name="Total 2 2 2 2 5 4 2" xfId="9201" xr:uid="{00000000-0005-0000-0000-000017260000}"/>
    <cellStyle name="Total 2 2 2 2 5 5" xfId="4768" xr:uid="{00000000-0005-0000-0000-000018260000}"/>
    <cellStyle name="Total 2 2 2 2 5 5 2" xfId="10598" xr:uid="{00000000-0005-0000-0000-000019260000}"/>
    <cellStyle name="Total 2 2 2 2 5 6" xfId="6263" xr:uid="{00000000-0005-0000-0000-00001A260000}"/>
    <cellStyle name="Total 2 2 2 2 6" xfId="666" xr:uid="{00000000-0005-0000-0000-00001B260000}"/>
    <cellStyle name="Total 2 2 2 2 6 2" xfId="1397" xr:uid="{00000000-0005-0000-0000-00001C260000}"/>
    <cellStyle name="Total 2 2 2 2 6 2 2" xfId="2913" xr:uid="{00000000-0005-0000-0000-00001D260000}"/>
    <cellStyle name="Total 2 2 2 2 6 2 2 2" xfId="8743" xr:uid="{00000000-0005-0000-0000-00001E260000}"/>
    <cellStyle name="Total 2 2 2 2 6 2 3" xfId="4336" xr:uid="{00000000-0005-0000-0000-00001F260000}"/>
    <cellStyle name="Total 2 2 2 2 6 2 3 2" xfId="10166" xr:uid="{00000000-0005-0000-0000-000020260000}"/>
    <cellStyle name="Total 2 2 2 2 6 2 4" xfId="5732" xr:uid="{00000000-0005-0000-0000-000021260000}"/>
    <cellStyle name="Total 2 2 2 2 6 2 4 2" xfId="11562" xr:uid="{00000000-0005-0000-0000-000022260000}"/>
    <cellStyle name="Total 2 2 2 2 6 2 5" xfId="7227" xr:uid="{00000000-0005-0000-0000-000023260000}"/>
    <cellStyle name="Total 2 2 2 2 6 3" xfId="2186" xr:uid="{00000000-0005-0000-0000-000024260000}"/>
    <cellStyle name="Total 2 2 2 2 6 3 2" xfId="8016" xr:uid="{00000000-0005-0000-0000-000025260000}"/>
    <cellStyle name="Total 2 2 2 2 6 4" xfId="3612" xr:uid="{00000000-0005-0000-0000-000026260000}"/>
    <cellStyle name="Total 2 2 2 2 6 4 2" xfId="9442" xr:uid="{00000000-0005-0000-0000-000027260000}"/>
    <cellStyle name="Total 2 2 2 2 6 5" xfId="5008" xr:uid="{00000000-0005-0000-0000-000028260000}"/>
    <cellStyle name="Total 2 2 2 2 6 5 2" xfId="10838" xr:uid="{00000000-0005-0000-0000-000029260000}"/>
    <cellStyle name="Total 2 2 2 2 6 6" xfId="6503" xr:uid="{00000000-0005-0000-0000-00002A260000}"/>
    <cellStyle name="Total 2 2 2 2 7" xfId="910" xr:uid="{00000000-0005-0000-0000-00002B260000}"/>
    <cellStyle name="Total 2 2 2 2 7 2" xfId="2430" xr:uid="{00000000-0005-0000-0000-00002C260000}"/>
    <cellStyle name="Total 2 2 2 2 7 2 2" xfId="8260" xr:uid="{00000000-0005-0000-0000-00002D260000}"/>
    <cellStyle name="Total 2 2 2 2 7 3" xfId="3856" xr:uid="{00000000-0005-0000-0000-00002E260000}"/>
    <cellStyle name="Total 2 2 2 2 7 3 2" xfId="9686" xr:uid="{00000000-0005-0000-0000-00002F260000}"/>
    <cellStyle name="Total 2 2 2 2 7 4" xfId="5252" xr:uid="{00000000-0005-0000-0000-000030260000}"/>
    <cellStyle name="Total 2 2 2 2 7 4 2" xfId="11082" xr:uid="{00000000-0005-0000-0000-000031260000}"/>
    <cellStyle name="Total 2 2 2 2 7 5" xfId="6747" xr:uid="{00000000-0005-0000-0000-000032260000}"/>
    <cellStyle name="Total 2 2 2 2 8" xfId="1684" xr:uid="{00000000-0005-0000-0000-000033260000}"/>
    <cellStyle name="Total 2 2 2 2 8 2" xfId="7514" xr:uid="{00000000-0005-0000-0000-000034260000}"/>
    <cellStyle name="Total 2 2 2 2 9" xfId="1899" xr:uid="{00000000-0005-0000-0000-000035260000}"/>
    <cellStyle name="Total 2 2 2 2 9 2" xfId="7729" xr:uid="{00000000-0005-0000-0000-000036260000}"/>
    <cellStyle name="Total 2 2 2 3" xfId="162" xr:uid="{00000000-0005-0000-0000-000037260000}"/>
    <cellStyle name="Total 2 2 2 3 10" xfId="6042" xr:uid="{00000000-0005-0000-0000-000038260000}"/>
    <cellStyle name="Total 2 2 2 3 2" xfId="243" xr:uid="{00000000-0005-0000-0000-000039260000}"/>
    <cellStyle name="Total 2 2 2 3 2 2" xfId="522" xr:uid="{00000000-0005-0000-0000-00003A260000}"/>
    <cellStyle name="Total 2 2 2 3 2 2 2" xfId="1257" xr:uid="{00000000-0005-0000-0000-00003B260000}"/>
    <cellStyle name="Total 2 2 2 3 2 2 2 2" xfId="2773" xr:uid="{00000000-0005-0000-0000-00003C260000}"/>
    <cellStyle name="Total 2 2 2 3 2 2 2 2 2" xfId="8603" xr:uid="{00000000-0005-0000-0000-00003D260000}"/>
    <cellStyle name="Total 2 2 2 3 2 2 2 3" xfId="4196" xr:uid="{00000000-0005-0000-0000-00003E260000}"/>
    <cellStyle name="Total 2 2 2 3 2 2 2 3 2" xfId="10026" xr:uid="{00000000-0005-0000-0000-00003F260000}"/>
    <cellStyle name="Total 2 2 2 3 2 2 2 4" xfId="5592" xr:uid="{00000000-0005-0000-0000-000040260000}"/>
    <cellStyle name="Total 2 2 2 3 2 2 2 4 2" xfId="11422" xr:uid="{00000000-0005-0000-0000-000041260000}"/>
    <cellStyle name="Total 2 2 2 3 2 2 2 5" xfId="7087" xr:uid="{00000000-0005-0000-0000-000042260000}"/>
    <cellStyle name="Total 2 2 2 3 2 2 3" xfId="2044" xr:uid="{00000000-0005-0000-0000-000043260000}"/>
    <cellStyle name="Total 2 2 2 3 2 2 3 2" xfId="7874" xr:uid="{00000000-0005-0000-0000-000044260000}"/>
    <cellStyle name="Total 2 2 2 3 2 2 4" xfId="3471" xr:uid="{00000000-0005-0000-0000-000045260000}"/>
    <cellStyle name="Total 2 2 2 3 2 2 4 2" xfId="9301" xr:uid="{00000000-0005-0000-0000-000046260000}"/>
    <cellStyle name="Total 2 2 2 3 2 2 5" xfId="4868" xr:uid="{00000000-0005-0000-0000-000047260000}"/>
    <cellStyle name="Total 2 2 2 3 2 2 5 2" xfId="10698" xr:uid="{00000000-0005-0000-0000-000048260000}"/>
    <cellStyle name="Total 2 2 2 3 2 2 6" xfId="6363" xr:uid="{00000000-0005-0000-0000-000049260000}"/>
    <cellStyle name="Total 2 2 2 3 2 3" xfId="766" xr:uid="{00000000-0005-0000-0000-00004A260000}"/>
    <cellStyle name="Total 2 2 2 3 2 3 2" xfId="1497" xr:uid="{00000000-0005-0000-0000-00004B260000}"/>
    <cellStyle name="Total 2 2 2 3 2 3 2 2" xfId="3013" xr:uid="{00000000-0005-0000-0000-00004C260000}"/>
    <cellStyle name="Total 2 2 2 3 2 3 2 2 2" xfId="8843" xr:uid="{00000000-0005-0000-0000-00004D260000}"/>
    <cellStyle name="Total 2 2 2 3 2 3 2 3" xfId="4436" xr:uid="{00000000-0005-0000-0000-00004E260000}"/>
    <cellStyle name="Total 2 2 2 3 2 3 2 3 2" xfId="10266" xr:uid="{00000000-0005-0000-0000-00004F260000}"/>
    <cellStyle name="Total 2 2 2 3 2 3 2 4" xfId="5832" xr:uid="{00000000-0005-0000-0000-000050260000}"/>
    <cellStyle name="Total 2 2 2 3 2 3 2 4 2" xfId="11662" xr:uid="{00000000-0005-0000-0000-000051260000}"/>
    <cellStyle name="Total 2 2 2 3 2 3 2 5" xfId="7327" xr:uid="{00000000-0005-0000-0000-000052260000}"/>
    <cellStyle name="Total 2 2 2 3 2 3 3" xfId="2286" xr:uid="{00000000-0005-0000-0000-000053260000}"/>
    <cellStyle name="Total 2 2 2 3 2 3 3 2" xfId="8116" xr:uid="{00000000-0005-0000-0000-000054260000}"/>
    <cellStyle name="Total 2 2 2 3 2 3 4" xfId="3712" xr:uid="{00000000-0005-0000-0000-000055260000}"/>
    <cellStyle name="Total 2 2 2 3 2 3 4 2" xfId="9542" xr:uid="{00000000-0005-0000-0000-000056260000}"/>
    <cellStyle name="Total 2 2 2 3 2 3 5" xfId="5108" xr:uid="{00000000-0005-0000-0000-000057260000}"/>
    <cellStyle name="Total 2 2 2 3 2 3 5 2" xfId="10938" xr:uid="{00000000-0005-0000-0000-000058260000}"/>
    <cellStyle name="Total 2 2 2 3 2 3 6" xfId="6603" xr:uid="{00000000-0005-0000-0000-000059260000}"/>
    <cellStyle name="Total 2 2 2 3 2 4" xfId="1010" xr:uid="{00000000-0005-0000-0000-00005A260000}"/>
    <cellStyle name="Total 2 2 2 3 2 4 2" xfId="2530" xr:uid="{00000000-0005-0000-0000-00005B260000}"/>
    <cellStyle name="Total 2 2 2 3 2 4 2 2" xfId="8360" xr:uid="{00000000-0005-0000-0000-00005C260000}"/>
    <cellStyle name="Total 2 2 2 3 2 4 3" xfId="3956" xr:uid="{00000000-0005-0000-0000-00005D260000}"/>
    <cellStyle name="Total 2 2 2 3 2 4 3 2" xfId="9786" xr:uid="{00000000-0005-0000-0000-00005E260000}"/>
    <cellStyle name="Total 2 2 2 3 2 4 4" xfId="5352" xr:uid="{00000000-0005-0000-0000-00005F260000}"/>
    <cellStyle name="Total 2 2 2 3 2 4 4 2" xfId="11182" xr:uid="{00000000-0005-0000-0000-000060260000}"/>
    <cellStyle name="Total 2 2 2 3 2 4 5" xfId="6847" xr:uid="{00000000-0005-0000-0000-000061260000}"/>
    <cellStyle name="Total 2 2 2 3 2 5" xfId="1784" xr:uid="{00000000-0005-0000-0000-000062260000}"/>
    <cellStyle name="Total 2 2 2 3 2 5 2" xfId="7614" xr:uid="{00000000-0005-0000-0000-000063260000}"/>
    <cellStyle name="Total 2 2 2 3 2 6" xfId="3215" xr:uid="{00000000-0005-0000-0000-000064260000}"/>
    <cellStyle name="Total 2 2 2 3 2 6 2" xfId="9045" xr:uid="{00000000-0005-0000-0000-000065260000}"/>
    <cellStyle name="Total 2 2 2 3 2 7" xfId="4627" xr:uid="{00000000-0005-0000-0000-000066260000}"/>
    <cellStyle name="Total 2 2 2 3 2 7 2" xfId="10457" xr:uid="{00000000-0005-0000-0000-000067260000}"/>
    <cellStyle name="Total 2 2 2 3 2 8" xfId="6122" xr:uid="{00000000-0005-0000-0000-000068260000}"/>
    <cellStyle name="Total 2 2 2 3 3" xfId="323" xr:uid="{00000000-0005-0000-0000-000069260000}"/>
    <cellStyle name="Total 2 2 2 3 3 2" xfId="602" xr:uid="{00000000-0005-0000-0000-00006A260000}"/>
    <cellStyle name="Total 2 2 2 3 3 2 2" xfId="1337" xr:uid="{00000000-0005-0000-0000-00006B260000}"/>
    <cellStyle name="Total 2 2 2 3 3 2 2 2" xfId="2853" xr:uid="{00000000-0005-0000-0000-00006C260000}"/>
    <cellStyle name="Total 2 2 2 3 3 2 2 2 2" xfId="8683" xr:uid="{00000000-0005-0000-0000-00006D260000}"/>
    <cellStyle name="Total 2 2 2 3 3 2 2 3" xfId="4276" xr:uid="{00000000-0005-0000-0000-00006E260000}"/>
    <cellStyle name="Total 2 2 2 3 3 2 2 3 2" xfId="10106" xr:uid="{00000000-0005-0000-0000-00006F260000}"/>
    <cellStyle name="Total 2 2 2 3 3 2 2 4" xfId="5672" xr:uid="{00000000-0005-0000-0000-000070260000}"/>
    <cellStyle name="Total 2 2 2 3 3 2 2 4 2" xfId="11502" xr:uid="{00000000-0005-0000-0000-000071260000}"/>
    <cellStyle name="Total 2 2 2 3 3 2 2 5" xfId="7167" xr:uid="{00000000-0005-0000-0000-000072260000}"/>
    <cellStyle name="Total 2 2 2 3 3 2 3" xfId="2124" xr:uid="{00000000-0005-0000-0000-000073260000}"/>
    <cellStyle name="Total 2 2 2 3 3 2 3 2" xfId="7954" xr:uid="{00000000-0005-0000-0000-000074260000}"/>
    <cellStyle name="Total 2 2 2 3 3 2 4" xfId="3551" xr:uid="{00000000-0005-0000-0000-000075260000}"/>
    <cellStyle name="Total 2 2 2 3 3 2 4 2" xfId="9381" xr:uid="{00000000-0005-0000-0000-000076260000}"/>
    <cellStyle name="Total 2 2 2 3 3 2 5" xfId="4948" xr:uid="{00000000-0005-0000-0000-000077260000}"/>
    <cellStyle name="Total 2 2 2 3 3 2 5 2" xfId="10778" xr:uid="{00000000-0005-0000-0000-000078260000}"/>
    <cellStyle name="Total 2 2 2 3 3 2 6" xfId="6443" xr:uid="{00000000-0005-0000-0000-000079260000}"/>
    <cellStyle name="Total 2 2 2 3 3 3" xfId="846" xr:uid="{00000000-0005-0000-0000-00007A260000}"/>
    <cellStyle name="Total 2 2 2 3 3 3 2" xfId="1577" xr:uid="{00000000-0005-0000-0000-00007B260000}"/>
    <cellStyle name="Total 2 2 2 3 3 3 2 2" xfId="3093" xr:uid="{00000000-0005-0000-0000-00007C260000}"/>
    <cellStyle name="Total 2 2 2 3 3 3 2 2 2" xfId="8923" xr:uid="{00000000-0005-0000-0000-00007D260000}"/>
    <cellStyle name="Total 2 2 2 3 3 3 2 3" xfId="4516" xr:uid="{00000000-0005-0000-0000-00007E260000}"/>
    <cellStyle name="Total 2 2 2 3 3 3 2 3 2" xfId="10346" xr:uid="{00000000-0005-0000-0000-00007F260000}"/>
    <cellStyle name="Total 2 2 2 3 3 3 2 4" xfId="5912" xr:uid="{00000000-0005-0000-0000-000080260000}"/>
    <cellStyle name="Total 2 2 2 3 3 3 2 4 2" xfId="11742" xr:uid="{00000000-0005-0000-0000-000081260000}"/>
    <cellStyle name="Total 2 2 2 3 3 3 2 5" xfId="7407" xr:uid="{00000000-0005-0000-0000-000082260000}"/>
    <cellStyle name="Total 2 2 2 3 3 3 3" xfId="2366" xr:uid="{00000000-0005-0000-0000-000083260000}"/>
    <cellStyle name="Total 2 2 2 3 3 3 3 2" xfId="8196" xr:uid="{00000000-0005-0000-0000-000084260000}"/>
    <cellStyle name="Total 2 2 2 3 3 3 4" xfId="3792" xr:uid="{00000000-0005-0000-0000-000085260000}"/>
    <cellStyle name="Total 2 2 2 3 3 3 4 2" xfId="9622" xr:uid="{00000000-0005-0000-0000-000086260000}"/>
    <cellStyle name="Total 2 2 2 3 3 3 5" xfId="5188" xr:uid="{00000000-0005-0000-0000-000087260000}"/>
    <cellStyle name="Total 2 2 2 3 3 3 5 2" xfId="11018" xr:uid="{00000000-0005-0000-0000-000088260000}"/>
    <cellStyle name="Total 2 2 2 3 3 3 6" xfId="6683" xr:uid="{00000000-0005-0000-0000-000089260000}"/>
    <cellStyle name="Total 2 2 2 3 3 4" xfId="1090" xr:uid="{00000000-0005-0000-0000-00008A260000}"/>
    <cellStyle name="Total 2 2 2 3 3 4 2" xfId="2610" xr:uid="{00000000-0005-0000-0000-00008B260000}"/>
    <cellStyle name="Total 2 2 2 3 3 4 2 2" xfId="8440" xr:uid="{00000000-0005-0000-0000-00008C260000}"/>
    <cellStyle name="Total 2 2 2 3 3 4 3" xfId="4036" xr:uid="{00000000-0005-0000-0000-00008D260000}"/>
    <cellStyle name="Total 2 2 2 3 3 4 3 2" xfId="9866" xr:uid="{00000000-0005-0000-0000-00008E260000}"/>
    <cellStyle name="Total 2 2 2 3 3 4 4" xfId="5432" xr:uid="{00000000-0005-0000-0000-00008F260000}"/>
    <cellStyle name="Total 2 2 2 3 3 4 4 2" xfId="11262" xr:uid="{00000000-0005-0000-0000-000090260000}"/>
    <cellStyle name="Total 2 2 2 3 3 4 5" xfId="6927" xr:uid="{00000000-0005-0000-0000-000091260000}"/>
    <cellStyle name="Total 2 2 2 3 3 5" xfId="1864" xr:uid="{00000000-0005-0000-0000-000092260000}"/>
    <cellStyle name="Total 2 2 2 3 3 5 2" xfId="7694" xr:uid="{00000000-0005-0000-0000-000093260000}"/>
    <cellStyle name="Total 2 2 2 3 3 6" xfId="3295" xr:uid="{00000000-0005-0000-0000-000094260000}"/>
    <cellStyle name="Total 2 2 2 3 3 6 2" xfId="9125" xr:uid="{00000000-0005-0000-0000-000095260000}"/>
    <cellStyle name="Total 2 2 2 3 3 7" xfId="4707" xr:uid="{00000000-0005-0000-0000-000096260000}"/>
    <cellStyle name="Total 2 2 2 3 3 7 2" xfId="10537" xr:uid="{00000000-0005-0000-0000-000097260000}"/>
    <cellStyle name="Total 2 2 2 3 3 8" xfId="6202" xr:uid="{00000000-0005-0000-0000-000098260000}"/>
    <cellStyle name="Total 2 2 2 3 4" xfId="442" xr:uid="{00000000-0005-0000-0000-000099260000}"/>
    <cellStyle name="Total 2 2 2 3 4 2" xfId="1177" xr:uid="{00000000-0005-0000-0000-00009A260000}"/>
    <cellStyle name="Total 2 2 2 3 4 2 2" xfId="2693" xr:uid="{00000000-0005-0000-0000-00009B260000}"/>
    <cellStyle name="Total 2 2 2 3 4 2 2 2" xfId="8523" xr:uid="{00000000-0005-0000-0000-00009C260000}"/>
    <cellStyle name="Total 2 2 2 3 4 2 3" xfId="4116" xr:uid="{00000000-0005-0000-0000-00009D260000}"/>
    <cellStyle name="Total 2 2 2 3 4 2 3 2" xfId="9946" xr:uid="{00000000-0005-0000-0000-00009E260000}"/>
    <cellStyle name="Total 2 2 2 3 4 2 4" xfId="5512" xr:uid="{00000000-0005-0000-0000-00009F260000}"/>
    <cellStyle name="Total 2 2 2 3 4 2 4 2" xfId="11342" xr:uid="{00000000-0005-0000-0000-0000A0260000}"/>
    <cellStyle name="Total 2 2 2 3 4 2 5" xfId="7007" xr:uid="{00000000-0005-0000-0000-0000A1260000}"/>
    <cellStyle name="Total 2 2 2 3 4 3" xfId="1964" xr:uid="{00000000-0005-0000-0000-0000A2260000}"/>
    <cellStyle name="Total 2 2 2 3 4 3 2" xfId="7794" xr:uid="{00000000-0005-0000-0000-0000A3260000}"/>
    <cellStyle name="Total 2 2 2 3 4 4" xfId="3391" xr:uid="{00000000-0005-0000-0000-0000A4260000}"/>
    <cellStyle name="Total 2 2 2 3 4 4 2" xfId="9221" xr:uid="{00000000-0005-0000-0000-0000A5260000}"/>
    <cellStyle name="Total 2 2 2 3 4 5" xfId="4788" xr:uid="{00000000-0005-0000-0000-0000A6260000}"/>
    <cellStyle name="Total 2 2 2 3 4 5 2" xfId="10618" xr:uid="{00000000-0005-0000-0000-0000A7260000}"/>
    <cellStyle name="Total 2 2 2 3 4 6" xfId="6283" xr:uid="{00000000-0005-0000-0000-0000A8260000}"/>
    <cellStyle name="Total 2 2 2 3 5" xfId="686" xr:uid="{00000000-0005-0000-0000-0000A9260000}"/>
    <cellStyle name="Total 2 2 2 3 5 2" xfId="1417" xr:uid="{00000000-0005-0000-0000-0000AA260000}"/>
    <cellStyle name="Total 2 2 2 3 5 2 2" xfId="2933" xr:uid="{00000000-0005-0000-0000-0000AB260000}"/>
    <cellStyle name="Total 2 2 2 3 5 2 2 2" xfId="8763" xr:uid="{00000000-0005-0000-0000-0000AC260000}"/>
    <cellStyle name="Total 2 2 2 3 5 2 3" xfId="4356" xr:uid="{00000000-0005-0000-0000-0000AD260000}"/>
    <cellStyle name="Total 2 2 2 3 5 2 3 2" xfId="10186" xr:uid="{00000000-0005-0000-0000-0000AE260000}"/>
    <cellStyle name="Total 2 2 2 3 5 2 4" xfId="5752" xr:uid="{00000000-0005-0000-0000-0000AF260000}"/>
    <cellStyle name="Total 2 2 2 3 5 2 4 2" xfId="11582" xr:uid="{00000000-0005-0000-0000-0000B0260000}"/>
    <cellStyle name="Total 2 2 2 3 5 2 5" xfId="7247" xr:uid="{00000000-0005-0000-0000-0000B1260000}"/>
    <cellStyle name="Total 2 2 2 3 5 3" xfId="2206" xr:uid="{00000000-0005-0000-0000-0000B2260000}"/>
    <cellStyle name="Total 2 2 2 3 5 3 2" xfId="8036" xr:uid="{00000000-0005-0000-0000-0000B3260000}"/>
    <cellStyle name="Total 2 2 2 3 5 4" xfId="3632" xr:uid="{00000000-0005-0000-0000-0000B4260000}"/>
    <cellStyle name="Total 2 2 2 3 5 4 2" xfId="9462" xr:uid="{00000000-0005-0000-0000-0000B5260000}"/>
    <cellStyle name="Total 2 2 2 3 5 5" xfId="5028" xr:uid="{00000000-0005-0000-0000-0000B6260000}"/>
    <cellStyle name="Total 2 2 2 3 5 5 2" xfId="10858" xr:uid="{00000000-0005-0000-0000-0000B7260000}"/>
    <cellStyle name="Total 2 2 2 3 5 6" xfId="6523" xr:uid="{00000000-0005-0000-0000-0000B8260000}"/>
    <cellStyle name="Total 2 2 2 3 6" xfId="930" xr:uid="{00000000-0005-0000-0000-0000B9260000}"/>
    <cellStyle name="Total 2 2 2 3 6 2" xfId="2450" xr:uid="{00000000-0005-0000-0000-0000BA260000}"/>
    <cellStyle name="Total 2 2 2 3 6 2 2" xfId="8280" xr:uid="{00000000-0005-0000-0000-0000BB260000}"/>
    <cellStyle name="Total 2 2 2 3 6 3" xfId="3876" xr:uid="{00000000-0005-0000-0000-0000BC260000}"/>
    <cellStyle name="Total 2 2 2 3 6 3 2" xfId="9706" xr:uid="{00000000-0005-0000-0000-0000BD260000}"/>
    <cellStyle name="Total 2 2 2 3 6 4" xfId="5272" xr:uid="{00000000-0005-0000-0000-0000BE260000}"/>
    <cellStyle name="Total 2 2 2 3 6 4 2" xfId="11102" xr:uid="{00000000-0005-0000-0000-0000BF260000}"/>
    <cellStyle name="Total 2 2 2 3 6 5" xfId="6767" xr:uid="{00000000-0005-0000-0000-0000C0260000}"/>
    <cellStyle name="Total 2 2 2 3 7" xfId="1704" xr:uid="{00000000-0005-0000-0000-0000C1260000}"/>
    <cellStyle name="Total 2 2 2 3 7 2" xfId="7534" xr:uid="{00000000-0005-0000-0000-0000C2260000}"/>
    <cellStyle name="Total 2 2 2 3 8" xfId="3135" xr:uid="{00000000-0005-0000-0000-0000C3260000}"/>
    <cellStyle name="Total 2 2 2 3 8 2" xfId="8965" xr:uid="{00000000-0005-0000-0000-0000C4260000}"/>
    <cellStyle name="Total 2 2 2 3 9" xfId="4547" xr:uid="{00000000-0005-0000-0000-0000C5260000}"/>
    <cellStyle name="Total 2 2 2 3 9 2" xfId="10377" xr:uid="{00000000-0005-0000-0000-0000C6260000}"/>
    <cellStyle name="Total 2 2 2 4" xfId="202" xr:uid="{00000000-0005-0000-0000-0000C7260000}"/>
    <cellStyle name="Total 2 2 2 4 2" xfId="482" xr:uid="{00000000-0005-0000-0000-0000C8260000}"/>
    <cellStyle name="Total 2 2 2 4 2 2" xfId="1217" xr:uid="{00000000-0005-0000-0000-0000C9260000}"/>
    <cellStyle name="Total 2 2 2 4 2 2 2" xfId="2733" xr:uid="{00000000-0005-0000-0000-0000CA260000}"/>
    <cellStyle name="Total 2 2 2 4 2 2 2 2" xfId="8563" xr:uid="{00000000-0005-0000-0000-0000CB260000}"/>
    <cellStyle name="Total 2 2 2 4 2 2 3" xfId="4156" xr:uid="{00000000-0005-0000-0000-0000CC260000}"/>
    <cellStyle name="Total 2 2 2 4 2 2 3 2" xfId="9986" xr:uid="{00000000-0005-0000-0000-0000CD260000}"/>
    <cellStyle name="Total 2 2 2 4 2 2 4" xfId="5552" xr:uid="{00000000-0005-0000-0000-0000CE260000}"/>
    <cellStyle name="Total 2 2 2 4 2 2 4 2" xfId="11382" xr:uid="{00000000-0005-0000-0000-0000CF260000}"/>
    <cellStyle name="Total 2 2 2 4 2 2 5" xfId="7047" xr:uid="{00000000-0005-0000-0000-0000D0260000}"/>
    <cellStyle name="Total 2 2 2 4 2 3" xfId="2004" xr:uid="{00000000-0005-0000-0000-0000D1260000}"/>
    <cellStyle name="Total 2 2 2 4 2 3 2" xfId="7834" xr:uid="{00000000-0005-0000-0000-0000D2260000}"/>
    <cellStyle name="Total 2 2 2 4 2 4" xfId="3431" xr:uid="{00000000-0005-0000-0000-0000D3260000}"/>
    <cellStyle name="Total 2 2 2 4 2 4 2" xfId="9261" xr:uid="{00000000-0005-0000-0000-0000D4260000}"/>
    <cellStyle name="Total 2 2 2 4 2 5" xfId="4828" xr:uid="{00000000-0005-0000-0000-0000D5260000}"/>
    <cellStyle name="Total 2 2 2 4 2 5 2" xfId="10658" xr:uid="{00000000-0005-0000-0000-0000D6260000}"/>
    <cellStyle name="Total 2 2 2 4 2 6" xfId="6323" xr:uid="{00000000-0005-0000-0000-0000D7260000}"/>
    <cellStyle name="Total 2 2 2 4 3" xfId="726" xr:uid="{00000000-0005-0000-0000-0000D8260000}"/>
    <cellStyle name="Total 2 2 2 4 3 2" xfId="1457" xr:uid="{00000000-0005-0000-0000-0000D9260000}"/>
    <cellStyle name="Total 2 2 2 4 3 2 2" xfId="2973" xr:uid="{00000000-0005-0000-0000-0000DA260000}"/>
    <cellStyle name="Total 2 2 2 4 3 2 2 2" xfId="8803" xr:uid="{00000000-0005-0000-0000-0000DB260000}"/>
    <cellStyle name="Total 2 2 2 4 3 2 3" xfId="4396" xr:uid="{00000000-0005-0000-0000-0000DC260000}"/>
    <cellStyle name="Total 2 2 2 4 3 2 3 2" xfId="10226" xr:uid="{00000000-0005-0000-0000-0000DD260000}"/>
    <cellStyle name="Total 2 2 2 4 3 2 4" xfId="5792" xr:uid="{00000000-0005-0000-0000-0000DE260000}"/>
    <cellStyle name="Total 2 2 2 4 3 2 4 2" xfId="11622" xr:uid="{00000000-0005-0000-0000-0000DF260000}"/>
    <cellStyle name="Total 2 2 2 4 3 2 5" xfId="7287" xr:uid="{00000000-0005-0000-0000-0000E0260000}"/>
    <cellStyle name="Total 2 2 2 4 3 3" xfId="2246" xr:uid="{00000000-0005-0000-0000-0000E1260000}"/>
    <cellStyle name="Total 2 2 2 4 3 3 2" xfId="8076" xr:uid="{00000000-0005-0000-0000-0000E2260000}"/>
    <cellStyle name="Total 2 2 2 4 3 4" xfId="3672" xr:uid="{00000000-0005-0000-0000-0000E3260000}"/>
    <cellStyle name="Total 2 2 2 4 3 4 2" xfId="9502" xr:uid="{00000000-0005-0000-0000-0000E4260000}"/>
    <cellStyle name="Total 2 2 2 4 3 5" xfId="5068" xr:uid="{00000000-0005-0000-0000-0000E5260000}"/>
    <cellStyle name="Total 2 2 2 4 3 5 2" xfId="10898" xr:uid="{00000000-0005-0000-0000-0000E6260000}"/>
    <cellStyle name="Total 2 2 2 4 3 6" xfId="6563" xr:uid="{00000000-0005-0000-0000-0000E7260000}"/>
    <cellStyle name="Total 2 2 2 4 4" xfId="970" xr:uid="{00000000-0005-0000-0000-0000E8260000}"/>
    <cellStyle name="Total 2 2 2 4 4 2" xfId="2490" xr:uid="{00000000-0005-0000-0000-0000E9260000}"/>
    <cellStyle name="Total 2 2 2 4 4 2 2" xfId="8320" xr:uid="{00000000-0005-0000-0000-0000EA260000}"/>
    <cellStyle name="Total 2 2 2 4 4 3" xfId="3916" xr:uid="{00000000-0005-0000-0000-0000EB260000}"/>
    <cellStyle name="Total 2 2 2 4 4 3 2" xfId="9746" xr:uid="{00000000-0005-0000-0000-0000EC260000}"/>
    <cellStyle name="Total 2 2 2 4 4 4" xfId="5312" xr:uid="{00000000-0005-0000-0000-0000ED260000}"/>
    <cellStyle name="Total 2 2 2 4 4 4 2" xfId="11142" xr:uid="{00000000-0005-0000-0000-0000EE260000}"/>
    <cellStyle name="Total 2 2 2 4 4 5" xfId="6807" xr:uid="{00000000-0005-0000-0000-0000EF260000}"/>
    <cellStyle name="Total 2 2 2 4 5" xfId="1744" xr:uid="{00000000-0005-0000-0000-0000F0260000}"/>
    <cellStyle name="Total 2 2 2 4 5 2" xfId="7574" xr:uid="{00000000-0005-0000-0000-0000F1260000}"/>
    <cellStyle name="Total 2 2 2 4 6" xfId="3175" xr:uid="{00000000-0005-0000-0000-0000F2260000}"/>
    <cellStyle name="Total 2 2 2 4 6 2" xfId="9005" xr:uid="{00000000-0005-0000-0000-0000F3260000}"/>
    <cellStyle name="Total 2 2 2 4 7" xfId="4587" xr:uid="{00000000-0005-0000-0000-0000F4260000}"/>
    <cellStyle name="Total 2 2 2 4 7 2" xfId="10417" xr:uid="{00000000-0005-0000-0000-0000F5260000}"/>
    <cellStyle name="Total 2 2 2 4 8" xfId="6082" xr:uid="{00000000-0005-0000-0000-0000F6260000}"/>
    <cellStyle name="Total 2 2 2 5" xfId="283" xr:uid="{00000000-0005-0000-0000-0000F7260000}"/>
    <cellStyle name="Total 2 2 2 5 2" xfId="562" xr:uid="{00000000-0005-0000-0000-0000F8260000}"/>
    <cellStyle name="Total 2 2 2 5 2 2" xfId="1297" xr:uid="{00000000-0005-0000-0000-0000F9260000}"/>
    <cellStyle name="Total 2 2 2 5 2 2 2" xfId="2813" xr:uid="{00000000-0005-0000-0000-0000FA260000}"/>
    <cellStyle name="Total 2 2 2 5 2 2 2 2" xfId="8643" xr:uid="{00000000-0005-0000-0000-0000FB260000}"/>
    <cellStyle name="Total 2 2 2 5 2 2 3" xfId="4236" xr:uid="{00000000-0005-0000-0000-0000FC260000}"/>
    <cellStyle name="Total 2 2 2 5 2 2 3 2" xfId="10066" xr:uid="{00000000-0005-0000-0000-0000FD260000}"/>
    <cellStyle name="Total 2 2 2 5 2 2 4" xfId="5632" xr:uid="{00000000-0005-0000-0000-0000FE260000}"/>
    <cellStyle name="Total 2 2 2 5 2 2 4 2" xfId="11462" xr:uid="{00000000-0005-0000-0000-0000FF260000}"/>
    <cellStyle name="Total 2 2 2 5 2 2 5" xfId="7127" xr:uid="{00000000-0005-0000-0000-000000270000}"/>
    <cellStyle name="Total 2 2 2 5 2 3" xfId="2084" xr:uid="{00000000-0005-0000-0000-000001270000}"/>
    <cellStyle name="Total 2 2 2 5 2 3 2" xfId="7914" xr:uid="{00000000-0005-0000-0000-000002270000}"/>
    <cellStyle name="Total 2 2 2 5 2 4" xfId="3511" xr:uid="{00000000-0005-0000-0000-000003270000}"/>
    <cellStyle name="Total 2 2 2 5 2 4 2" xfId="9341" xr:uid="{00000000-0005-0000-0000-000004270000}"/>
    <cellStyle name="Total 2 2 2 5 2 5" xfId="4908" xr:uid="{00000000-0005-0000-0000-000005270000}"/>
    <cellStyle name="Total 2 2 2 5 2 5 2" xfId="10738" xr:uid="{00000000-0005-0000-0000-000006270000}"/>
    <cellStyle name="Total 2 2 2 5 2 6" xfId="6403" xr:uid="{00000000-0005-0000-0000-000007270000}"/>
    <cellStyle name="Total 2 2 2 5 3" xfId="806" xr:uid="{00000000-0005-0000-0000-000008270000}"/>
    <cellStyle name="Total 2 2 2 5 3 2" xfId="1537" xr:uid="{00000000-0005-0000-0000-000009270000}"/>
    <cellStyle name="Total 2 2 2 5 3 2 2" xfId="3053" xr:uid="{00000000-0005-0000-0000-00000A270000}"/>
    <cellStyle name="Total 2 2 2 5 3 2 2 2" xfId="8883" xr:uid="{00000000-0005-0000-0000-00000B270000}"/>
    <cellStyle name="Total 2 2 2 5 3 2 3" xfId="4476" xr:uid="{00000000-0005-0000-0000-00000C270000}"/>
    <cellStyle name="Total 2 2 2 5 3 2 3 2" xfId="10306" xr:uid="{00000000-0005-0000-0000-00000D270000}"/>
    <cellStyle name="Total 2 2 2 5 3 2 4" xfId="5872" xr:uid="{00000000-0005-0000-0000-00000E270000}"/>
    <cellStyle name="Total 2 2 2 5 3 2 4 2" xfId="11702" xr:uid="{00000000-0005-0000-0000-00000F270000}"/>
    <cellStyle name="Total 2 2 2 5 3 2 5" xfId="7367" xr:uid="{00000000-0005-0000-0000-000010270000}"/>
    <cellStyle name="Total 2 2 2 5 3 3" xfId="2326" xr:uid="{00000000-0005-0000-0000-000011270000}"/>
    <cellStyle name="Total 2 2 2 5 3 3 2" xfId="8156" xr:uid="{00000000-0005-0000-0000-000012270000}"/>
    <cellStyle name="Total 2 2 2 5 3 4" xfId="3752" xr:uid="{00000000-0005-0000-0000-000013270000}"/>
    <cellStyle name="Total 2 2 2 5 3 4 2" xfId="9582" xr:uid="{00000000-0005-0000-0000-000014270000}"/>
    <cellStyle name="Total 2 2 2 5 3 5" xfId="5148" xr:uid="{00000000-0005-0000-0000-000015270000}"/>
    <cellStyle name="Total 2 2 2 5 3 5 2" xfId="10978" xr:uid="{00000000-0005-0000-0000-000016270000}"/>
    <cellStyle name="Total 2 2 2 5 3 6" xfId="6643" xr:uid="{00000000-0005-0000-0000-000017270000}"/>
    <cellStyle name="Total 2 2 2 5 4" xfId="1050" xr:uid="{00000000-0005-0000-0000-000018270000}"/>
    <cellStyle name="Total 2 2 2 5 4 2" xfId="2570" xr:uid="{00000000-0005-0000-0000-000019270000}"/>
    <cellStyle name="Total 2 2 2 5 4 2 2" xfId="8400" xr:uid="{00000000-0005-0000-0000-00001A270000}"/>
    <cellStyle name="Total 2 2 2 5 4 3" xfId="3996" xr:uid="{00000000-0005-0000-0000-00001B270000}"/>
    <cellStyle name="Total 2 2 2 5 4 3 2" xfId="9826" xr:uid="{00000000-0005-0000-0000-00001C270000}"/>
    <cellStyle name="Total 2 2 2 5 4 4" xfId="5392" xr:uid="{00000000-0005-0000-0000-00001D270000}"/>
    <cellStyle name="Total 2 2 2 5 4 4 2" xfId="11222" xr:uid="{00000000-0005-0000-0000-00001E270000}"/>
    <cellStyle name="Total 2 2 2 5 4 5" xfId="6887" xr:uid="{00000000-0005-0000-0000-00001F270000}"/>
    <cellStyle name="Total 2 2 2 5 5" xfId="1824" xr:uid="{00000000-0005-0000-0000-000020270000}"/>
    <cellStyle name="Total 2 2 2 5 5 2" xfId="7654" xr:uid="{00000000-0005-0000-0000-000021270000}"/>
    <cellStyle name="Total 2 2 2 5 6" xfId="3255" xr:uid="{00000000-0005-0000-0000-000022270000}"/>
    <cellStyle name="Total 2 2 2 5 6 2" xfId="9085" xr:uid="{00000000-0005-0000-0000-000023270000}"/>
    <cellStyle name="Total 2 2 2 5 7" xfId="4667" xr:uid="{00000000-0005-0000-0000-000024270000}"/>
    <cellStyle name="Total 2 2 2 5 7 2" xfId="10497" xr:uid="{00000000-0005-0000-0000-000025270000}"/>
    <cellStyle name="Total 2 2 2 5 8" xfId="6162" xr:uid="{00000000-0005-0000-0000-000026270000}"/>
    <cellStyle name="Total 2 2 2 6" xfId="402" xr:uid="{00000000-0005-0000-0000-000027270000}"/>
    <cellStyle name="Total 2 2 2 6 2" xfId="1137" xr:uid="{00000000-0005-0000-0000-000028270000}"/>
    <cellStyle name="Total 2 2 2 6 2 2" xfId="2653" xr:uid="{00000000-0005-0000-0000-000029270000}"/>
    <cellStyle name="Total 2 2 2 6 2 2 2" xfId="8483" xr:uid="{00000000-0005-0000-0000-00002A270000}"/>
    <cellStyle name="Total 2 2 2 6 2 3" xfId="4076" xr:uid="{00000000-0005-0000-0000-00002B270000}"/>
    <cellStyle name="Total 2 2 2 6 2 3 2" xfId="9906" xr:uid="{00000000-0005-0000-0000-00002C270000}"/>
    <cellStyle name="Total 2 2 2 6 2 4" xfId="5472" xr:uid="{00000000-0005-0000-0000-00002D270000}"/>
    <cellStyle name="Total 2 2 2 6 2 4 2" xfId="11302" xr:uid="{00000000-0005-0000-0000-00002E270000}"/>
    <cellStyle name="Total 2 2 2 6 2 5" xfId="6967" xr:uid="{00000000-0005-0000-0000-00002F270000}"/>
    <cellStyle name="Total 2 2 2 6 3" xfId="1924" xr:uid="{00000000-0005-0000-0000-000030270000}"/>
    <cellStyle name="Total 2 2 2 6 3 2" xfId="7754" xr:uid="{00000000-0005-0000-0000-000031270000}"/>
    <cellStyle name="Total 2 2 2 6 4" xfId="3351" xr:uid="{00000000-0005-0000-0000-000032270000}"/>
    <cellStyle name="Total 2 2 2 6 4 2" xfId="9181" xr:uid="{00000000-0005-0000-0000-000033270000}"/>
    <cellStyle name="Total 2 2 2 6 5" xfId="4748" xr:uid="{00000000-0005-0000-0000-000034270000}"/>
    <cellStyle name="Total 2 2 2 6 5 2" xfId="10578" xr:uid="{00000000-0005-0000-0000-000035270000}"/>
    <cellStyle name="Total 2 2 2 6 6" xfId="6243" xr:uid="{00000000-0005-0000-0000-000036270000}"/>
    <cellStyle name="Total 2 2 2 7" xfId="646" xr:uid="{00000000-0005-0000-0000-000037270000}"/>
    <cellStyle name="Total 2 2 2 7 2" xfId="1377" xr:uid="{00000000-0005-0000-0000-000038270000}"/>
    <cellStyle name="Total 2 2 2 7 2 2" xfId="2893" xr:uid="{00000000-0005-0000-0000-000039270000}"/>
    <cellStyle name="Total 2 2 2 7 2 2 2" xfId="8723" xr:uid="{00000000-0005-0000-0000-00003A270000}"/>
    <cellStyle name="Total 2 2 2 7 2 3" xfId="4316" xr:uid="{00000000-0005-0000-0000-00003B270000}"/>
    <cellStyle name="Total 2 2 2 7 2 3 2" xfId="10146" xr:uid="{00000000-0005-0000-0000-00003C270000}"/>
    <cellStyle name="Total 2 2 2 7 2 4" xfId="5712" xr:uid="{00000000-0005-0000-0000-00003D270000}"/>
    <cellStyle name="Total 2 2 2 7 2 4 2" xfId="11542" xr:uid="{00000000-0005-0000-0000-00003E270000}"/>
    <cellStyle name="Total 2 2 2 7 2 5" xfId="7207" xr:uid="{00000000-0005-0000-0000-00003F270000}"/>
    <cellStyle name="Total 2 2 2 7 3" xfId="2166" xr:uid="{00000000-0005-0000-0000-000040270000}"/>
    <cellStyle name="Total 2 2 2 7 3 2" xfId="7996" xr:uid="{00000000-0005-0000-0000-000041270000}"/>
    <cellStyle name="Total 2 2 2 7 4" xfId="3592" xr:uid="{00000000-0005-0000-0000-000042270000}"/>
    <cellStyle name="Total 2 2 2 7 4 2" xfId="9422" xr:uid="{00000000-0005-0000-0000-000043270000}"/>
    <cellStyle name="Total 2 2 2 7 5" xfId="4988" xr:uid="{00000000-0005-0000-0000-000044270000}"/>
    <cellStyle name="Total 2 2 2 7 5 2" xfId="10818" xr:uid="{00000000-0005-0000-0000-000045270000}"/>
    <cellStyle name="Total 2 2 2 7 6" xfId="6483" xr:uid="{00000000-0005-0000-0000-000046270000}"/>
    <cellStyle name="Total 2 2 2 8" xfId="890" xr:uid="{00000000-0005-0000-0000-000047270000}"/>
    <cellStyle name="Total 2 2 2 8 2" xfId="2410" xr:uid="{00000000-0005-0000-0000-000048270000}"/>
    <cellStyle name="Total 2 2 2 8 2 2" xfId="8240" xr:uid="{00000000-0005-0000-0000-000049270000}"/>
    <cellStyle name="Total 2 2 2 8 3" xfId="3836" xr:uid="{00000000-0005-0000-0000-00004A270000}"/>
    <cellStyle name="Total 2 2 2 8 3 2" xfId="9666" xr:uid="{00000000-0005-0000-0000-00004B270000}"/>
    <cellStyle name="Total 2 2 2 8 4" xfId="5232" xr:uid="{00000000-0005-0000-0000-00004C270000}"/>
    <cellStyle name="Total 2 2 2 8 4 2" xfId="11062" xr:uid="{00000000-0005-0000-0000-00004D270000}"/>
    <cellStyle name="Total 2 2 2 8 5" xfId="6727" xr:uid="{00000000-0005-0000-0000-00004E270000}"/>
    <cellStyle name="Total 2 2 2 9" xfId="1664" xr:uid="{00000000-0005-0000-0000-00004F270000}"/>
    <cellStyle name="Total 2 2 2 9 2" xfId="7494" xr:uid="{00000000-0005-0000-0000-000050270000}"/>
    <cellStyle name="Total 2 2 3" xfId="126" xr:uid="{00000000-0005-0000-0000-000051270000}"/>
    <cellStyle name="Total 2 2 3 10" xfId="1638" xr:uid="{00000000-0005-0000-0000-000052270000}"/>
    <cellStyle name="Total 2 2 3 10 2" xfId="7468" xr:uid="{00000000-0005-0000-0000-000053270000}"/>
    <cellStyle name="Total 2 2 3 11" xfId="1648" xr:uid="{00000000-0005-0000-0000-000054270000}"/>
    <cellStyle name="Total 2 2 3 11 2" xfId="7478" xr:uid="{00000000-0005-0000-0000-000055270000}"/>
    <cellStyle name="Total 2 2 3 12" xfId="6007" xr:uid="{00000000-0005-0000-0000-000056270000}"/>
    <cellStyle name="Total 2 2 3 2" xfId="147" xr:uid="{00000000-0005-0000-0000-000057270000}"/>
    <cellStyle name="Total 2 2 3 2 10" xfId="3335" xr:uid="{00000000-0005-0000-0000-000058270000}"/>
    <cellStyle name="Total 2 2 3 2 10 2" xfId="9165" xr:uid="{00000000-0005-0000-0000-000059270000}"/>
    <cellStyle name="Total 2 2 3 2 11" xfId="6027" xr:uid="{00000000-0005-0000-0000-00005A270000}"/>
    <cellStyle name="Total 2 2 3 2 2" xfId="187" xr:uid="{00000000-0005-0000-0000-00005B270000}"/>
    <cellStyle name="Total 2 2 3 2 2 10" xfId="6067" xr:uid="{00000000-0005-0000-0000-00005C270000}"/>
    <cellStyle name="Total 2 2 3 2 2 2" xfId="268" xr:uid="{00000000-0005-0000-0000-00005D270000}"/>
    <cellStyle name="Total 2 2 3 2 2 2 2" xfId="547" xr:uid="{00000000-0005-0000-0000-00005E270000}"/>
    <cellStyle name="Total 2 2 3 2 2 2 2 2" xfId="1282" xr:uid="{00000000-0005-0000-0000-00005F270000}"/>
    <cellStyle name="Total 2 2 3 2 2 2 2 2 2" xfId="2798" xr:uid="{00000000-0005-0000-0000-000060270000}"/>
    <cellStyle name="Total 2 2 3 2 2 2 2 2 2 2" xfId="8628" xr:uid="{00000000-0005-0000-0000-000061270000}"/>
    <cellStyle name="Total 2 2 3 2 2 2 2 2 3" xfId="4221" xr:uid="{00000000-0005-0000-0000-000062270000}"/>
    <cellStyle name="Total 2 2 3 2 2 2 2 2 3 2" xfId="10051" xr:uid="{00000000-0005-0000-0000-000063270000}"/>
    <cellStyle name="Total 2 2 3 2 2 2 2 2 4" xfId="5617" xr:uid="{00000000-0005-0000-0000-000064270000}"/>
    <cellStyle name="Total 2 2 3 2 2 2 2 2 4 2" xfId="11447" xr:uid="{00000000-0005-0000-0000-000065270000}"/>
    <cellStyle name="Total 2 2 3 2 2 2 2 2 5" xfId="7112" xr:uid="{00000000-0005-0000-0000-000066270000}"/>
    <cellStyle name="Total 2 2 3 2 2 2 2 3" xfId="2069" xr:uid="{00000000-0005-0000-0000-000067270000}"/>
    <cellStyle name="Total 2 2 3 2 2 2 2 3 2" xfId="7899" xr:uid="{00000000-0005-0000-0000-000068270000}"/>
    <cellStyle name="Total 2 2 3 2 2 2 2 4" xfId="3496" xr:uid="{00000000-0005-0000-0000-000069270000}"/>
    <cellStyle name="Total 2 2 3 2 2 2 2 4 2" xfId="9326" xr:uid="{00000000-0005-0000-0000-00006A270000}"/>
    <cellStyle name="Total 2 2 3 2 2 2 2 5" xfId="4893" xr:uid="{00000000-0005-0000-0000-00006B270000}"/>
    <cellStyle name="Total 2 2 3 2 2 2 2 5 2" xfId="10723" xr:uid="{00000000-0005-0000-0000-00006C270000}"/>
    <cellStyle name="Total 2 2 3 2 2 2 2 6" xfId="6388" xr:uid="{00000000-0005-0000-0000-00006D270000}"/>
    <cellStyle name="Total 2 2 3 2 2 2 3" xfId="791" xr:uid="{00000000-0005-0000-0000-00006E270000}"/>
    <cellStyle name="Total 2 2 3 2 2 2 3 2" xfId="1522" xr:uid="{00000000-0005-0000-0000-00006F270000}"/>
    <cellStyle name="Total 2 2 3 2 2 2 3 2 2" xfId="3038" xr:uid="{00000000-0005-0000-0000-000070270000}"/>
    <cellStyle name="Total 2 2 3 2 2 2 3 2 2 2" xfId="8868" xr:uid="{00000000-0005-0000-0000-000071270000}"/>
    <cellStyle name="Total 2 2 3 2 2 2 3 2 3" xfId="4461" xr:uid="{00000000-0005-0000-0000-000072270000}"/>
    <cellStyle name="Total 2 2 3 2 2 2 3 2 3 2" xfId="10291" xr:uid="{00000000-0005-0000-0000-000073270000}"/>
    <cellStyle name="Total 2 2 3 2 2 2 3 2 4" xfId="5857" xr:uid="{00000000-0005-0000-0000-000074270000}"/>
    <cellStyle name="Total 2 2 3 2 2 2 3 2 4 2" xfId="11687" xr:uid="{00000000-0005-0000-0000-000075270000}"/>
    <cellStyle name="Total 2 2 3 2 2 2 3 2 5" xfId="7352" xr:uid="{00000000-0005-0000-0000-000076270000}"/>
    <cellStyle name="Total 2 2 3 2 2 2 3 3" xfId="2311" xr:uid="{00000000-0005-0000-0000-000077270000}"/>
    <cellStyle name="Total 2 2 3 2 2 2 3 3 2" xfId="8141" xr:uid="{00000000-0005-0000-0000-000078270000}"/>
    <cellStyle name="Total 2 2 3 2 2 2 3 4" xfId="3737" xr:uid="{00000000-0005-0000-0000-000079270000}"/>
    <cellStyle name="Total 2 2 3 2 2 2 3 4 2" xfId="9567" xr:uid="{00000000-0005-0000-0000-00007A270000}"/>
    <cellStyle name="Total 2 2 3 2 2 2 3 5" xfId="5133" xr:uid="{00000000-0005-0000-0000-00007B270000}"/>
    <cellStyle name="Total 2 2 3 2 2 2 3 5 2" xfId="10963" xr:uid="{00000000-0005-0000-0000-00007C270000}"/>
    <cellStyle name="Total 2 2 3 2 2 2 3 6" xfId="6628" xr:uid="{00000000-0005-0000-0000-00007D270000}"/>
    <cellStyle name="Total 2 2 3 2 2 2 4" xfId="1035" xr:uid="{00000000-0005-0000-0000-00007E270000}"/>
    <cellStyle name="Total 2 2 3 2 2 2 4 2" xfId="2555" xr:uid="{00000000-0005-0000-0000-00007F270000}"/>
    <cellStyle name="Total 2 2 3 2 2 2 4 2 2" xfId="8385" xr:uid="{00000000-0005-0000-0000-000080270000}"/>
    <cellStyle name="Total 2 2 3 2 2 2 4 3" xfId="3981" xr:uid="{00000000-0005-0000-0000-000081270000}"/>
    <cellStyle name="Total 2 2 3 2 2 2 4 3 2" xfId="9811" xr:uid="{00000000-0005-0000-0000-000082270000}"/>
    <cellStyle name="Total 2 2 3 2 2 2 4 4" xfId="5377" xr:uid="{00000000-0005-0000-0000-000083270000}"/>
    <cellStyle name="Total 2 2 3 2 2 2 4 4 2" xfId="11207" xr:uid="{00000000-0005-0000-0000-000084270000}"/>
    <cellStyle name="Total 2 2 3 2 2 2 4 5" xfId="6872" xr:uid="{00000000-0005-0000-0000-000085270000}"/>
    <cellStyle name="Total 2 2 3 2 2 2 5" xfId="1809" xr:uid="{00000000-0005-0000-0000-000086270000}"/>
    <cellStyle name="Total 2 2 3 2 2 2 5 2" xfId="7639" xr:uid="{00000000-0005-0000-0000-000087270000}"/>
    <cellStyle name="Total 2 2 3 2 2 2 6" xfId="3240" xr:uid="{00000000-0005-0000-0000-000088270000}"/>
    <cellStyle name="Total 2 2 3 2 2 2 6 2" xfId="9070" xr:uid="{00000000-0005-0000-0000-000089270000}"/>
    <cellStyle name="Total 2 2 3 2 2 2 7" xfId="4652" xr:uid="{00000000-0005-0000-0000-00008A270000}"/>
    <cellStyle name="Total 2 2 3 2 2 2 7 2" xfId="10482" xr:uid="{00000000-0005-0000-0000-00008B270000}"/>
    <cellStyle name="Total 2 2 3 2 2 2 8" xfId="6147" xr:uid="{00000000-0005-0000-0000-00008C270000}"/>
    <cellStyle name="Total 2 2 3 2 2 3" xfId="348" xr:uid="{00000000-0005-0000-0000-00008D270000}"/>
    <cellStyle name="Total 2 2 3 2 2 3 2" xfId="627" xr:uid="{00000000-0005-0000-0000-00008E270000}"/>
    <cellStyle name="Total 2 2 3 2 2 3 2 2" xfId="1362" xr:uid="{00000000-0005-0000-0000-00008F270000}"/>
    <cellStyle name="Total 2 2 3 2 2 3 2 2 2" xfId="2878" xr:uid="{00000000-0005-0000-0000-000090270000}"/>
    <cellStyle name="Total 2 2 3 2 2 3 2 2 2 2" xfId="8708" xr:uid="{00000000-0005-0000-0000-000091270000}"/>
    <cellStyle name="Total 2 2 3 2 2 3 2 2 3" xfId="4301" xr:uid="{00000000-0005-0000-0000-000092270000}"/>
    <cellStyle name="Total 2 2 3 2 2 3 2 2 3 2" xfId="10131" xr:uid="{00000000-0005-0000-0000-000093270000}"/>
    <cellStyle name="Total 2 2 3 2 2 3 2 2 4" xfId="5697" xr:uid="{00000000-0005-0000-0000-000094270000}"/>
    <cellStyle name="Total 2 2 3 2 2 3 2 2 4 2" xfId="11527" xr:uid="{00000000-0005-0000-0000-000095270000}"/>
    <cellStyle name="Total 2 2 3 2 2 3 2 2 5" xfId="7192" xr:uid="{00000000-0005-0000-0000-000096270000}"/>
    <cellStyle name="Total 2 2 3 2 2 3 2 3" xfId="2149" xr:uid="{00000000-0005-0000-0000-000097270000}"/>
    <cellStyle name="Total 2 2 3 2 2 3 2 3 2" xfId="7979" xr:uid="{00000000-0005-0000-0000-000098270000}"/>
    <cellStyle name="Total 2 2 3 2 2 3 2 4" xfId="3576" xr:uid="{00000000-0005-0000-0000-000099270000}"/>
    <cellStyle name="Total 2 2 3 2 2 3 2 4 2" xfId="9406" xr:uid="{00000000-0005-0000-0000-00009A270000}"/>
    <cellStyle name="Total 2 2 3 2 2 3 2 5" xfId="4973" xr:uid="{00000000-0005-0000-0000-00009B270000}"/>
    <cellStyle name="Total 2 2 3 2 2 3 2 5 2" xfId="10803" xr:uid="{00000000-0005-0000-0000-00009C270000}"/>
    <cellStyle name="Total 2 2 3 2 2 3 2 6" xfId="6468" xr:uid="{00000000-0005-0000-0000-00009D270000}"/>
    <cellStyle name="Total 2 2 3 2 2 3 3" xfId="871" xr:uid="{00000000-0005-0000-0000-00009E270000}"/>
    <cellStyle name="Total 2 2 3 2 2 3 3 2" xfId="1602" xr:uid="{00000000-0005-0000-0000-00009F270000}"/>
    <cellStyle name="Total 2 2 3 2 2 3 3 2 2" xfId="3118" xr:uid="{00000000-0005-0000-0000-0000A0270000}"/>
    <cellStyle name="Total 2 2 3 2 2 3 3 2 2 2" xfId="8948" xr:uid="{00000000-0005-0000-0000-0000A1270000}"/>
    <cellStyle name="Total 2 2 3 2 2 3 3 2 3" xfId="4541" xr:uid="{00000000-0005-0000-0000-0000A2270000}"/>
    <cellStyle name="Total 2 2 3 2 2 3 3 2 3 2" xfId="10371" xr:uid="{00000000-0005-0000-0000-0000A3270000}"/>
    <cellStyle name="Total 2 2 3 2 2 3 3 2 4" xfId="5937" xr:uid="{00000000-0005-0000-0000-0000A4270000}"/>
    <cellStyle name="Total 2 2 3 2 2 3 3 2 4 2" xfId="11767" xr:uid="{00000000-0005-0000-0000-0000A5270000}"/>
    <cellStyle name="Total 2 2 3 2 2 3 3 2 5" xfId="7432" xr:uid="{00000000-0005-0000-0000-0000A6270000}"/>
    <cellStyle name="Total 2 2 3 2 2 3 3 3" xfId="2391" xr:uid="{00000000-0005-0000-0000-0000A7270000}"/>
    <cellStyle name="Total 2 2 3 2 2 3 3 3 2" xfId="8221" xr:uid="{00000000-0005-0000-0000-0000A8270000}"/>
    <cellStyle name="Total 2 2 3 2 2 3 3 4" xfId="3817" xr:uid="{00000000-0005-0000-0000-0000A9270000}"/>
    <cellStyle name="Total 2 2 3 2 2 3 3 4 2" xfId="9647" xr:uid="{00000000-0005-0000-0000-0000AA270000}"/>
    <cellStyle name="Total 2 2 3 2 2 3 3 5" xfId="5213" xr:uid="{00000000-0005-0000-0000-0000AB270000}"/>
    <cellStyle name="Total 2 2 3 2 2 3 3 5 2" xfId="11043" xr:uid="{00000000-0005-0000-0000-0000AC270000}"/>
    <cellStyle name="Total 2 2 3 2 2 3 3 6" xfId="6708" xr:uid="{00000000-0005-0000-0000-0000AD270000}"/>
    <cellStyle name="Total 2 2 3 2 2 3 4" xfId="1115" xr:uid="{00000000-0005-0000-0000-0000AE270000}"/>
    <cellStyle name="Total 2 2 3 2 2 3 4 2" xfId="2635" xr:uid="{00000000-0005-0000-0000-0000AF270000}"/>
    <cellStyle name="Total 2 2 3 2 2 3 4 2 2" xfId="8465" xr:uid="{00000000-0005-0000-0000-0000B0270000}"/>
    <cellStyle name="Total 2 2 3 2 2 3 4 3" xfId="4061" xr:uid="{00000000-0005-0000-0000-0000B1270000}"/>
    <cellStyle name="Total 2 2 3 2 2 3 4 3 2" xfId="9891" xr:uid="{00000000-0005-0000-0000-0000B2270000}"/>
    <cellStyle name="Total 2 2 3 2 2 3 4 4" xfId="5457" xr:uid="{00000000-0005-0000-0000-0000B3270000}"/>
    <cellStyle name="Total 2 2 3 2 2 3 4 4 2" xfId="11287" xr:uid="{00000000-0005-0000-0000-0000B4270000}"/>
    <cellStyle name="Total 2 2 3 2 2 3 4 5" xfId="6952" xr:uid="{00000000-0005-0000-0000-0000B5270000}"/>
    <cellStyle name="Total 2 2 3 2 2 3 5" xfId="1889" xr:uid="{00000000-0005-0000-0000-0000B6270000}"/>
    <cellStyle name="Total 2 2 3 2 2 3 5 2" xfId="7719" xr:uid="{00000000-0005-0000-0000-0000B7270000}"/>
    <cellStyle name="Total 2 2 3 2 2 3 6" xfId="3320" xr:uid="{00000000-0005-0000-0000-0000B8270000}"/>
    <cellStyle name="Total 2 2 3 2 2 3 6 2" xfId="9150" xr:uid="{00000000-0005-0000-0000-0000B9270000}"/>
    <cellStyle name="Total 2 2 3 2 2 3 7" xfId="4732" xr:uid="{00000000-0005-0000-0000-0000BA270000}"/>
    <cellStyle name="Total 2 2 3 2 2 3 7 2" xfId="10562" xr:uid="{00000000-0005-0000-0000-0000BB270000}"/>
    <cellStyle name="Total 2 2 3 2 2 3 8" xfId="6227" xr:uid="{00000000-0005-0000-0000-0000BC270000}"/>
    <cellStyle name="Total 2 2 3 2 2 4" xfId="467" xr:uid="{00000000-0005-0000-0000-0000BD270000}"/>
    <cellStyle name="Total 2 2 3 2 2 4 2" xfId="1202" xr:uid="{00000000-0005-0000-0000-0000BE270000}"/>
    <cellStyle name="Total 2 2 3 2 2 4 2 2" xfId="2718" xr:uid="{00000000-0005-0000-0000-0000BF270000}"/>
    <cellStyle name="Total 2 2 3 2 2 4 2 2 2" xfId="8548" xr:uid="{00000000-0005-0000-0000-0000C0270000}"/>
    <cellStyle name="Total 2 2 3 2 2 4 2 3" xfId="4141" xr:uid="{00000000-0005-0000-0000-0000C1270000}"/>
    <cellStyle name="Total 2 2 3 2 2 4 2 3 2" xfId="9971" xr:uid="{00000000-0005-0000-0000-0000C2270000}"/>
    <cellStyle name="Total 2 2 3 2 2 4 2 4" xfId="5537" xr:uid="{00000000-0005-0000-0000-0000C3270000}"/>
    <cellStyle name="Total 2 2 3 2 2 4 2 4 2" xfId="11367" xr:uid="{00000000-0005-0000-0000-0000C4270000}"/>
    <cellStyle name="Total 2 2 3 2 2 4 2 5" xfId="7032" xr:uid="{00000000-0005-0000-0000-0000C5270000}"/>
    <cellStyle name="Total 2 2 3 2 2 4 3" xfId="1989" xr:uid="{00000000-0005-0000-0000-0000C6270000}"/>
    <cellStyle name="Total 2 2 3 2 2 4 3 2" xfId="7819" xr:uid="{00000000-0005-0000-0000-0000C7270000}"/>
    <cellStyle name="Total 2 2 3 2 2 4 4" xfId="3416" xr:uid="{00000000-0005-0000-0000-0000C8270000}"/>
    <cellStyle name="Total 2 2 3 2 2 4 4 2" xfId="9246" xr:uid="{00000000-0005-0000-0000-0000C9270000}"/>
    <cellStyle name="Total 2 2 3 2 2 4 5" xfId="4813" xr:uid="{00000000-0005-0000-0000-0000CA270000}"/>
    <cellStyle name="Total 2 2 3 2 2 4 5 2" xfId="10643" xr:uid="{00000000-0005-0000-0000-0000CB270000}"/>
    <cellStyle name="Total 2 2 3 2 2 4 6" xfId="6308" xr:uid="{00000000-0005-0000-0000-0000CC270000}"/>
    <cellStyle name="Total 2 2 3 2 2 5" xfId="711" xr:uid="{00000000-0005-0000-0000-0000CD270000}"/>
    <cellStyle name="Total 2 2 3 2 2 5 2" xfId="1442" xr:uid="{00000000-0005-0000-0000-0000CE270000}"/>
    <cellStyle name="Total 2 2 3 2 2 5 2 2" xfId="2958" xr:uid="{00000000-0005-0000-0000-0000CF270000}"/>
    <cellStyle name="Total 2 2 3 2 2 5 2 2 2" xfId="8788" xr:uid="{00000000-0005-0000-0000-0000D0270000}"/>
    <cellStyle name="Total 2 2 3 2 2 5 2 3" xfId="4381" xr:uid="{00000000-0005-0000-0000-0000D1270000}"/>
    <cellStyle name="Total 2 2 3 2 2 5 2 3 2" xfId="10211" xr:uid="{00000000-0005-0000-0000-0000D2270000}"/>
    <cellStyle name="Total 2 2 3 2 2 5 2 4" xfId="5777" xr:uid="{00000000-0005-0000-0000-0000D3270000}"/>
    <cellStyle name="Total 2 2 3 2 2 5 2 4 2" xfId="11607" xr:uid="{00000000-0005-0000-0000-0000D4270000}"/>
    <cellStyle name="Total 2 2 3 2 2 5 2 5" xfId="7272" xr:uid="{00000000-0005-0000-0000-0000D5270000}"/>
    <cellStyle name="Total 2 2 3 2 2 5 3" xfId="2231" xr:uid="{00000000-0005-0000-0000-0000D6270000}"/>
    <cellStyle name="Total 2 2 3 2 2 5 3 2" xfId="8061" xr:uid="{00000000-0005-0000-0000-0000D7270000}"/>
    <cellStyle name="Total 2 2 3 2 2 5 4" xfId="3657" xr:uid="{00000000-0005-0000-0000-0000D8270000}"/>
    <cellStyle name="Total 2 2 3 2 2 5 4 2" xfId="9487" xr:uid="{00000000-0005-0000-0000-0000D9270000}"/>
    <cellStyle name="Total 2 2 3 2 2 5 5" xfId="5053" xr:uid="{00000000-0005-0000-0000-0000DA270000}"/>
    <cellStyle name="Total 2 2 3 2 2 5 5 2" xfId="10883" xr:uid="{00000000-0005-0000-0000-0000DB270000}"/>
    <cellStyle name="Total 2 2 3 2 2 5 6" xfId="6548" xr:uid="{00000000-0005-0000-0000-0000DC270000}"/>
    <cellStyle name="Total 2 2 3 2 2 6" xfId="955" xr:uid="{00000000-0005-0000-0000-0000DD270000}"/>
    <cellStyle name="Total 2 2 3 2 2 6 2" xfId="2475" xr:uid="{00000000-0005-0000-0000-0000DE270000}"/>
    <cellStyle name="Total 2 2 3 2 2 6 2 2" xfId="8305" xr:uid="{00000000-0005-0000-0000-0000DF270000}"/>
    <cellStyle name="Total 2 2 3 2 2 6 3" xfId="3901" xr:uid="{00000000-0005-0000-0000-0000E0270000}"/>
    <cellStyle name="Total 2 2 3 2 2 6 3 2" xfId="9731" xr:uid="{00000000-0005-0000-0000-0000E1270000}"/>
    <cellStyle name="Total 2 2 3 2 2 6 4" xfId="5297" xr:uid="{00000000-0005-0000-0000-0000E2270000}"/>
    <cellStyle name="Total 2 2 3 2 2 6 4 2" xfId="11127" xr:uid="{00000000-0005-0000-0000-0000E3270000}"/>
    <cellStyle name="Total 2 2 3 2 2 6 5" xfId="6792" xr:uid="{00000000-0005-0000-0000-0000E4270000}"/>
    <cellStyle name="Total 2 2 3 2 2 7" xfId="1729" xr:uid="{00000000-0005-0000-0000-0000E5270000}"/>
    <cellStyle name="Total 2 2 3 2 2 7 2" xfId="7559" xr:uid="{00000000-0005-0000-0000-0000E6270000}"/>
    <cellStyle name="Total 2 2 3 2 2 8" xfId="3160" xr:uid="{00000000-0005-0000-0000-0000E7270000}"/>
    <cellStyle name="Total 2 2 3 2 2 8 2" xfId="8990" xr:uid="{00000000-0005-0000-0000-0000E8270000}"/>
    <cellStyle name="Total 2 2 3 2 2 9" xfId="4572" xr:uid="{00000000-0005-0000-0000-0000E9270000}"/>
    <cellStyle name="Total 2 2 3 2 2 9 2" xfId="10402" xr:uid="{00000000-0005-0000-0000-0000EA270000}"/>
    <cellStyle name="Total 2 2 3 2 3" xfId="228" xr:uid="{00000000-0005-0000-0000-0000EB270000}"/>
    <cellStyle name="Total 2 2 3 2 3 2" xfId="507" xr:uid="{00000000-0005-0000-0000-0000EC270000}"/>
    <cellStyle name="Total 2 2 3 2 3 2 2" xfId="1242" xr:uid="{00000000-0005-0000-0000-0000ED270000}"/>
    <cellStyle name="Total 2 2 3 2 3 2 2 2" xfId="2758" xr:uid="{00000000-0005-0000-0000-0000EE270000}"/>
    <cellStyle name="Total 2 2 3 2 3 2 2 2 2" xfId="8588" xr:uid="{00000000-0005-0000-0000-0000EF270000}"/>
    <cellStyle name="Total 2 2 3 2 3 2 2 3" xfId="4181" xr:uid="{00000000-0005-0000-0000-0000F0270000}"/>
    <cellStyle name="Total 2 2 3 2 3 2 2 3 2" xfId="10011" xr:uid="{00000000-0005-0000-0000-0000F1270000}"/>
    <cellStyle name="Total 2 2 3 2 3 2 2 4" xfId="5577" xr:uid="{00000000-0005-0000-0000-0000F2270000}"/>
    <cellStyle name="Total 2 2 3 2 3 2 2 4 2" xfId="11407" xr:uid="{00000000-0005-0000-0000-0000F3270000}"/>
    <cellStyle name="Total 2 2 3 2 3 2 2 5" xfId="7072" xr:uid="{00000000-0005-0000-0000-0000F4270000}"/>
    <cellStyle name="Total 2 2 3 2 3 2 3" xfId="2029" xr:uid="{00000000-0005-0000-0000-0000F5270000}"/>
    <cellStyle name="Total 2 2 3 2 3 2 3 2" xfId="7859" xr:uid="{00000000-0005-0000-0000-0000F6270000}"/>
    <cellStyle name="Total 2 2 3 2 3 2 4" xfId="3456" xr:uid="{00000000-0005-0000-0000-0000F7270000}"/>
    <cellStyle name="Total 2 2 3 2 3 2 4 2" xfId="9286" xr:uid="{00000000-0005-0000-0000-0000F8270000}"/>
    <cellStyle name="Total 2 2 3 2 3 2 5" xfId="4853" xr:uid="{00000000-0005-0000-0000-0000F9270000}"/>
    <cellStyle name="Total 2 2 3 2 3 2 5 2" xfId="10683" xr:uid="{00000000-0005-0000-0000-0000FA270000}"/>
    <cellStyle name="Total 2 2 3 2 3 2 6" xfId="6348" xr:uid="{00000000-0005-0000-0000-0000FB270000}"/>
    <cellStyle name="Total 2 2 3 2 3 3" xfId="751" xr:uid="{00000000-0005-0000-0000-0000FC270000}"/>
    <cellStyle name="Total 2 2 3 2 3 3 2" xfId="1482" xr:uid="{00000000-0005-0000-0000-0000FD270000}"/>
    <cellStyle name="Total 2 2 3 2 3 3 2 2" xfId="2998" xr:uid="{00000000-0005-0000-0000-0000FE270000}"/>
    <cellStyle name="Total 2 2 3 2 3 3 2 2 2" xfId="8828" xr:uid="{00000000-0005-0000-0000-0000FF270000}"/>
    <cellStyle name="Total 2 2 3 2 3 3 2 3" xfId="4421" xr:uid="{00000000-0005-0000-0000-000000280000}"/>
    <cellStyle name="Total 2 2 3 2 3 3 2 3 2" xfId="10251" xr:uid="{00000000-0005-0000-0000-000001280000}"/>
    <cellStyle name="Total 2 2 3 2 3 3 2 4" xfId="5817" xr:uid="{00000000-0005-0000-0000-000002280000}"/>
    <cellStyle name="Total 2 2 3 2 3 3 2 4 2" xfId="11647" xr:uid="{00000000-0005-0000-0000-000003280000}"/>
    <cellStyle name="Total 2 2 3 2 3 3 2 5" xfId="7312" xr:uid="{00000000-0005-0000-0000-000004280000}"/>
    <cellStyle name="Total 2 2 3 2 3 3 3" xfId="2271" xr:uid="{00000000-0005-0000-0000-000005280000}"/>
    <cellStyle name="Total 2 2 3 2 3 3 3 2" xfId="8101" xr:uid="{00000000-0005-0000-0000-000006280000}"/>
    <cellStyle name="Total 2 2 3 2 3 3 4" xfId="3697" xr:uid="{00000000-0005-0000-0000-000007280000}"/>
    <cellStyle name="Total 2 2 3 2 3 3 4 2" xfId="9527" xr:uid="{00000000-0005-0000-0000-000008280000}"/>
    <cellStyle name="Total 2 2 3 2 3 3 5" xfId="5093" xr:uid="{00000000-0005-0000-0000-000009280000}"/>
    <cellStyle name="Total 2 2 3 2 3 3 5 2" xfId="10923" xr:uid="{00000000-0005-0000-0000-00000A280000}"/>
    <cellStyle name="Total 2 2 3 2 3 3 6" xfId="6588" xr:uid="{00000000-0005-0000-0000-00000B280000}"/>
    <cellStyle name="Total 2 2 3 2 3 4" xfId="995" xr:uid="{00000000-0005-0000-0000-00000C280000}"/>
    <cellStyle name="Total 2 2 3 2 3 4 2" xfId="2515" xr:uid="{00000000-0005-0000-0000-00000D280000}"/>
    <cellStyle name="Total 2 2 3 2 3 4 2 2" xfId="8345" xr:uid="{00000000-0005-0000-0000-00000E280000}"/>
    <cellStyle name="Total 2 2 3 2 3 4 3" xfId="3941" xr:uid="{00000000-0005-0000-0000-00000F280000}"/>
    <cellStyle name="Total 2 2 3 2 3 4 3 2" xfId="9771" xr:uid="{00000000-0005-0000-0000-000010280000}"/>
    <cellStyle name="Total 2 2 3 2 3 4 4" xfId="5337" xr:uid="{00000000-0005-0000-0000-000011280000}"/>
    <cellStyle name="Total 2 2 3 2 3 4 4 2" xfId="11167" xr:uid="{00000000-0005-0000-0000-000012280000}"/>
    <cellStyle name="Total 2 2 3 2 3 4 5" xfId="6832" xr:uid="{00000000-0005-0000-0000-000013280000}"/>
    <cellStyle name="Total 2 2 3 2 3 5" xfId="1769" xr:uid="{00000000-0005-0000-0000-000014280000}"/>
    <cellStyle name="Total 2 2 3 2 3 5 2" xfId="7599" xr:uid="{00000000-0005-0000-0000-000015280000}"/>
    <cellStyle name="Total 2 2 3 2 3 6" xfId="3200" xr:uid="{00000000-0005-0000-0000-000016280000}"/>
    <cellStyle name="Total 2 2 3 2 3 6 2" xfId="9030" xr:uid="{00000000-0005-0000-0000-000017280000}"/>
    <cellStyle name="Total 2 2 3 2 3 7" xfId="4612" xr:uid="{00000000-0005-0000-0000-000018280000}"/>
    <cellStyle name="Total 2 2 3 2 3 7 2" xfId="10442" xr:uid="{00000000-0005-0000-0000-000019280000}"/>
    <cellStyle name="Total 2 2 3 2 3 8" xfId="6107" xr:uid="{00000000-0005-0000-0000-00001A280000}"/>
    <cellStyle name="Total 2 2 3 2 4" xfId="308" xr:uid="{00000000-0005-0000-0000-00001B280000}"/>
    <cellStyle name="Total 2 2 3 2 4 2" xfId="587" xr:uid="{00000000-0005-0000-0000-00001C280000}"/>
    <cellStyle name="Total 2 2 3 2 4 2 2" xfId="1322" xr:uid="{00000000-0005-0000-0000-00001D280000}"/>
    <cellStyle name="Total 2 2 3 2 4 2 2 2" xfId="2838" xr:uid="{00000000-0005-0000-0000-00001E280000}"/>
    <cellStyle name="Total 2 2 3 2 4 2 2 2 2" xfId="8668" xr:uid="{00000000-0005-0000-0000-00001F280000}"/>
    <cellStyle name="Total 2 2 3 2 4 2 2 3" xfId="4261" xr:uid="{00000000-0005-0000-0000-000020280000}"/>
    <cellStyle name="Total 2 2 3 2 4 2 2 3 2" xfId="10091" xr:uid="{00000000-0005-0000-0000-000021280000}"/>
    <cellStyle name="Total 2 2 3 2 4 2 2 4" xfId="5657" xr:uid="{00000000-0005-0000-0000-000022280000}"/>
    <cellStyle name="Total 2 2 3 2 4 2 2 4 2" xfId="11487" xr:uid="{00000000-0005-0000-0000-000023280000}"/>
    <cellStyle name="Total 2 2 3 2 4 2 2 5" xfId="7152" xr:uid="{00000000-0005-0000-0000-000024280000}"/>
    <cellStyle name="Total 2 2 3 2 4 2 3" xfId="2109" xr:uid="{00000000-0005-0000-0000-000025280000}"/>
    <cellStyle name="Total 2 2 3 2 4 2 3 2" xfId="7939" xr:uid="{00000000-0005-0000-0000-000026280000}"/>
    <cellStyle name="Total 2 2 3 2 4 2 4" xfId="3536" xr:uid="{00000000-0005-0000-0000-000027280000}"/>
    <cellStyle name="Total 2 2 3 2 4 2 4 2" xfId="9366" xr:uid="{00000000-0005-0000-0000-000028280000}"/>
    <cellStyle name="Total 2 2 3 2 4 2 5" xfId="4933" xr:uid="{00000000-0005-0000-0000-000029280000}"/>
    <cellStyle name="Total 2 2 3 2 4 2 5 2" xfId="10763" xr:uid="{00000000-0005-0000-0000-00002A280000}"/>
    <cellStyle name="Total 2 2 3 2 4 2 6" xfId="6428" xr:uid="{00000000-0005-0000-0000-00002B280000}"/>
    <cellStyle name="Total 2 2 3 2 4 3" xfId="831" xr:uid="{00000000-0005-0000-0000-00002C280000}"/>
    <cellStyle name="Total 2 2 3 2 4 3 2" xfId="1562" xr:uid="{00000000-0005-0000-0000-00002D280000}"/>
    <cellStyle name="Total 2 2 3 2 4 3 2 2" xfId="3078" xr:uid="{00000000-0005-0000-0000-00002E280000}"/>
    <cellStyle name="Total 2 2 3 2 4 3 2 2 2" xfId="8908" xr:uid="{00000000-0005-0000-0000-00002F280000}"/>
    <cellStyle name="Total 2 2 3 2 4 3 2 3" xfId="4501" xr:uid="{00000000-0005-0000-0000-000030280000}"/>
    <cellStyle name="Total 2 2 3 2 4 3 2 3 2" xfId="10331" xr:uid="{00000000-0005-0000-0000-000031280000}"/>
    <cellStyle name="Total 2 2 3 2 4 3 2 4" xfId="5897" xr:uid="{00000000-0005-0000-0000-000032280000}"/>
    <cellStyle name="Total 2 2 3 2 4 3 2 4 2" xfId="11727" xr:uid="{00000000-0005-0000-0000-000033280000}"/>
    <cellStyle name="Total 2 2 3 2 4 3 2 5" xfId="7392" xr:uid="{00000000-0005-0000-0000-000034280000}"/>
    <cellStyle name="Total 2 2 3 2 4 3 3" xfId="2351" xr:uid="{00000000-0005-0000-0000-000035280000}"/>
    <cellStyle name="Total 2 2 3 2 4 3 3 2" xfId="8181" xr:uid="{00000000-0005-0000-0000-000036280000}"/>
    <cellStyle name="Total 2 2 3 2 4 3 4" xfId="3777" xr:uid="{00000000-0005-0000-0000-000037280000}"/>
    <cellStyle name="Total 2 2 3 2 4 3 4 2" xfId="9607" xr:uid="{00000000-0005-0000-0000-000038280000}"/>
    <cellStyle name="Total 2 2 3 2 4 3 5" xfId="5173" xr:uid="{00000000-0005-0000-0000-000039280000}"/>
    <cellStyle name="Total 2 2 3 2 4 3 5 2" xfId="11003" xr:uid="{00000000-0005-0000-0000-00003A280000}"/>
    <cellStyle name="Total 2 2 3 2 4 3 6" xfId="6668" xr:uid="{00000000-0005-0000-0000-00003B280000}"/>
    <cellStyle name="Total 2 2 3 2 4 4" xfId="1075" xr:uid="{00000000-0005-0000-0000-00003C280000}"/>
    <cellStyle name="Total 2 2 3 2 4 4 2" xfId="2595" xr:uid="{00000000-0005-0000-0000-00003D280000}"/>
    <cellStyle name="Total 2 2 3 2 4 4 2 2" xfId="8425" xr:uid="{00000000-0005-0000-0000-00003E280000}"/>
    <cellStyle name="Total 2 2 3 2 4 4 3" xfId="4021" xr:uid="{00000000-0005-0000-0000-00003F280000}"/>
    <cellStyle name="Total 2 2 3 2 4 4 3 2" xfId="9851" xr:uid="{00000000-0005-0000-0000-000040280000}"/>
    <cellStyle name="Total 2 2 3 2 4 4 4" xfId="5417" xr:uid="{00000000-0005-0000-0000-000041280000}"/>
    <cellStyle name="Total 2 2 3 2 4 4 4 2" xfId="11247" xr:uid="{00000000-0005-0000-0000-000042280000}"/>
    <cellStyle name="Total 2 2 3 2 4 4 5" xfId="6912" xr:uid="{00000000-0005-0000-0000-000043280000}"/>
    <cellStyle name="Total 2 2 3 2 4 5" xfId="1849" xr:uid="{00000000-0005-0000-0000-000044280000}"/>
    <cellStyle name="Total 2 2 3 2 4 5 2" xfId="7679" xr:uid="{00000000-0005-0000-0000-000045280000}"/>
    <cellStyle name="Total 2 2 3 2 4 6" xfId="3280" xr:uid="{00000000-0005-0000-0000-000046280000}"/>
    <cellStyle name="Total 2 2 3 2 4 6 2" xfId="9110" xr:uid="{00000000-0005-0000-0000-000047280000}"/>
    <cellStyle name="Total 2 2 3 2 4 7" xfId="4692" xr:uid="{00000000-0005-0000-0000-000048280000}"/>
    <cellStyle name="Total 2 2 3 2 4 7 2" xfId="10522" xr:uid="{00000000-0005-0000-0000-000049280000}"/>
    <cellStyle name="Total 2 2 3 2 4 8" xfId="6187" xr:uid="{00000000-0005-0000-0000-00004A280000}"/>
    <cellStyle name="Total 2 2 3 2 5" xfId="427" xr:uid="{00000000-0005-0000-0000-00004B280000}"/>
    <cellStyle name="Total 2 2 3 2 5 2" xfId="1162" xr:uid="{00000000-0005-0000-0000-00004C280000}"/>
    <cellStyle name="Total 2 2 3 2 5 2 2" xfId="2678" xr:uid="{00000000-0005-0000-0000-00004D280000}"/>
    <cellStyle name="Total 2 2 3 2 5 2 2 2" xfId="8508" xr:uid="{00000000-0005-0000-0000-00004E280000}"/>
    <cellStyle name="Total 2 2 3 2 5 2 3" xfId="4101" xr:uid="{00000000-0005-0000-0000-00004F280000}"/>
    <cellStyle name="Total 2 2 3 2 5 2 3 2" xfId="9931" xr:uid="{00000000-0005-0000-0000-000050280000}"/>
    <cellStyle name="Total 2 2 3 2 5 2 4" xfId="5497" xr:uid="{00000000-0005-0000-0000-000051280000}"/>
    <cellStyle name="Total 2 2 3 2 5 2 4 2" xfId="11327" xr:uid="{00000000-0005-0000-0000-000052280000}"/>
    <cellStyle name="Total 2 2 3 2 5 2 5" xfId="6992" xr:uid="{00000000-0005-0000-0000-000053280000}"/>
    <cellStyle name="Total 2 2 3 2 5 3" xfId="1949" xr:uid="{00000000-0005-0000-0000-000054280000}"/>
    <cellStyle name="Total 2 2 3 2 5 3 2" xfId="7779" xr:uid="{00000000-0005-0000-0000-000055280000}"/>
    <cellStyle name="Total 2 2 3 2 5 4" xfId="3376" xr:uid="{00000000-0005-0000-0000-000056280000}"/>
    <cellStyle name="Total 2 2 3 2 5 4 2" xfId="9206" xr:uid="{00000000-0005-0000-0000-000057280000}"/>
    <cellStyle name="Total 2 2 3 2 5 5" xfId="4773" xr:uid="{00000000-0005-0000-0000-000058280000}"/>
    <cellStyle name="Total 2 2 3 2 5 5 2" xfId="10603" xr:uid="{00000000-0005-0000-0000-000059280000}"/>
    <cellStyle name="Total 2 2 3 2 5 6" xfId="6268" xr:uid="{00000000-0005-0000-0000-00005A280000}"/>
    <cellStyle name="Total 2 2 3 2 6" xfId="671" xr:uid="{00000000-0005-0000-0000-00005B280000}"/>
    <cellStyle name="Total 2 2 3 2 6 2" xfId="1402" xr:uid="{00000000-0005-0000-0000-00005C280000}"/>
    <cellStyle name="Total 2 2 3 2 6 2 2" xfId="2918" xr:uid="{00000000-0005-0000-0000-00005D280000}"/>
    <cellStyle name="Total 2 2 3 2 6 2 2 2" xfId="8748" xr:uid="{00000000-0005-0000-0000-00005E280000}"/>
    <cellStyle name="Total 2 2 3 2 6 2 3" xfId="4341" xr:uid="{00000000-0005-0000-0000-00005F280000}"/>
    <cellStyle name="Total 2 2 3 2 6 2 3 2" xfId="10171" xr:uid="{00000000-0005-0000-0000-000060280000}"/>
    <cellStyle name="Total 2 2 3 2 6 2 4" xfId="5737" xr:uid="{00000000-0005-0000-0000-000061280000}"/>
    <cellStyle name="Total 2 2 3 2 6 2 4 2" xfId="11567" xr:uid="{00000000-0005-0000-0000-000062280000}"/>
    <cellStyle name="Total 2 2 3 2 6 2 5" xfId="7232" xr:uid="{00000000-0005-0000-0000-000063280000}"/>
    <cellStyle name="Total 2 2 3 2 6 3" xfId="2191" xr:uid="{00000000-0005-0000-0000-000064280000}"/>
    <cellStyle name="Total 2 2 3 2 6 3 2" xfId="8021" xr:uid="{00000000-0005-0000-0000-000065280000}"/>
    <cellStyle name="Total 2 2 3 2 6 4" xfId="3617" xr:uid="{00000000-0005-0000-0000-000066280000}"/>
    <cellStyle name="Total 2 2 3 2 6 4 2" xfId="9447" xr:uid="{00000000-0005-0000-0000-000067280000}"/>
    <cellStyle name="Total 2 2 3 2 6 5" xfId="5013" xr:uid="{00000000-0005-0000-0000-000068280000}"/>
    <cellStyle name="Total 2 2 3 2 6 5 2" xfId="10843" xr:uid="{00000000-0005-0000-0000-000069280000}"/>
    <cellStyle name="Total 2 2 3 2 6 6" xfId="6508" xr:uid="{00000000-0005-0000-0000-00006A280000}"/>
    <cellStyle name="Total 2 2 3 2 7" xfId="915" xr:uid="{00000000-0005-0000-0000-00006B280000}"/>
    <cellStyle name="Total 2 2 3 2 7 2" xfId="2435" xr:uid="{00000000-0005-0000-0000-00006C280000}"/>
    <cellStyle name="Total 2 2 3 2 7 2 2" xfId="8265" xr:uid="{00000000-0005-0000-0000-00006D280000}"/>
    <cellStyle name="Total 2 2 3 2 7 3" xfId="3861" xr:uid="{00000000-0005-0000-0000-00006E280000}"/>
    <cellStyle name="Total 2 2 3 2 7 3 2" xfId="9691" xr:uid="{00000000-0005-0000-0000-00006F280000}"/>
    <cellStyle name="Total 2 2 3 2 7 4" xfId="5257" xr:uid="{00000000-0005-0000-0000-000070280000}"/>
    <cellStyle name="Total 2 2 3 2 7 4 2" xfId="11087" xr:uid="{00000000-0005-0000-0000-000071280000}"/>
    <cellStyle name="Total 2 2 3 2 7 5" xfId="6752" xr:uid="{00000000-0005-0000-0000-000072280000}"/>
    <cellStyle name="Total 2 2 3 2 8" xfId="1689" xr:uid="{00000000-0005-0000-0000-000073280000}"/>
    <cellStyle name="Total 2 2 3 2 8 2" xfId="7519" xr:uid="{00000000-0005-0000-0000-000074280000}"/>
    <cellStyle name="Total 2 2 3 2 9" xfId="1624" xr:uid="{00000000-0005-0000-0000-000075280000}"/>
    <cellStyle name="Total 2 2 3 2 9 2" xfId="7454" xr:uid="{00000000-0005-0000-0000-000076280000}"/>
    <cellStyle name="Total 2 2 3 3" xfId="167" xr:uid="{00000000-0005-0000-0000-000077280000}"/>
    <cellStyle name="Total 2 2 3 3 10" xfId="6047" xr:uid="{00000000-0005-0000-0000-000078280000}"/>
    <cellStyle name="Total 2 2 3 3 2" xfId="248" xr:uid="{00000000-0005-0000-0000-000079280000}"/>
    <cellStyle name="Total 2 2 3 3 2 2" xfId="527" xr:uid="{00000000-0005-0000-0000-00007A280000}"/>
    <cellStyle name="Total 2 2 3 3 2 2 2" xfId="1262" xr:uid="{00000000-0005-0000-0000-00007B280000}"/>
    <cellStyle name="Total 2 2 3 3 2 2 2 2" xfId="2778" xr:uid="{00000000-0005-0000-0000-00007C280000}"/>
    <cellStyle name="Total 2 2 3 3 2 2 2 2 2" xfId="8608" xr:uid="{00000000-0005-0000-0000-00007D280000}"/>
    <cellStyle name="Total 2 2 3 3 2 2 2 3" xfId="4201" xr:uid="{00000000-0005-0000-0000-00007E280000}"/>
    <cellStyle name="Total 2 2 3 3 2 2 2 3 2" xfId="10031" xr:uid="{00000000-0005-0000-0000-00007F280000}"/>
    <cellStyle name="Total 2 2 3 3 2 2 2 4" xfId="5597" xr:uid="{00000000-0005-0000-0000-000080280000}"/>
    <cellStyle name="Total 2 2 3 3 2 2 2 4 2" xfId="11427" xr:uid="{00000000-0005-0000-0000-000081280000}"/>
    <cellStyle name="Total 2 2 3 3 2 2 2 5" xfId="7092" xr:uid="{00000000-0005-0000-0000-000082280000}"/>
    <cellStyle name="Total 2 2 3 3 2 2 3" xfId="2049" xr:uid="{00000000-0005-0000-0000-000083280000}"/>
    <cellStyle name="Total 2 2 3 3 2 2 3 2" xfId="7879" xr:uid="{00000000-0005-0000-0000-000084280000}"/>
    <cellStyle name="Total 2 2 3 3 2 2 4" xfId="3476" xr:uid="{00000000-0005-0000-0000-000085280000}"/>
    <cellStyle name="Total 2 2 3 3 2 2 4 2" xfId="9306" xr:uid="{00000000-0005-0000-0000-000086280000}"/>
    <cellStyle name="Total 2 2 3 3 2 2 5" xfId="4873" xr:uid="{00000000-0005-0000-0000-000087280000}"/>
    <cellStyle name="Total 2 2 3 3 2 2 5 2" xfId="10703" xr:uid="{00000000-0005-0000-0000-000088280000}"/>
    <cellStyle name="Total 2 2 3 3 2 2 6" xfId="6368" xr:uid="{00000000-0005-0000-0000-000089280000}"/>
    <cellStyle name="Total 2 2 3 3 2 3" xfId="771" xr:uid="{00000000-0005-0000-0000-00008A280000}"/>
    <cellStyle name="Total 2 2 3 3 2 3 2" xfId="1502" xr:uid="{00000000-0005-0000-0000-00008B280000}"/>
    <cellStyle name="Total 2 2 3 3 2 3 2 2" xfId="3018" xr:uid="{00000000-0005-0000-0000-00008C280000}"/>
    <cellStyle name="Total 2 2 3 3 2 3 2 2 2" xfId="8848" xr:uid="{00000000-0005-0000-0000-00008D280000}"/>
    <cellStyle name="Total 2 2 3 3 2 3 2 3" xfId="4441" xr:uid="{00000000-0005-0000-0000-00008E280000}"/>
    <cellStyle name="Total 2 2 3 3 2 3 2 3 2" xfId="10271" xr:uid="{00000000-0005-0000-0000-00008F280000}"/>
    <cellStyle name="Total 2 2 3 3 2 3 2 4" xfId="5837" xr:uid="{00000000-0005-0000-0000-000090280000}"/>
    <cellStyle name="Total 2 2 3 3 2 3 2 4 2" xfId="11667" xr:uid="{00000000-0005-0000-0000-000091280000}"/>
    <cellStyle name="Total 2 2 3 3 2 3 2 5" xfId="7332" xr:uid="{00000000-0005-0000-0000-000092280000}"/>
    <cellStyle name="Total 2 2 3 3 2 3 3" xfId="2291" xr:uid="{00000000-0005-0000-0000-000093280000}"/>
    <cellStyle name="Total 2 2 3 3 2 3 3 2" xfId="8121" xr:uid="{00000000-0005-0000-0000-000094280000}"/>
    <cellStyle name="Total 2 2 3 3 2 3 4" xfId="3717" xr:uid="{00000000-0005-0000-0000-000095280000}"/>
    <cellStyle name="Total 2 2 3 3 2 3 4 2" xfId="9547" xr:uid="{00000000-0005-0000-0000-000096280000}"/>
    <cellStyle name="Total 2 2 3 3 2 3 5" xfId="5113" xr:uid="{00000000-0005-0000-0000-000097280000}"/>
    <cellStyle name="Total 2 2 3 3 2 3 5 2" xfId="10943" xr:uid="{00000000-0005-0000-0000-000098280000}"/>
    <cellStyle name="Total 2 2 3 3 2 3 6" xfId="6608" xr:uid="{00000000-0005-0000-0000-000099280000}"/>
    <cellStyle name="Total 2 2 3 3 2 4" xfId="1015" xr:uid="{00000000-0005-0000-0000-00009A280000}"/>
    <cellStyle name="Total 2 2 3 3 2 4 2" xfId="2535" xr:uid="{00000000-0005-0000-0000-00009B280000}"/>
    <cellStyle name="Total 2 2 3 3 2 4 2 2" xfId="8365" xr:uid="{00000000-0005-0000-0000-00009C280000}"/>
    <cellStyle name="Total 2 2 3 3 2 4 3" xfId="3961" xr:uid="{00000000-0005-0000-0000-00009D280000}"/>
    <cellStyle name="Total 2 2 3 3 2 4 3 2" xfId="9791" xr:uid="{00000000-0005-0000-0000-00009E280000}"/>
    <cellStyle name="Total 2 2 3 3 2 4 4" xfId="5357" xr:uid="{00000000-0005-0000-0000-00009F280000}"/>
    <cellStyle name="Total 2 2 3 3 2 4 4 2" xfId="11187" xr:uid="{00000000-0005-0000-0000-0000A0280000}"/>
    <cellStyle name="Total 2 2 3 3 2 4 5" xfId="6852" xr:uid="{00000000-0005-0000-0000-0000A1280000}"/>
    <cellStyle name="Total 2 2 3 3 2 5" xfId="1789" xr:uid="{00000000-0005-0000-0000-0000A2280000}"/>
    <cellStyle name="Total 2 2 3 3 2 5 2" xfId="7619" xr:uid="{00000000-0005-0000-0000-0000A3280000}"/>
    <cellStyle name="Total 2 2 3 3 2 6" xfId="3220" xr:uid="{00000000-0005-0000-0000-0000A4280000}"/>
    <cellStyle name="Total 2 2 3 3 2 6 2" xfId="9050" xr:uid="{00000000-0005-0000-0000-0000A5280000}"/>
    <cellStyle name="Total 2 2 3 3 2 7" xfId="4632" xr:uid="{00000000-0005-0000-0000-0000A6280000}"/>
    <cellStyle name="Total 2 2 3 3 2 7 2" xfId="10462" xr:uid="{00000000-0005-0000-0000-0000A7280000}"/>
    <cellStyle name="Total 2 2 3 3 2 8" xfId="6127" xr:uid="{00000000-0005-0000-0000-0000A8280000}"/>
    <cellStyle name="Total 2 2 3 3 3" xfId="328" xr:uid="{00000000-0005-0000-0000-0000A9280000}"/>
    <cellStyle name="Total 2 2 3 3 3 2" xfId="607" xr:uid="{00000000-0005-0000-0000-0000AA280000}"/>
    <cellStyle name="Total 2 2 3 3 3 2 2" xfId="1342" xr:uid="{00000000-0005-0000-0000-0000AB280000}"/>
    <cellStyle name="Total 2 2 3 3 3 2 2 2" xfId="2858" xr:uid="{00000000-0005-0000-0000-0000AC280000}"/>
    <cellStyle name="Total 2 2 3 3 3 2 2 2 2" xfId="8688" xr:uid="{00000000-0005-0000-0000-0000AD280000}"/>
    <cellStyle name="Total 2 2 3 3 3 2 2 3" xfId="4281" xr:uid="{00000000-0005-0000-0000-0000AE280000}"/>
    <cellStyle name="Total 2 2 3 3 3 2 2 3 2" xfId="10111" xr:uid="{00000000-0005-0000-0000-0000AF280000}"/>
    <cellStyle name="Total 2 2 3 3 3 2 2 4" xfId="5677" xr:uid="{00000000-0005-0000-0000-0000B0280000}"/>
    <cellStyle name="Total 2 2 3 3 3 2 2 4 2" xfId="11507" xr:uid="{00000000-0005-0000-0000-0000B1280000}"/>
    <cellStyle name="Total 2 2 3 3 3 2 2 5" xfId="7172" xr:uid="{00000000-0005-0000-0000-0000B2280000}"/>
    <cellStyle name="Total 2 2 3 3 3 2 3" xfId="2129" xr:uid="{00000000-0005-0000-0000-0000B3280000}"/>
    <cellStyle name="Total 2 2 3 3 3 2 3 2" xfId="7959" xr:uid="{00000000-0005-0000-0000-0000B4280000}"/>
    <cellStyle name="Total 2 2 3 3 3 2 4" xfId="3556" xr:uid="{00000000-0005-0000-0000-0000B5280000}"/>
    <cellStyle name="Total 2 2 3 3 3 2 4 2" xfId="9386" xr:uid="{00000000-0005-0000-0000-0000B6280000}"/>
    <cellStyle name="Total 2 2 3 3 3 2 5" xfId="4953" xr:uid="{00000000-0005-0000-0000-0000B7280000}"/>
    <cellStyle name="Total 2 2 3 3 3 2 5 2" xfId="10783" xr:uid="{00000000-0005-0000-0000-0000B8280000}"/>
    <cellStyle name="Total 2 2 3 3 3 2 6" xfId="6448" xr:uid="{00000000-0005-0000-0000-0000B9280000}"/>
    <cellStyle name="Total 2 2 3 3 3 3" xfId="851" xr:uid="{00000000-0005-0000-0000-0000BA280000}"/>
    <cellStyle name="Total 2 2 3 3 3 3 2" xfId="1582" xr:uid="{00000000-0005-0000-0000-0000BB280000}"/>
    <cellStyle name="Total 2 2 3 3 3 3 2 2" xfId="3098" xr:uid="{00000000-0005-0000-0000-0000BC280000}"/>
    <cellStyle name="Total 2 2 3 3 3 3 2 2 2" xfId="8928" xr:uid="{00000000-0005-0000-0000-0000BD280000}"/>
    <cellStyle name="Total 2 2 3 3 3 3 2 3" xfId="4521" xr:uid="{00000000-0005-0000-0000-0000BE280000}"/>
    <cellStyle name="Total 2 2 3 3 3 3 2 3 2" xfId="10351" xr:uid="{00000000-0005-0000-0000-0000BF280000}"/>
    <cellStyle name="Total 2 2 3 3 3 3 2 4" xfId="5917" xr:uid="{00000000-0005-0000-0000-0000C0280000}"/>
    <cellStyle name="Total 2 2 3 3 3 3 2 4 2" xfId="11747" xr:uid="{00000000-0005-0000-0000-0000C1280000}"/>
    <cellStyle name="Total 2 2 3 3 3 3 2 5" xfId="7412" xr:uid="{00000000-0005-0000-0000-0000C2280000}"/>
    <cellStyle name="Total 2 2 3 3 3 3 3" xfId="2371" xr:uid="{00000000-0005-0000-0000-0000C3280000}"/>
    <cellStyle name="Total 2 2 3 3 3 3 3 2" xfId="8201" xr:uid="{00000000-0005-0000-0000-0000C4280000}"/>
    <cellStyle name="Total 2 2 3 3 3 3 4" xfId="3797" xr:uid="{00000000-0005-0000-0000-0000C5280000}"/>
    <cellStyle name="Total 2 2 3 3 3 3 4 2" xfId="9627" xr:uid="{00000000-0005-0000-0000-0000C6280000}"/>
    <cellStyle name="Total 2 2 3 3 3 3 5" xfId="5193" xr:uid="{00000000-0005-0000-0000-0000C7280000}"/>
    <cellStyle name="Total 2 2 3 3 3 3 5 2" xfId="11023" xr:uid="{00000000-0005-0000-0000-0000C8280000}"/>
    <cellStyle name="Total 2 2 3 3 3 3 6" xfId="6688" xr:uid="{00000000-0005-0000-0000-0000C9280000}"/>
    <cellStyle name="Total 2 2 3 3 3 4" xfId="1095" xr:uid="{00000000-0005-0000-0000-0000CA280000}"/>
    <cellStyle name="Total 2 2 3 3 3 4 2" xfId="2615" xr:uid="{00000000-0005-0000-0000-0000CB280000}"/>
    <cellStyle name="Total 2 2 3 3 3 4 2 2" xfId="8445" xr:uid="{00000000-0005-0000-0000-0000CC280000}"/>
    <cellStyle name="Total 2 2 3 3 3 4 3" xfId="4041" xr:uid="{00000000-0005-0000-0000-0000CD280000}"/>
    <cellStyle name="Total 2 2 3 3 3 4 3 2" xfId="9871" xr:uid="{00000000-0005-0000-0000-0000CE280000}"/>
    <cellStyle name="Total 2 2 3 3 3 4 4" xfId="5437" xr:uid="{00000000-0005-0000-0000-0000CF280000}"/>
    <cellStyle name="Total 2 2 3 3 3 4 4 2" xfId="11267" xr:uid="{00000000-0005-0000-0000-0000D0280000}"/>
    <cellStyle name="Total 2 2 3 3 3 4 5" xfId="6932" xr:uid="{00000000-0005-0000-0000-0000D1280000}"/>
    <cellStyle name="Total 2 2 3 3 3 5" xfId="1869" xr:uid="{00000000-0005-0000-0000-0000D2280000}"/>
    <cellStyle name="Total 2 2 3 3 3 5 2" xfId="7699" xr:uid="{00000000-0005-0000-0000-0000D3280000}"/>
    <cellStyle name="Total 2 2 3 3 3 6" xfId="3300" xr:uid="{00000000-0005-0000-0000-0000D4280000}"/>
    <cellStyle name="Total 2 2 3 3 3 6 2" xfId="9130" xr:uid="{00000000-0005-0000-0000-0000D5280000}"/>
    <cellStyle name="Total 2 2 3 3 3 7" xfId="4712" xr:uid="{00000000-0005-0000-0000-0000D6280000}"/>
    <cellStyle name="Total 2 2 3 3 3 7 2" xfId="10542" xr:uid="{00000000-0005-0000-0000-0000D7280000}"/>
    <cellStyle name="Total 2 2 3 3 3 8" xfId="6207" xr:uid="{00000000-0005-0000-0000-0000D8280000}"/>
    <cellStyle name="Total 2 2 3 3 4" xfId="447" xr:uid="{00000000-0005-0000-0000-0000D9280000}"/>
    <cellStyle name="Total 2 2 3 3 4 2" xfId="1182" xr:uid="{00000000-0005-0000-0000-0000DA280000}"/>
    <cellStyle name="Total 2 2 3 3 4 2 2" xfId="2698" xr:uid="{00000000-0005-0000-0000-0000DB280000}"/>
    <cellStyle name="Total 2 2 3 3 4 2 2 2" xfId="8528" xr:uid="{00000000-0005-0000-0000-0000DC280000}"/>
    <cellStyle name="Total 2 2 3 3 4 2 3" xfId="4121" xr:uid="{00000000-0005-0000-0000-0000DD280000}"/>
    <cellStyle name="Total 2 2 3 3 4 2 3 2" xfId="9951" xr:uid="{00000000-0005-0000-0000-0000DE280000}"/>
    <cellStyle name="Total 2 2 3 3 4 2 4" xfId="5517" xr:uid="{00000000-0005-0000-0000-0000DF280000}"/>
    <cellStyle name="Total 2 2 3 3 4 2 4 2" xfId="11347" xr:uid="{00000000-0005-0000-0000-0000E0280000}"/>
    <cellStyle name="Total 2 2 3 3 4 2 5" xfId="7012" xr:uid="{00000000-0005-0000-0000-0000E1280000}"/>
    <cellStyle name="Total 2 2 3 3 4 3" xfId="1969" xr:uid="{00000000-0005-0000-0000-0000E2280000}"/>
    <cellStyle name="Total 2 2 3 3 4 3 2" xfId="7799" xr:uid="{00000000-0005-0000-0000-0000E3280000}"/>
    <cellStyle name="Total 2 2 3 3 4 4" xfId="3396" xr:uid="{00000000-0005-0000-0000-0000E4280000}"/>
    <cellStyle name="Total 2 2 3 3 4 4 2" xfId="9226" xr:uid="{00000000-0005-0000-0000-0000E5280000}"/>
    <cellStyle name="Total 2 2 3 3 4 5" xfId="4793" xr:uid="{00000000-0005-0000-0000-0000E6280000}"/>
    <cellStyle name="Total 2 2 3 3 4 5 2" xfId="10623" xr:uid="{00000000-0005-0000-0000-0000E7280000}"/>
    <cellStyle name="Total 2 2 3 3 4 6" xfId="6288" xr:uid="{00000000-0005-0000-0000-0000E8280000}"/>
    <cellStyle name="Total 2 2 3 3 5" xfId="691" xr:uid="{00000000-0005-0000-0000-0000E9280000}"/>
    <cellStyle name="Total 2 2 3 3 5 2" xfId="1422" xr:uid="{00000000-0005-0000-0000-0000EA280000}"/>
    <cellStyle name="Total 2 2 3 3 5 2 2" xfId="2938" xr:uid="{00000000-0005-0000-0000-0000EB280000}"/>
    <cellStyle name="Total 2 2 3 3 5 2 2 2" xfId="8768" xr:uid="{00000000-0005-0000-0000-0000EC280000}"/>
    <cellStyle name="Total 2 2 3 3 5 2 3" xfId="4361" xr:uid="{00000000-0005-0000-0000-0000ED280000}"/>
    <cellStyle name="Total 2 2 3 3 5 2 3 2" xfId="10191" xr:uid="{00000000-0005-0000-0000-0000EE280000}"/>
    <cellStyle name="Total 2 2 3 3 5 2 4" xfId="5757" xr:uid="{00000000-0005-0000-0000-0000EF280000}"/>
    <cellStyle name="Total 2 2 3 3 5 2 4 2" xfId="11587" xr:uid="{00000000-0005-0000-0000-0000F0280000}"/>
    <cellStyle name="Total 2 2 3 3 5 2 5" xfId="7252" xr:uid="{00000000-0005-0000-0000-0000F1280000}"/>
    <cellStyle name="Total 2 2 3 3 5 3" xfId="2211" xr:uid="{00000000-0005-0000-0000-0000F2280000}"/>
    <cellStyle name="Total 2 2 3 3 5 3 2" xfId="8041" xr:uid="{00000000-0005-0000-0000-0000F3280000}"/>
    <cellStyle name="Total 2 2 3 3 5 4" xfId="3637" xr:uid="{00000000-0005-0000-0000-0000F4280000}"/>
    <cellStyle name="Total 2 2 3 3 5 4 2" xfId="9467" xr:uid="{00000000-0005-0000-0000-0000F5280000}"/>
    <cellStyle name="Total 2 2 3 3 5 5" xfId="5033" xr:uid="{00000000-0005-0000-0000-0000F6280000}"/>
    <cellStyle name="Total 2 2 3 3 5 5 2" xfId="10863" xr:uid="{00000000-0005-0000-0000-0000F7280000}"/>
    <cellStyle name="Total 2 2 3 3 5 6" xfId="6528" xr:uid="{00000000-0005-0000-0000-0000F8280000}"/>
    <cellStyle name="Total 2 2 3 3 6" xfId="935" xr:uid="{00000000-0005-0000-0000-0000F9280000}"/>
    <cellStyle name="Total 2 2 3 3 6 2" xfId="2455" xr:uid="{00000000-0005-0000-0000-0000FA280000}"/>
    <cellStyle name="Total 2 2 3 3 6 2 2" xfId="8285" xr:uid="{00000000-0005-0000-0000-0000FB280000}"/>
    <cellStyle name="Total 2 2 3 3 6 3" xfId="3881" xr:uid="{00000000-0005-0000-0000-0000FC280000}"/>
    <cellStyle name="Total 2 2 3 3 6 3 2" xfId="9711" xr:uid="{00000000-0005-0000-0000-0000FD280000}"/>
    <cellStyle name="Total 2 2 3 3 6 4" xfId="5277" xr:uid="{00000000-0005-0000-0000-0000FE280000}"/>
    <cellStyle name="Total 2 2 3 3 6 4 2" xfId="11107" xr:uid="{00000000-0005-0000-0000-0000FF280000}"/>
    <cellStyle name="Total 2 2 3 3 6 5" xfId="6772" xr:uid="{00000000-0005-0000-0000-000000290000}"/>
    <cellStyle name="Total 2 2 3 3 7" xfId="1709" xr:uid="{00000000-0005-0000-0000-000001290000}"/>
    <cellStyle name="Total 2 2 3 3 7 2" xfId="7539" xr:uid="{00000000-0005-0000-0000-000002290000}"/>
    <cellStyle name="Total 2 2 3 3 8" xfId="3140" xr:uid="{00000000-0005-0000-0000-000003290000}"/>
    <cellStyle name="Total 2 2 3 3 8 2" xfId="8970" xr:uid="{00000000-0005-0000-0000-000004290000}"/>
    <cellStyle name="Total 2 2 3 3 9" xfId="4552" xr:uid="{00000000-0005-0000-0000-000005290000}"/>
    <cellStyle name="Total 2 2 3 3 9 2" xfId="10382" xr:uid="{00000000-0005-0000-0000-000006290000}"/>
    <cellStyle name="Total 2 2 3 4" xfId="207" xr:uid="{00000000-0005-0000-0000-000007290000}"/>
    <cellStyle name="Total 2 2 3 4 2" xfId="487" xr:uid="{00000000-0005-0000-0000-000008290000}"/>
    <cellStyle name="Total 2 2 3 4 2 2" xfId="1222" xr:uid="{00000000-0005-0000-0000-000009290000}"/>
    <cellStyle name="Total 2 2 3 4 2 2 2" xfId="2738" xr:uid="{00000000-0005-0000-0000-00000A290000}"/>
    <cellStyle name="Total 2 2 3 4 2 2 2 2" xfId="8568" xr:uid="{00000000-0005-0000-0000-00000B290000}"/>
    <cellStyle name="Total 2 2 3 4 2 2 3" xfId="4161" xr:uid="{00000000-0005-0000-0000-00000C290000}"/>
    <cellStyle name="Total 2 2 3 4 2 2 3 2" xfId="9991" xr:uid="{00000000-0005-0000-0000-00000D290000}"/>
    <cellStyle name="Total 2 2 3 4 2 2 4" xfId="5557" xr:uid="{00000000-0005-0000-0000-00000E290000}"/>
    <cellStyle name="Total 2 2 3 4 2 2 4 2" xfId="11387" xr:uid="{00000000-0005-0000-0000-00000F290000}"/>
    <cellStyle name="Total 2 2 3 4 2 2 5" xfId="7052" xr:uid="{00000000-0005-0000-0000-000010290000}"/>
    <cellStyle name="Total 2 2 3 4 2 3" xfId="2009" xr:uid="{00000000-0005-0000-0000-000011290000}"/>
    <cellStyle name="Total 2 2 3 4 2 3 2" xfId="7839" xr:uid="{00000000-0005-0000-0000-000012290000}"/>
    <cellStyle name="Total 2 2 3 4 2 4" xfId="3436" xr:uid="{00000000-0005-0000-0000-000013290000}"/>
    <cellStyle name="Total 2 2 3 4 2 4 2" xfId="9266" xr:uid="{00000000-0005-0000-0000-000014290000}"/>
    <cellStyle name="Total 2 2 3 4 2 5" xfId="4833" xr:uid="{00000000-0005-0000-0000-000015290000}"/>
    <cellStyle name="Total 2 2 3 4 2 5 2" xfId="10663" xr:uid="{00000000-0005-0000-0000-000016290000}"/>
    <cellStyle name="Total 2 2 3 4 2 6" xfId="6328" xr:uid="{00000000-0005-0000-0000-000017290000}"/>
    <cellStyle name="Total 2 2 3 4 3" xfId="731" xr:uid="{00000000-0005-0000-0000-000018290000}"/>
    <cellStyle name="Total 2 2 3 4 3 2" xfId="1462" xr:uid="{00000000-0005-0000-0000-000019290000}"/>
    <cellStyle name="Total 2 2 3 4 3 2 2" xfId="2978" xr:uid="{00000000-0005-0000-0000-00001A290000}"/>
    <cellStyle name="Total 2 2 3 4 3 2 2 2" xfId="8808" xr:uid="{00000000-0005-0000-0000-00001B290000}"/>
    <cellStyle name="Total 2 2 3 4 3 2 3" xfId="4401" xr:uid="{00000000-0005-0000-0000-00001C290000}"/>
    <cellStyle name="Total 2 2 3 4 3 2 3 2" xfId="10231" xr:uid="{00000000-0005-0000-0000-00001D290000}"/>
    <cellStyle name="Total 2 2 3 4 3 2 4" xfId="5797" xr:uid="{00000000-0005-0000-0000-00001E290000}"/>
    <cellStyle name="Total 2 2 3 4 3 2 4 2" xfId="11627" xr:uid="{00000000-0005-0000-0000-00001F290000}"/>
    <cellStyle name="Total 2 2 3 4 3 2 5" xfId="7292" xr:uid="{00000000-0005-0000-0000-000020290000}"/>
    <cellStyle name="Total 2 2 3 4 3 3" xfId="2251" xr:uid="{00000000-0005-0000-0000-000021290000}"/>
    <cellStyle name="Total 2 2 3 4 3 3 2" xfId="8081" xr:uid="{00000000-0005-0000-0000-000022290000}"/>
    <cellStyle name="Total 2 2 3 4 3 4" xfId="3677" xr:uid="{00000000-0005-0000-0000-000023290000}"/>
    <cellStyle name="Total 2 2 3 4 3 4 2" xfId="9507" xr:uid="{00000000-0005-0000-0000-000024290000}"/>
    <cellStyle name="Total 2 2 3 4 3 5" xfId="5073" xr:uid="{00000000-0005-0000-0000-000025290000}"/>
    <cellStyle name="Total 2 2 3 4 3 5 2" xfId="10903" xr:uid="{00000000-0005-0000-0000-000026290000}"/>
    <cellStyle name="Total 2 2 3 4 3 6" xfId="6568" xr:uid="{00000000-0005-0000-0000-000027290000}"/>
    <cellStyle name="Total 2 2 3 4 4" xfId="975" xr:uid="{00000000-0005-0000-0000-000028290000}"/>
    <cellStyle name="Total 2 2 3 4 4 2" xfId="2495" xr:uid="{00000000-0005-0000-0000-000029290000}"/>
    <cellStyle name="Total 2 2 3 4 4 2 2" xfId="8325" xr:uid="{00000000-0005-0000-0000-00002A290000}"/>
    <cellStyle name="Total 2 2 3 4 4 3" xfId="3921" xr:uid="{00000000-0005-0000-0000-00002B290000}"/>
    <cellStyle name="Total 2 2 3 4 4 3 2" xfId="9751" xr:uid="{00000000-0005-0000-0000-00002C290000}"/>
    <cellStyle name="Total 2 2 3 4 4 4" xfId="5317" xr:uid="{00000000-0005-0000-0000-00002D290000}"/>
    <cellStyle name="Total 2 2 3 4 4 4 2" xfId="11147" xr:uid="{00000000-0005-0000-0000-00002E290000}"/>
    <cellStyle name="Total 2 2 3 4 4 5" xfId="6812" xr:uid="{00000000-0005-0000-0000-00002F290000}"/>
    <cellStyle name="Total 2 2 3 4 5" xfId="1749" xr:uid="{00000000-0005-0000-0000-000030290000}"/>
    <cellStyle name="Total 2 2 3 4 5 2" xfId="7579" xr:uid="{00000000-0005-0000-0000-000031290000}"/>
    <cellStyle name="Total 2 2 3 4 6" xfId="3180" xr:uid="{00000000-0005-0000-0000-000032290000}"/>
    <cellStyle name="Total 2 2 3 4 6 2" xfId="9010" xr:uid="{00000000-0005-0000-0000-000033290000}"/>
    <cellStyle name="Total 2 2 3 4 7" xfId="4592" xr:uid="{00000000-0005-0000-0000-000034290000}"/>
    <cellStyle name="Total 2 2 3 4 7 2" xfId="10422" xr:uid="{00000000-0005-0000-0000-000035290000}"/>
    <cellStyle name="Total 2 2 3 4 8" xfId="6087" xr:uid="{00000000-0005-0000-0000-000036290000}"/>
    <cellStyle name="Total 2 2 3 5" xfId="288" xr:uid="{00000000-0005-0000-0000-000037290000}"/>
    <cellStyle name="Total 2 2 3 5 2" xfId="567" xr:uid="{00000000-0005-0000-0000-000038290000}"/>
    <cellStyle name="Total 2 2 3 5 2 2" xfId="1302" xr:uid="{00000000-0005-0000-0000-000039290000}"/>
    <cellStyle name="Total 2 2 3 5 2 2 2" xfId="2818" xr:uid="{00000000-0005-0000-0000-00003A290000}"/>
    <cellStyle name="Total 2 2 3 5 2 2 2 2" xfId="8648" xr:uid="{00000000-0005-0000-0000-00003B290000}"/>
    <cellStyle name="Total 2 2 3 5 2 2 3" xfId="4241" xr:uid="{00000000-0005-0000-0000-00003C290000}"/>
    <cellStyle name="Total 2 2 3 5 2 2 3 2" xfId="10071" xr:uid="{00000000-0005-0000-0000-00003D290000}"/>
    <cellStyle name="Total 2 2 3 5 2 2 4" xfId="5637" xr:uid="{00000000-0005-0000-0000-00003E290000}"/>
    <cellStyle name="Total 2 2 3 5 2 2 4 2" xfId="11467" xr:uid="{00000000-0005-0000-0000-00003F290000}"/>
    <cellStyle name="Total 2 2 3 5 2 2 5" xfId="7132" xr:uid="{00000000-0005-0000-0000-000040290000}"/>
    <cellStyle name="Total 2 2 3 5 2 3" xfId="2089" xr:uid="{00000000-0005-0000-0000-000041290000}"/>
    <cellStyle name="Total 2 2 3 5 2 3 2" xfId="7919" xr:uid="{00000000-0005-0000-0000-000042290000}"/>
    <cellStyle name="Total 2 2 3 5 2 4" xfId="3516" xr:uid="{00000000-0005-0000-0000-000043290000}"/>
    <cellStyle name="Total 2 2 3 5 2 4 2" xfId="9346" xr:uid="{00000000-0005-0000-0000-000044290000}"/>
    <cellStyle name="Total 2 2 3 5 2 5" xfId="4913" xr:uid="{00000000-0005-0000-0000-000045290000}"/>
    <cellStyle name="Total 2 2 3 5 2 5 2" xfId="10743" xr:uid="{00000000-0005-0000-0000-000046290000}"/>
    <cellStyle name="Total 2 2 3 5 2 6" xfId="6408" xr:uid="{00000000-0005-0000-0000-000047290000}"/>
    <cellStyle name="Total 2 2 3 5 3" xfId="811" xr:uid="{00000000-0005-0000-0000-000048290000}"/>
    <cellStyle name="Total 2 2 3 5 3 2" xfId="1542" xr:uid="{00000000-0005-0000-0000-000049290000}"/>
    <cellStyle name="Total 2 2 3 5 3 2 2" xfId="3058" xr:uid="{00000000-0005-0000-0000-00004A290000}"/>
    <cellStyle name="Total 2 2 3 5 3 2 2 2" xfId="8888" xr:uid="{00000000-0005-0000-0000-00004B290000}"/>
    <cellStyle name="Total 2 2 3 5 3 2 3" xfId="4481" xr:uid="{00000000-0005-0000-0000-00004C290000}"/>
    <cellStyle name="Total 2 2 3 5 3 2 3 2" xfId="10311" xr:uid="{00000000-0005-0000-0000-00004D290000}"/>
    <cellStyle name="Total 2 2 3 5 3 2 4" xfId="5877" xr:uid="{00000000-0005-0000-0000-00004E290000}"/>
    <cellStyle name="Total 2 2 3 5 3 2 4 2" xfId="11707" xr:uid="{00000000-0005-0000-0000-00004F290000}"/>
    <cellStyle name="Total 2 2 3 5 3 2 5" xfId="7372" xr:uid="{00000000-0005-0000-0000-000050290000}"/>
    <cellStyle name="Total 2 2 3 5 3 3" xfId="2331" xr:uid="{00000000-0005-0000-0000-000051290000}"/>
    <cellStyle name="Total 2 2 3 5 3 3 2" xfId="8161" xr:uid="{00000000-0005-0000-0000-000052290000}"/>
    <cellStyle name="Total 2 2 3 5 3 4" xfId="3757" xr:uid="{00000000-0005-0000-0000-000053290000}"/>
    <cellStyle name="Total 2 2 3 5 3 4 2" xfId="9587" xr:uid="{00000000-0005-0000-0000-000054290000}"/>
    <cellStyle name="Total 2 2 3 5 3 5" xfId="5153" xr:uid="{00000000-0005-0000-0000-000055290000}"/>
    <cellStyle name="Total 2 2 3 5 3 5 2" xfId="10983" xr:uid="{00000000-0005-0000-0000-000056290000}"/>
    <cellStyle name="Total 2 2 3 5 3 6" xfId="6648" xr:uid="{00000000-0005-0000-0000-000057290000}"/>
    <cellStyle name="Total 2 2 3 5 4" xfId="1055" xr:uid="{00000000-0005-0000-0000-000058290000}"/>
    <cellStyle name="Total 2 2 3 5 4 2" xfId="2575" xr:uid="{00000000-0005-0000-0000-000059290000}"/>
    <cellStyle name="Total 2 2 3 5 4 2 2" xfId="8405" xr:uid="{00000000-0005-0000-0000-00005A290000}"/>
    <cellStyle name="Total 2 2 3 5 4 3" xfId="4001" xr:uid="{00000000-0005-0000-0000-00005B290000}"/>
    <cellStyle name="Total 2 2 3 5 4 3 2" xfId="9831" xr:uid="{00000000-0005-0000-0000-00005C290000}"/>
    <cellStyle name="Total 2 2 3 5 4 4" xfId="5397" xr:uid="{00000000-0005-0000-0000-00005D290000}"/>
    <cellStyle name="Total 2 2 3 5 4 4 2" xfId="11227" xr:uid="{00000000-0005-0000-0000-00005E290000}"/>
    <cellStyle name="Total 2 2 3 5 4 5" xfId="6892" xr:uid="{00000000-0005-0000-0000-00005F290000}"/>
    <cellStyle name="Total 2 2 3 5 5" xfId="1829" xr:uid="{00000000-0005-0000-0000-000060290000}"/>
    <cellStyle name="Total 2 2 3 5 5 2" xfId="7659" xr:uid="{00000000-0005-0000-0000-000061290000}"/>
    <cellStyle name="Total 2 2 3 5 6" xfId="3260" xr:uid="{00000000-0005-0000-0000-000062290000}"/>
    <cellStyle name="Total 2 2 3 5 6 2" xfId="9090" xr:uid="{00000000-0005-0000-0000-000063290000}"/>
    <cellStyle name="Total 2 2 3 5 7" xfId="4672" xr:uid="{00000000-0005-0000-0000-000064290000}"/>
    <cellStyle name="Total 2 2 3 5 7 2" xfId="10502" xr:uid="{00000000-0005-0000-0000-000065290000}"/>
    <cellStyle name="Total 2 2 3 5 8" xfId="6167" xr:uid="{00000000-0005-0000-0000-000066290000}"/>
    <cellStyle name="Total 2 2 3 6" xfId="407" xr:uid="{00000000-0005-0000-0000-000067290000}"/>
    <cellStyle name="Total 2 2 3 6 2" xfId="1142" xr:uid="{00000000-0005-0000-0000-000068290000}"/>
    <cellStyle name="Total 2 2 3 6 2 2" xfId="2658" xr:uid="{00000000-0005-0000-0000-000069290000}"/>
    <cellStyle name="Total 2 2 3 6 2 2 2" xfId="8488" xr:uid="{00000000-0005-0000-0000-00006A290000}"/>
    <cellStyle name="Total 2 2 3 6 2 3" xfId="4081" xr:uid="{00000000-0005-0000-0000-00006B290000}"/>
    <cellStyle name="Total 2 2 3 6 2 3 2" xfId="9911" xr:uid="{00000000-0005-0000-0000-00006C290000}"/>
    <cellStyle name="Total 2 2 3 6 2 4" xfId="5477" xr:uid="{00000000-0005-0000-0000-00006D290000}"/>
    <cellStyle name="Total 2 2 3 6 2 4 2" xfId="11307" xr:uid="{00000000-0005-0000-0000-00006E290000}"/>
    <cellStyle name="Total 2 2 3 6 2 5" xfId="6972" xr:uid="{00000000-0005-0000-0000-00006F290000}"/>
    <cellStyle name="Total 2 2 3 6 3" xfId="1929" xr:uid="{00000000-0005-0000-0000-000070290000}"/>
    <cellStyle name="Total 2 2 3 6 3 2" xfId="7759" xr:uid="{00000000-0005-0000-0000-000071290000}"/>
    <cellStyle name="Total 2 2 3 6 4" xfId="3356" xr:uid="{00000000-0005-0000-0000-000072290000}"/>
    <cellStyle name="Total 2 2 3 6 4 2" xfId="9186" xr:uid="{00000000-0005-0000-0000-000073290000}"/>
    <cellStyle name="Total 2 2 3 6 5" xfId="4753" xr:uid="{00000000-0005-0000-0000-000074290000}"/>
    <cellStyle name="Total 2 2 3 6 5 2" xfId="10583" xr:uid="{00000000-0005-0000-0000-000075290000}"/>
    <cellStyle name="Total 2 2 3 6 6" xfId="6248" xr:uid="{00000000-0005-0000-0000-000076290000}"/>
    <cellStyle name="Total 2 2 3 7" xfId="651" xr:uid="{00000000-0005-0000-0000-000077290000}"/>
    <cellStyle name="Total 2 2 3 7 2" xfId="1382" xr:uid="{00000000-0005-0000-0000-000078290000}"/>
    <cellStyle name="Total 2 2 3 7 2 2" xfId="2898" xr:uid="{00000000-0005-0000-0000-000079290000}"/>
    <cellStyle name="Total 2 2 3 7 2 2 2" xfId="8728" xr:uid="{00000000-0005-0000-0000-00007A290000}"/>
    <cellStyle name="Total 2 2 3 7 2 3" xfId="4321" xr:uid="{00000000-0005-0000-0000-00007B290000}"/>
    <cellStyle name="Total 2 2 3 7 2 3 2" xfId="10151" xr:uid="{00000000-0005-0000-0000-00007C290000}"/>
    <cellStyle name="Total 2 2 3 7 2 4" xfId="5717" xr:uid="{00000000-0005-0000-0000-00007D290000}"/>
    <cellStyle name="Total 2 2 3 7 2 4 2" xfId="11547" xr:uid="{00000000-0005-0000-0000-00007E290000}"/>
    <cellStyle name="Total 2 2 3 7 2 5" xfId="7212" xr:uid="{00000000-0005-0000-0000-00007F290000}"/>
    <cellStyle name="Total 2 2 3 7 3" xfId="2171" xr:uid="{00000000-0005-0000-0000-000080290000}"/>
    <cellStyle name="Total 2 2 3 7 3 2" xfId="8001" xr:uid="{00000000-0005-0000-0000-000081290000}"/>
    <cellStyle name="Total 2 2 3 7 4" xfId="3597" xr:uid="{00000000-0005-0000-0000-000082290000}"/>
    <cellStyle name="Total 2 2 3 7 4 2" xfId="9427" xr:uid="{00000000-0005-0000-0000-000083290000}"/>
    <cellStyle name="Total 2 2 3 7 5" xfId="4993" xr:uid="{00000000-0005-0000-0000-000084290000}"/>
    <cellStyle name="Total 2 2 3 7 5 2" xfId="10823" xr:uid="{00000000-0005-0000-0000-000085290000}"/>
    <cellStyle name="Total 2 2 3 7 6" xfId="6488" xr:uid="{00000000-0005-0000-0000-000086290000}"/>
    <cellStyle name="Total 2 2 3 8" xfId="895" xr:uid="{00000000-0005-0000-0000-000087290000}"/>
    <cellStyle name="Total 2 2 3 8 2" xfId="2415" xr:uid="{00000000-0005-0000-0000-000088290000}"/>
    <cellStyle name="Total 2 2 3 8 2 2" xfId="8245" xr:uid="{00000000-0005-0000-0000-000089290000}"/>
    <cellStyle name="Total 2 2 3 8 3" xfId="3841" xr:uid="{00000000-0005-0000-0000-00008A290000}"/>
    <cellStyle name="Total 2 2 3 8 3 2" xfId="9671" xr:uid="{00000000-0005-0000-0000-00008B290000}"/>
    <cellStyle name="Total 2 2 3 8 4" xfId="5237" xr:uid="{00000000-0005-0000-0000-00008C290000}"/>
    <cellStyle name="Total 2 2 3 8 4 2" xfId="11067" xr:uid="{00000000-0005-0000-0000-00008D290000}"/>
    <cellStyle name="Total 2 2 3 8 5" xfId="6732" xr:uid="{00000000-0005-0000-0000-00008E290000}"/>
    <cellStyle name="Total 2 2 3 9" xfId="1669" xr:uid="{00000000-0005-0000-0000-00008F290000}"/>
    <cellStyle name="Total 2 2 3 9 2" xfId="7499" xr:uid="{00000000-0005-0000-0000-000090290000}"/>
    <cellStyle name="Total 2 2 4" xfId="131" xr:uid="{00000000-0005-0000-0000-000091290000}"/>
    <cellStyle name="Total 2 2 4 10" xfId="1907" xr:uid="{00000000-0005-0000-0000-000092290000}"/>
    <cellStyle name="Total 2 2 4 10 2" xfId="7737" xr:uid="{00000000-0005-0000-0000-000093290000}"/>
    <cellStyle name="Total 2 2 4 11" xfId="1652" xr:uid="{00000000-0005-0000-0000-000094290000}"/>
    <cellStyle name="Total 2 2 4 11 2" xfId="7482" xr:uid="{00000000-0005-0000-0000-000095290000}"/>
    <cellStyle name="Total 2 2 4 12" xfId="6012" xr:uid="{00000000-0005-0000-0000-000096290000}"/>
    <cellStyle name="Total 2 2 4 2" xfId="152" xr:uid="{00000000-0005-0000-0000-000097290000}"/>
    <cellStyle name="Total 2 2 4 2 10" xfId="1614" xr:uid="{00000000-0005-0000-0000-000098290000}"/>
    <cellStyle name="Total 2 2 4 2 10 2" xfId="7444" xr:uid="{00000000-0005-0000-0000-000099290000}"/>
    <cellStyle name="Total 2 2 4 2 11" xfId="6032" xr:uid="{00000000-0005-0000-0000-00009A290000}"/>
    <cellStyle name="Total 2 2 4 2 2" xfId="192" xr:uid="{00000000-0005-0000-0000-00009B290000}"/>
    <cellStyle name="Total 2 2 4 2 2 10" xfId="6072" xr:uid="{00000000-0005-0000-0000-00009C290000}"/>
    <cellStyle name="Total 2 2 4 2 2 2" xfId="273" xr:uid="{00000000-0005-0000-0000-00009D290000}"/>
    <cellStyle name="Total 2 2 4 2 2 2 2" xfId="552" xr:uid="{00000000-0005-0000-0000-00009E290000}"/>
    <cellStyle name="Total 2 2 4 2 2 2 2 2" xfId="1287" xr:uid="{00000000-0005-0000-0000-00009F290000}"/>
    <cellStyle name="Total 2 2 4 2 2 2 2 2 2" xfId="2803" xr:uid="{00000000-0005-0000-0000-0000A0290000}"/>
    <cellStyle name="Total 2 2 4 2 2 2 2 2 2 2" xfId="8633" xr:uid="{00000000-0005-0000-0000-0000A1290000}"/>
    <cellStyle name="Total 2 2 4 2 2 2 2 2 3" xfId="4226" xr:uid="{00000000-0005-0000-0000-0000A2290000}"/>
    <cellStyle name="Total 2 2 4 2 2 2 2 2 3 2" xfId="10056" xr:uid="{00000000-0005-0000-0000-0000A3290000}"/>
    <cellStyle name="Total 2 2 4 2 2 2 2 2 4" xfId="5622" xr:uid="{00000000-0005-0000-0000-0000A4290000}"/>
    <cellStyle name="Total 2 2 4 2 2 2 2 2 4 2" xfId="11452" xr:uid="{00000000-0005-0000-0000-0000A5290000}"/>
    <cellStyle name="Total 2 2 4 2 2 2 2 2 5" xfId="7117" xr:uid="{00000000-0005-0000-0000-0000A6290000}"/>
    <cellStyle name="Total 2 2 4 2 2 2 2 3" xfId="2074" xr:uid="{00000000-0005-0000-0000-0000A7290000}"/>
    <cellStyle name="Total 2 2 4 2 2 2 2 3 2" xfId="7904" xr:uid="{00000000-0005-0000-0000-0000A8290000}"/>
    <cellStyle name="Total 2 2 4 2 2 2 2 4" xfId="3501" xr:uid="{00000000-0005-0000-0000-0000A9290000}"/>
    <cellStyle name="Total 2 2 4 2 2 2 2 4 2" xfId="9331" xr:uid="{00000000-0005-0000-0000-0000AA290000}"/>
    <cellStyle name="Total 2 2 4 2 2 2 2 5" xfId="4898" xr:uid="{00000000-0005-0000-0000-0000AB290000}"/>
    <cellStyle name="Total 2 2 4 2 2 2 2 5 2" xfId="10728" xr:uid="{00000000-0005-0000-0000-0000AC290000}"/>
    <cellStyle name="Total 2 2 4 2 2 2 2 6" xfId="6393" xr:uid="{00000000-0005-0000-0000-0000AD290000}"/>
    <cellStyle name="Total 2 2 4 2 2 2 3" xfId="796" xr:uid="{00000000-0005-0000-0000-0000AE290000}"/>
    <cellStyle name="Total 2 2 4 2 2 2 3 2" xfId="1527" xr:uid="{00000000-0005-0000-0000-0000AF290000}"/>
    <cellStyle name="Total 2 2 4 2 2 2 3 2 2" xfId="3043" xr:uid="{00000000-0005-0000-0000-0000B0290000}"/>
    <cellStyle name="Total 2 2 4 2 2 2 3 2 2 2" xfId="8873" xr:uid="{00000000-0005-0000-0000-0000B1290000}"/>
    <cellStyle name="Total 2 2 4 2 2 2 3 2 3" xfId="4466" xr:uid="{00000000-0005-0000-0000-0000B2290000}"/>
    <cellStyle name="Total 2 2 4 2 2 2 3 2 3 2" xfId="10296" xr:uid="{00000000-0005-0000-0000-0000B3290000}"/>
    <cellStyle name="Total 2 2 4 2 2 2 3 2 4" xfId="5862" xr:uid="{00000000-0005-0000-0000-0000B4290000}"/>
    <cellStyle name="Total 2 2 4 2 2 2 3 2 4 2" xfId="11692" xr:uid="{00000000-0005-0000-0000-0000B5290000}"/>
    <cellStyle name="Total 2 2 4 2 2 2 3 2 5" xfId="7357" xr:uid="{00000000-0005-0000-0000-0000B6290000}"/>
    <cellStyle name="Total 2 2 4 2 2 2 3 3" xfId="2316" xr:uid="{00000000-0005-0000-0000-0000B7290000}"/>
    <cellStyle name="Total 2 2 4 2 2 2 3 3 2" xfId="8146" xr:uid="{00000000-0005-0000-0000-0000B8290000}"/>
    <cellStyle name="Total 2 2 4 2 2 2 3 4" xfId="3742" xr:uid="{00000000-0005-0000-0000-0000B9290000}"/>
    <cellStyle name="Total 2 2 4 2 2 2 3 4 2" xfId="9572" xr:uid="{00000000-0005-0000-0000-0000BA290000}"/>
    <cellStyle name="Total 2 2 4 2 2 2 3 5" xfId="5138" xr:uid="{00000000-0005-0000-0000-0000BB290000}"/>
    <cellStyle name="Total 2 2 4 2 2 2 3 5 2" xfId="10968" xr:uid="{00000000-0005-0000-0000-0000BC290000}"/>
    <cellStyle name="Total 2 2 4 2 2 2 3 6" xfId="6633" xr:uid="{00000000-0005-0000-0000-0000BD290000}"/>
    <cellStyle name="Total 2 2 4 2 2 2 4" xfId="1040" xr:uid="{00000000-0005-0000-0000-0000BE290000}"/>
    <cellStyle name="Total 2 2 4 2 2 2 4 2" xfId="2560" xr:uid="{00000000-0005-0000-0000-0000BF290000}"/>
    <cellStyle name="Total 2 2 4 2 2 2 4 2 2" xfId="8390" xr:uid="{00000000-0005-0000-0000-0000C0290000}"/>
    <cellStyle name="Total 2 2 4 2 2 2 4 3" xfId="3986" xr:uid="{00000000-0005-0000-0000-0000C1290000}"/>
    <cellStyle name="Total 2 2 4 2 2 2 4 3 2" xfId="9816" xr:uid="{00000000-0005-0000-0000-0000C2290000}"/>
    <cellStyle name="Total 2 2 4 2 2 2 4 4" xfId="5382" xr:uid="{00000000-0005-0000-0000-0000C3290000}"/>
    <cellStyle name="Total 2 2 4 2 2 2 4 4 2" xfId="11212" xr:uid="{00000000-0005-0000-0000-0000C4290000}"/>
    <cellStyle name="Total 2 2 4 2 2 2 4 5" xfId="6877" xr:uid="{00000000-0005-0000-0000-0000C5290000}"/>
    <cellStyle name="Total 2 2 4 2 2 2 5" xfId="1814" xr:uid="{00000000-0005-0000-0000-0000C6290000}"/>
    <cellStyle name="Total 2 2 4 2 2 2 5 2" xfId="7644" xr:uid="{00000000-0005-0000-0000-0000C7290000}"/>
    <cellStyle name="Total 2 2 4 2 2 2 6" xfId="3245" xr:uid="{00000000-0005-0000-0000-0000C8290000}"/>
    <cellStyle name="Total 2 2 4 2 2 2 6 2" xfId="9075" xr:uid="{00000000-0005-0000-0000-0000C9290000}"/>
    <cellStyle name="Total 2 2 4 2 2 2 7" xfId="4657" xr:uid="{00000000-0005-0000-0000-0000CA290000}"/>
    <cellStyle name="Total 2 2 4 2 2 2 7 2" xfId="10487" xr:uid="{00000000-0005-0000-0000-0000CB290000}"/>
    <cellStyle name="Total 2 2 4 2 2 2 8" xfId="6152" xr:uid="{00000000-0005-0000-0000-0000CC290000}"/>
    <cellStyle name="Total 2 2 4 2 2 3" xfId="353" xr:uid="{00000000-0005-0000-0000-0000CD290000}"/>
    <cellStyle name="Total 2 2 4 2 2 3 2" xfId="632" xr:uid="{00000000-0005-0000-0000-0000CE290000}"/>
    <cellStyle name="Total 2 2 4 2 2 3 2 2" xfId="1367" xr:uid="{00000000-0005-0000-0000-0000CF290000}"/>
    <cellStyle name="Total 2 2 4 2 2 3 2 2 2" xfId="2883" xr:uid="{00000000-0005-0000-0000-0000D0290000}"/>
    <cellStyle name="Total 2 2 4 2 2 3 2 2 2 2" xfId="8713" xr:uid="{00000000-0005-0000-0000-0000D1290000}"/>
    <cellStyle name="Total 2 2 4 2 2 3 2 2 3" xfId="4306" xr:uid="{00000000-0005-0000-0000-0000D2290000}"/>
    <cellStyle name="Total 2 2 4 2 2 3 2 2 3 2" xfId="10136" xr:uid="{00000000-0005-0000-0000-0000D3290000}"/>
    <cellStyle name="Total 2 2 4 2 2 3 2 2 4" xfId="5702" xr:uid="{00000000-0005-0000-0000-0000D4290000}"/>
    <cellStyle name="Total 2 2 4 2 2 3 2 2 4 2" xfId="11532" xr:uid="{00000000-0005-0000-0000-0000D5290000}"/>
    <cellStyle name="Total 2 2 4 2 2 3 2 2 5" xfId="7197" xr:uid="{00000000-0005-0000-0000-0000D6290000}"/>
    <cellStyle name="Total 2 2 4 2 2 3 2 3" xfId="2154" xr:uid="{00000000-0005-0000-0000-0000D7290000}"/>
    <cellStyle name="Total 2 2 4 2 2 3 2 3 2" xfId="7984" xr:uid="{00000000-0005-0000-0000-0000D8290000}"/>
    <cellStyle name="Total 2 2 4 2 2 3 2 4" xfId="3581" xr:uid="{00000000-0005-0000-0000-0000D9290000}"/>
    <cellStyle name="Total 2 2 4 2 2 3 2 4 2" xfId="9411" xr:uid="{00000000-0005-0000-0000-0000DA290000}"/>
    <cellStyle name="Total 2 2 4 2 2 3 2 5" xfId="4978" xr:uid="{00000000-0005-0000-0000-0000DB290000}"/>
    <cellStyle name="Total 2 2 4 2 2 3 2 5 2" xfId="10808" xr:uid="{00000000-0005-0000-0000-0000DC290000}"/>
    <cellStyle name="Total 2 2 4 2 2 3 2 6" xfId="6473" xr:uid="{00000000-0005-0000-0000-0000DD290000}"/>
    <cellStyle name="Total 2 2 4 2 2 3 3" xfId="876" xr:uid="{00000000-0005-0000-0000-0000DE290000}"/>
    <cellStyle name="Total 2 2 4 2 2 3 3 2" xfId="1607" xr:uid="{00000000-0005-0000-0000-0000DF290000}"/>
    <cellStyle name="Total 2 2 4 2 2 3 3 2 2" xfId="3123" xr:uid="{00000000-0005-0000-0000-0000E0290000}"/>
    <cellStyle name="Total 2 2 4 2 2 3 3 2 2 2" xfId="8953" xr:uid="{00000000-0005-0000-0000-0000E1290000}"/>
    <cellStyle name="Total 2 2 4 2 2 3 3 2 3" xfId="4546" xr:uid="{00000000-0005-0000-0000-0000E2290000}"/>
    <cellStyle name="Total 2 2 4 2 2 3 3 2 3 2" xfId="10376" xr:uid="{00000000-0005-0000-0000-0000E3290000}"/>
    <cellStyle name="Total 2 2 4 2 2 3 3 2 4" xfId="5942" xr:uid="{00000000-0005-0000-0000-0000E4290000}"/>
    <cellStyle name="Total 2 2 4 2 2 3 3 2 4 2" xfId="11772" xr:uid="{00000000-0005-0000-0000-0000E5290000}"/>
    <cellStyle name="Total 2 2 4 2 2 3 3 2 5" xfId="7437" xr:uid="{00000000-0005-0000-0000-0000E6290000}"/>
    <cellStyle name="Total 2 2 4 2 2 3 3 3" xfId="2396" xr:uid="{00000000-0005-0000-0000-0000E7290000}"/>
    <cellStyle name="Total 2 2 4 2 2 3 3 3 2" xfId="8226" xr:uid="{00000000-0005-0000-0000-0000E8290000}"/>
    <cellStyle name="Total 2 2 4 2 2 3 3 4" xfId="3822" xr:uid="{00000000-0005-0000-0000-0000E9290000}"/>
    <cellStyle name="Total 2 2 4 2 2 3 3 4 2" xfId="9652" xr:uid="{00000000-0005-0000-0000-0000EA290000}"/>
    <cellStyle name="Total 2 2 4 2 2 3 3 5" xfId="5218" xr:uid="{00000000-0005-0000-0000-0000EB290000}"/>
    <cellStyle name="Total 2 2 4 2 2 3 3 5 2" xfId="11048" xr:uid="{00000000-0005-0000-0000-0000EC290000}"/>
    <cellStyle name="Total 2 2 4 2 2 3 3 6" xfId="6713" xr:uid="{00000000-0005-0000-0000-0000ED290000}"/>
    <cellStyle name="Total 2 2 4 2 2 3 4" xfId="1120" xr:uid="{00000000-0005-0000-0000-0000EE290000}"/>
    <cellStyle name="Total 2 2 4 2 2 3 4 2" xfId="2640" xr:uid="{00000000-0005-0000-0000-0000EF290000}"/>
    <cellStyle name="Total 2 2 4 2 2 3 4 2 2" xfId="8470" xr:uid="{00000000-0005-0000-0000-0000F0290000}"/>
    <cellStyle name="Total 2 2 4 2 2 3 4 3" xfId="4066" xr:uid="{00000000-0005-0000-0000-0000F1290000}"/>
    <cellStyle name="Total 2 2 4 2 2 3 4 3 2" xfId="9896" xr:uid="{00000000-0005-0000-0000-0000F2290000}"/>
    <cellStyle name="Total 2 2 4 2 2 3 4 4" xfId="5462" xr:uid="{00000000-0005-0000-0000-0000F3290000}"/>
    <cellStyle name="Total 2 2 4 2 2 3 4 4 2" xfId="11292" xr:uid="{00000000-0005-0000-0000-0000F4290000}"/>
    <cellStyle name="Total 2 2 4 2 2 3 4 5" xfId="6957" xr:uid="{00000000-0005-0000-0000-0000F5290000}"/>
    <cellStyle name="Total 2 2 4 2 2 3 5" xfId="1894" xr:uid="{00000000-0005-0000-0000-0000F6290000}"/>
    <cellStyle name="Total 2 2 4 2 2 3 5 2" xfId="7724" xr:uid="{00000000-0005-0000-0000-0000F7290000}"/>
    <cellStyle name="Total 2 2 4 2 2 3 6" xfId="3325" xr:uid="{00000000-0005-0000-0000-0000F8290000}"/>
    <cellStyle name="Total 2 2 4 2 2 3 6 2" xfId="9155" xr:uid="{00000000-0005-0000-0000-0000F9290000}"/>
    <cellStyle name="Total 2 2 4 2 2 3 7" xfId="4737" xr:uid="{00000000-0005-0000-0000-0000FA290000}"/>
    <cellStyle name="Total 2 2 4 2 2 3 7 2" xfId="10567" xr:uid="{00000000-0005-0000-0000-0000FB290000}"/>
    <cellStyle name="Total 2 2 4 2 2 3 8" xfId="6232" xr:uid="{00000000-0005-0000-0000-0000FC290000}"/>
    <cellStyle name="Total 2 2 4 2 2 4" xfId="472" xr:uid="{00000000-0005-0000-0000-0000FD290000}"/>
    <cellStyle name="Total 2 2 4 2 2 4 2" xfId="1207" xr:uid="{00000000-0005-0000-0000-0000FE290000}"/>
    <cellStyle name="Total 2 2 4 2 2 4 2 2" xfId="2723" xr:uid="{00000000-0005-0000-0000-0000FF290000}"/>
    <cellStyle name="Total 2 2 4 2 2 4 2 2 2" xfId="8553" xr:uid="{00000000-0005-0000-0000-0000002A0000}"/>
    <cellStyle name="Total 2 2 4 2 2 4 2 3" xfId="4146" xr:uid="{00000000-0005-0000-0000-0000012A0000}"/>
    <cellStyle name="Total 2 2 4 2 2 4 2 3 2" xfId="9976" xr:uid="{00000000-0005-0000-0000-0000022A0000}"/>
    <cellStyle name="Total 2 2 4 2 2 4 2 4" xfId="5542" xr:uid="{00000000-0005-0000-0000-0000032A0000}"/>
    <cellStyle name="Total 2 2 4 2 2 4 2 4 2" xfId="11372" xr:uid="{00000000-0005-0000-0000-0000042A0000}"/>
    <cellStyle name="Total 2 2 4 2 2 4 2 5" xfId="7037" xr:uid="{00000000-0005-0000-0000-0000052A0000}"/>
    <cellStyle name="Total 2 2 4 2 2 4 3" xfId="1994" xr:uid="{00000000-0005-0000-0000-0000062A0000}"/>
    <cellStyle name="Total 2 2 4 2 2 4 3 2" xfId="7824" xr:uid="{00000000-0005-0000-0000-0000072A0000}"/>
    <cellStyle name="Total 2 2 4 2 2 4 4" xfId="3421" xr:uid="{00000000-0005-0000-0000-0000082A0000}"/>
    <cellStyle name="Total 2 2 4 2 2 4 4 2" xfId="9251" xr:uid="{00000000-0005-0000-0000-0000092A0000}"/>
    <cellStyle name="Total 2 2 4 2 2 4 5" xfId="4818" xr:uid="{00000000-0005-0000-0000-00000A2A0000}"/>
    <cellStyle name="Total 2 2 4 2 2 4 5 2" xfId="10648" xr:uid="{00000000-0005-0000-0000-00000B2A0000}"/>
    <cellStyle name="Total 2 2 4 2 2 4 6" xfId="6313" xr:uid="{00000000-0005-0000-0000-00000C2A0000}"/>
    <cellStyle name="Total 2 2 4 2 2 5" xfId="716" xr:uid="{00000000-0005-0000-0000-00000D2A0000}"/>
    <cellStyle name="Total 2 2 4 2 2 5 2" xfId="1447" xr:uid="{00000000-0005-0000-0000-00000E2A0000}"/>
    <cellStyle name="Total 2 2 4 2 2 5 2 2" xfId="2963" xr:uid="{00000000-0005-0000-0000-00000F2A0000}"/>
    <cellStyle name="Total 2 2 4 2 2 5 2 2 2" xfId="8793" xr:uid="{00000000-0005-0000-0000-0000102A0000}"/>
    <cellStyle name="Total 2 2 4 2 2 5 2 3" xfId="4386" xr:uid="{00000000-0005-0000-0000-0000112A0000}"/>
    <cellStyle name="Total 2 2 4 2 2 5 2 3 2" xfId="10216" xr:uid="{00000000-0005-0000-0000-0000122A0000}"/>
    <cellStyle name="Total 2 2 4 2 2 5 2 4" xfId="5782" xr:uid="{00000000-0005-0000-0000-0000132A0000}"/>
    <cellStyle name="Total 2 2 4 2 2 5 2 4 2" xfId="11612" xr:uid="{00000000-0005-0000-0000-0000142A0000}"/>
    <cellStyle name="Total 2 2 4 2 2 5 2 5" xfId="7277" xr:uid="{00000000-0005-0000-0000-0000152A0000}"/>
    <cellStyle name="Total 2 2 4 2 2 5 3" xfId="2236" xr:uid="{00000000-0005-0000-0000-0000162A0000}"/>
    <cellStyle name="Total 2 2 4 2 2 5 3 2" xfId="8066" xr:uid="{00000000-0005-0000-0000-0000172A0000}"/>
    <cellStyle name="Total 2 2 4 2 2 5 4" xfId="3662" xr:uid="{00000000-0005-0000-0000-0000182A0000}"/>
    <cellStyle name="Total 2 2 4 2 2 5 4 2" xfId="9492" xr:uid="{00000000-0005-0000-0000-0000192A0000}"/>
    <cellStyle name="Total 2 2 4 2 2 5 5" xfId="5058" xr:uid="{00000000-0005-0000-0000-00001A2A0000}"/>
    <cellStyle name="Total 2 2 4 2 2 5 5 2" xfId="10888" xr:uid="{00000000-0005-0000-0000-00001B2A0000}"/>
    <cellStyle name="Total 2 2 4 2 2 5 6" xfId="6553" xr:uid="{00000000-0005-0000-0000-00001C2A0000}"/>
    <cellStyle name="Total 2 2 4 2 2 6" xfId="960" xr:uid="{00000000-0005-0000-0000-00001D2A0000}"/>
    <cellStyle name="Total 2 2 4 2 2 6 2" xfId="2480" xr:uid="{00000000-0005-0000-0000-00001E2A0000}"/>
    <cellStyle name="Total 2 2 4 2 2 6 2 2" xfId="8310" xr:uid="{00000000-0005-0000-0000-00001F2A0000}"/>
    <cellStyle name="Total 2 2 4 2 2 6 3" xfId="3906" xr:uid="{00000000-0005-0000-0000-0000202A0000}"/>
    <cellStyle name="Total 2 2 4 2 2 6 3 2" xfId="9736" xr:uid="{00000000-0005-0000-0000-0000212A0000}"/>
    <cellStyle name="Total 2 2 4 2 2 6 4" xfId="5302" xr:uid="{00000000-0005-0000-0000-0000222A0000}"/>
    <cellStyle name="Total 2 2 4 2 2 6 4 2" xfId="11132" xr:uid="{00000000-0005-0000-0000-0000232A0000}"/>
    <cellStyle name="Total 2 2 4 2 2 6 5" xfId="6797" xr:uid="{00000000-0005-0000-0000-0000242A0000}"/>
    <cellStyle name="Total 2 2 4 2 2 7" xfId="1734" xr:uid="{00000000-0005-0000-0000-0000252A0000}"/>
    <cellStyle name="Total 2 2 4 2 2 7 2" xfId="7564" xr:uid="{00000000-0005-0000-0000-0000262A0000}"/>
    <cellStyle name="Total 2 2 4 2 2 8" xfId="3165" xr:uid="{00000000-0005-0000-0000-0000272A0000}"/>
    <cellStyle name="Total 2 2 4 2 2 8 2" xfId="8995" xr:uid="{00000000-0005-0000-0000-0000282A0000}"/>
    <cellStyle name="Total 2 2 4 2 2 9" xfId="4577" xr:uid="{00000000-0005-0000-0000-0000292A0000}"/>
    <cellStyle name="Total 2 2 4 2 2 9 2" xfId="10407" xr:uid="{00000000-0005-0000-0000-00002A2A0000}"/>
    <cellStyle name="Total 2 2 4 2 3" xfId="233" xr:uid="{00000000-0005-0000-0000-00002B2A0000}"/>
    <cellStyle name="Total 2 2 4 2 3 2" xfId="512" xr:uid="{00000000-0005-0000-0000-00002C2A0000}"/>
    <cellStyle name="Total 2 2 4 2 3 2 2" xfId="1247" xr:uid="{00000000-0005-0000-0000-00002D2A0000}"/>
    <cellStyle name="Total 2 2 4 2 3 2 2 2" xfId="2763" xr:uid="{00000000-0005-0000-0000-00002E2A0000}"/>
    <cellStyle name="Total 2 2 4 2 3 2 2 2 2" xfId="8593" xr:uid="{00000000-0005-0000-0000-00002F2A0000}"/>
    <cellStyle name="Total 2 2 4 2 3 2 2 3" xfId="4186" xr:uid="{00000000-0005-0000-0000-0000302A0000}"/>
    <cellStyle name="Total 2 2 4 2 3 2 2 3 2" xfId="10016" xr:uid="{00000000-0005-0000-0000-0000312A0000}"/>
    <cellStyle name="Total 2 2 4 2 3 2 2 4" xfId="5582" xr:uid="{00000000-0005-0000-0000-0000322A0000}"/>
    <cellStyle name="Total 2 2 4 2 3 2 2 4 2" xfId="11412" xr:uid="{00000000-0005-0000-0000-0000332A0000}"/>
    <cellStyle name="Total 2 2 4 2 3 2 2 5" xfId="7077" xr:uid="{00000000-0005-0000-0000-0000342A0000}"/>
    <cellStyle name="Total 2 2 4 2 3 2 3" xfId="2034" xr:uid="{00000000-0005-0000-0000-0000352A0000}"/>
    <cellStyle name="Total 2 2 4 2 3 2 3 2" xfId="7864" xr:uid="{00000000-0005-0000-0000-0000362A0000}"/>
    <cellStyle name="Total 2 2 4 2 3 2 4" xfId="3461" xr:uid="{00000000-0005-0000-0000-0000372A0000}"/>
    <cellStyle name="Total 2 2 4 2 3 2 4 2" xfId="9291" xr:uid="{00000000-0005-0000-0000-0000382A0000}"/>
    <cellStyle name="Total 2 2 4 2 3 2 5" xfId="4858" xr:uid="{00000000-0005-0000-0000-0000392A0000}"/>
    <cellStyle name="Total 2 2 4 2 3 2 5 2" xfId="10688" xr:uid="{00000000-0005-0000-0000-00003A2A0000}"/>
    <cellStyle name="Total 2 2 4 2 3 2 6" xfId="6353" xr:uid="{00000000-0005-0000-0000-00003B2A0000}"/>
    <cellStyle name="Total 2 2 4 2 3 3" xfId="756" xr:uid="{00000000-0005-0000-0000-00003C2A0000}"/>
    <cellStyle name="Total 2 2 4 2 3 3 2" xfId="1487" xr:uid="{00000000-0005-0000-0000-00003D2A0000}"/>
    <cellStyle name="Total 2 2 4 2 3 3 2 2" xfId="3003" xr:uid="{00000000-0005-0000-0000-00003E2A0000}"/>
    <cellStyle name="Total 2 2 4 2 3 3 2 2 2" xfId="8833" xr:uid="{00000000-0005-0000-0000-00003F2A0000}"/>
    <cellStyle name="Total 2 2 4 2 3 3 2 3" xfId="4426" xr:uid="{00000000-0005-0000-0000-0000402A0000}"/>
    <cellStyle name="Total 2 2 4 2 3 3 2 3 2" xfId="10256" xr:uid="{00000000-0005-0000-0000-0000412A0000}"/>
    <cellStyle name="Total 2 2 4 2 3 3 2 4" xfId="5822" xr:uid="{00000000-0005-0000-0000-0000422A0000}"/>
    <cellStyle name="Total 2 2 4 2 3 3 2 4 2" xfId="11652" xr:uid="{00000000-0005-0000-0000-0000432A0000}"/>
    <cellStyle name="Total 2 2 4 2 3 3 2 5" xfId="7317" xr:uid="{00000000-0005-0000-0000-0000442A0000}"/>
    <cellStyle name="Total 2 2 4 2 3 3 3" xfId="2276" xr:uid="{00000000-0005-0000-0000-0000452A0000}"/>
    <cellStyle name="Total 2 2 4 2 3 3 3 2" xfId="8106" xr:uid="{00000000-0005-0000-0000-0000462A0000}"/>
    <cellStyle name="Total 2 2 4 2 3 3 4" xfId="3702" xr:uid="{00000000-0005-0000-0000-0000472A0000}"/>
    <cellStyle name="Total 2 2 4 2 3 3 4 2" xfId="9532" xr:uid="{00000000-0005-0000-0000-0000482A0000}"/>
    <cellStyle name="Total 2 2 4 2 3 3 5" xfId="5098" xr:uid="{00000000-0005-0000-0000-0000492A0000}"/>
    <cellStyle name="Total 2 2 4 2 3 3 5 2" xfId="10928" xr:uid="{00000000-0005-0000-0000-00004A2A0000}"/>
    <cellStyle name="Total 2 2 4 2 3 3 6" xfId="6593" xr:uid="{00000000-0005-0000-0000-00004B2A0000}"/>
    <cellStyle name="Total 2 2 4 2 3 4" xfId="1000" xr:uid="{00000000-0005-0000-0000-00004C2A0000}"/>
    <cellStyle name="Total 2 2 4 2 3 4 2" xfId="2520" xr:uid="{00000000-0005-0000-0000-00004D2A0000}"/>
    <cellStyle name="Total 2 2 4 2 3 4 2 2" xfId="8350" xr:uid="{00000000-0005-0000-0000-00004E2A0000}"/>
    <cellStyle name="Total 2 2 4 2 3 4 3" xfId="3946" xr:uid="{00000000-0005-0000-0000-00004F2A0000}"/>
    <cellStyle name="Total 2 2 4 2 3 4 3 2" xfId="9776" xr:uid="{00000000-0005-0000-0000-0000502A0000}"/>
    <cellStyle name="Total 2 2 4 2 3 4 4" xfId="5342" xr:uid="{00000000-0005-0000-0000-0000512A0000}"/>
    <cellStyle name="Total 2 2 4 2 3 4 4 2" xfId="11172" xr:uid="{00000000-0005-0000-0000-0000522A0000}"/>
    <cellStyle name="Total 2 2 4 2 3 4 5" xfId="6837" xr:uid="{00000000-0005-0000-0000-0000532A0000}"/>
    <cellStyle name="Total 2 2 4 2 3 5" xfId="1774" xr:uid="{00000000-0005-0000-0000-0000542A0000}"/>
    <cellStyle name="Total 2 2 4 2 3 5 2" xfId="7604" xr:uid="{00000000-0005-0000-0000-0000552A0000}"/>
    <cellStyle name="Total 2 2 4 2 3 6" xfId="3205" xr:uid="{00000000-0005-0000-0000-0000562A0000}"/>
    <cellStyle name="Total 2 2 4 2 3 6 2" xfId="9035" xr:uid="{00000000-0005-0000-0000-0000572A0000}"/>
    <cellStyle name="Total 2 2 4 2 3 7" xfId="4617" xr:uid="{00000000-0005-0000-0000-0000582A0000}"/>
    <cellStyle name="Total 2 2 4 2 3 7 2" xfId="10447" xr:uid="{00000000-0005-0000-0000-0000592A0000}"/>
    <cellStyle name="Total 2 2 4 2 3 8" xfId="6112" xr:uid="{00000000-0005-0000-0000-00005A2A0000}"/>
    <cellStyle name="Total 2 2 4 2 4" xfId="313" xr:uid="{00000000-0005-0000-0000-00005B2A0000}"/>
    <cellStyle name="Total 2 2 4 2 4 2" xfId="592" xr:uid="{00000000-0005-0000-0000-00005C2A0000}"/>
    <cellStyle name="Total 2 2 4 2 4 2 2" xfId="1327" xr:uid="{00000000-0005-0000-0000-00005D2A0000}"/>
    <cellStyle name="Total 2 2 4 2 4 2 2 2" xfId="2843" xr:uid="{00000000-0005-0000-0000-00005E2A0000}"/>
    <cellStyle name="Total 2 2 4 2 4 2 2 2 2" xfId="8673" xr:uid="{00000000-0005-0000-0000-00005F2A0000}"/>
    <cellStyle name="Total 2 2 4 2 4 2 2 3" xfId="4266" xr:uid="{00000000-0005-0000-0000-0000602A0000}"/>
    <cellStyle name="Total 2 2 4 2 4 2 2 3 2" xfId="10096" xr:uid="{00000000-0005-0000-0000-0000612A0000}"/>
    <cellStyle name="Total 2 2 4 2 4 2 2 4" xfId="5662" xr:uid="{00000000-0005-0000-0000-0000622A0000}"/>
    <cellStyle name="Total 2 2 4 2 4 2 2 4 2" xfId="11492" xr:uid="{00000000-0005-0000-0000-0000632A0000}"/>
    <cellStyle name="Total 2 2 4 2 4 2 2 5" xfId="7157" xr:uid="{00000000-0005-0000-0000-0000642A0000}"/>
    <cellStyle name="Total 2 2 4 2 4 2 3" xfId="2114" xr:uid="{00000000-0005-0000-0000-0000652A0000}"/>
    <cellStyle name="Total 2 2 4 2 4 2 3 2" xfId="7944" xr:uid="{00000000-0005-0000-0000-0000662A0000}"/>
    <cellStyle name="Total 2 2 4 2 4 2 4" xfId="3541" xr:uid="{00000000-0005-0000-0000-0000672A0000}"/>
    <cellStyle name="Total 2 2 4 2 4 2 4 2" xfId="9371" xr:uid="{00000000-0005-0000-0000-0000682A0000}"/>
    <cellStyle name="Total 2 2 4 2 4 2 5" xfId="4938" xr:uid="{00000000-0005-0000-0000-0000692A0000}"/>
    <cellStyle name="Total 2 2 4 2 4 2 5 2" xfId="10768" xr:uid="{00000000-0005-0000-0000-00006A2A0000}"/>
    <cellStyle name="Total 2 2 4 2 4 2 6" xfId="6433" xr:uid="{00000000-0005-0000-0000-00006B2A0000}"/>
    <cellStyle name="Total 2 2 4 2 4 3" xfId="836" xr:uid="{00000000-0005-0000-0000-00006C2A0000}"/>
    <cellStyle name="Total 2 2 4 2 4 3 2" xfId="1567" xr:uid="{00000000-0005-0000-0000-00006D2A0000}"/>
    <cellStyle name="Total 2 2 4 2 4 3 2 2" xfId="3083" xr:uid="{00000000-0005-0000-0000-00006E2A0000}"/>
    <cellStyle name="Total 2 2 4 2 4 3 2 2 2" xfId="8913" xr:uid="{00000000-0005-0000-0000-00006F2A0000}"/>
    <cellStyle name="Total 2 2 4 2 4 3 2 3" xfId="4506" xr:uid="{00000000-0005-0000-0000-0000702A0000}"/>
    <cellStyle name="Total 2 2 4 2 4 3 2 3 2" xfId="10336" xr:uid="{00000000-0005-0000-0000-0000712A0000}"/>
    <cellStyle name="Total 2 2 4 2 4 3 2 4" xfId="5902" xr:uid="{00000000-0005-0000-0000-0000722A0000}"/>
    <cellStyle name="Total 2 2 4 2 4 3 2 4 2" xfId="11732" xr:uid="{00000000-0005-0000-0000-0000732A0000}"/>
    <cellStyle name="Total 2 2 4 2 4 3 2 5" xfId="7397" xr:uid="{00000000-0005-0000-0000-0000742A0000}"/>
    <cellStyle name="Total 2 2 4 2 4 3 3" xfId="2356" xr:uid="{00000000-0005-0000-0000-0000752A0000}"/>
    <cellStyle name="Total 2 2 4 2 4 3 3 2" xfId="8186" xr:uid="{00000000-0005-0000-0000-0000762A0000}"/>
    <cellStyle name="Total 2 2 4 2 4 3 4" xfId="3782" xr:uid="{00000000-0005-0000-0000-0000772A0000}"/>
    <cellStyle name="Total 2 2 4 2 4 3 4 2" xfId="9612" xr:uid="{00000000-0005-0000-0000-0000782A0000}"/>
    <cellStyle name="Total 2 2 4 2 4 3 5" xfId="5178" xr:uid="{00000000-0005-0000-0000-0000792A0000}"/>
    <cellStyle name="Total 2 2 4 2 4 3 5 2" xfId="11008" xr:uid="{00000000-0005-0000-0000-00007A2A0000}"/>
    <cellStyle name="Total 2 2 4 2 4 3 6" xfId="6673" xr:uid="{00000000-0005-0000-0000-00007B2A0000}"/>
    <cellStyle name="Total 2 2 4 2 4 4" xfId="1080" xr:uid="{00000000-0005-0000-0000-00007C2A0000}"/>
    <cellStyle name="Total 2 2 4 2 4 4 2" xfId="2600" xr:uid="{00000000-0005-0000-0000-00007D2A0000}"/>
    <cellStyle name="Total 2 2 4 2 4 4 2 2" xfId="8430" xr:uid="{00000000-0005-0000-0000-00007E2A0000}"/>
    <cellStyle name="Total 2 2 4 2 4 4 3" xfId="4026" xr:uid="{00000000-0005-0000-0000-00007F2A0000}"/>
    <cellStyle name="Total 2 2 4 2 4 4 3 2" xfId="9856" xr:uid="{00000000-0005-0000-0000-0000802A0000}"/>
    <cellStyle name="Total 2 2 4 2 4 4 4" xfId="5422" xr:uid="{00000000-0005-0000-0000-0000812A0000}"/>
    <cellStyle name="Total 2 2 4 2 4 4 4 2" xfId="11252" xr:uid="{00000000-0005-0000-0000-0000822A0000}"/>
    <cellStyle name="Total 2 2 4 2 4 4 5" xfId="6917" xr:uid="{00000000-0005-0000-0000-0000832A0000}"/>
    <cellStyle name="Total 2 2 4 2 4 5" xfId="1854" xr:uid="{00000000-0005-0000-0000-0000842A0000}"/>
    <cellStyle name="Total 2 2 4 2 4 5 2" xfId="7684" xr:uid="{00000000-0005-0000-0000-0000852A0000}"/>
    <cellStyle name="Total 2 2 4 2 4 6" xfId="3285" xr:uid="{00000000-0005-0000-0000-0000862A0000}"/>
    <cellStyle name="Total 2 2 4 2 4 6 2" xfId="9115" xr:uid="{00000000-0005-0000-0000-0000872A0000}"/>
    <cellStyle name="Total 2 2 4 2 4 7" xfId="4697" xr:uid="{00000000-0005-0000-0000-0000882A0000}"/>
    <cellStyle name="Total 2 2 4 2 4 7 2" xfId="10527" xr:uid="{00000000-0005-0000-0000-0000892A0000}"/>
    <cellStyle name="Total 2 2 4 2 4 8" xfId="6192" xr:uid="{00000000-0005-0000-0000-00008A2A0000}"/>
    <cellStyle name="Total 2 2 4 2 5" xfId="432" xr:uid="{00000000-0005-0000-0000-00008B2A0000}"/>
    <cellStyle name="Total 2 2 4 2 5 2" xfId="1167" xr:uid="{00000000-0005-0000-0000-00008C2A0000}"/>
    <cellStyle name="Total 2 2 4 2 5 2 2" xfId="2683" xr:uid="{00000000-0005-0000-0000-00008D2A0000}"/>
    <cellStyle name="Total 2 2 4 2 5 2 2 2" xfId="8513" xr:uid="{00000000-0005-0000-0000-00008E2A0000}"/>
    <cellStyle name="Total 2 2 4 2 5 2 3" xfId="4106" xr:uid="{00000000-0005-0000-0000-00008F2A0000}"/>
    <cellStyle name="Total 2 2 4 2 5 2 3 2" xfId="9936" xr:uid="{00000000-0005-0000-0000-0000902A0000}"/>
    <cellStyle name="Total 2 2 4 2 5 2 4" xfId="5502" xr:uid="{00000000-0005-0000-0000-0000912A0000}"/>
    <cellStyle name="Total 2 2 4 2 5 2 4 2" xfId="11332" xr:uid="{00000000-0005-0000-0000-0000922A0000}"/>
    <cellStyle name="Total 2 2 4 2 5 2 5" xfId="6997" xr:uid="{00000000-0005-0000-0000-0000932A0000}"/>
    <cellStyle name="Total 2 2 4 2 5 3" xfId="1954" xr:uid="{00000000-0005-0000-0000-0000942A0000}"/>
    <cellStyle name="Total 2 2 4 2 5 3 2" xfId="7784" xr:uid="{00000000-0005-0000-0000-0000952A0000}"/>
    <cellStyle name="Total 2 2 4 2 5 4" xfId="3381" xr:uid="{00000000-0005-0000-0000-0000962A0000}"/>
    <cellStyle name="Total 2 2 4 2 5 4 2" xfId="9211" xr:uid="{00000000-0005-0000-0000-0000972A0000}"/>
    <cellStyle name="Total 2 2 4 2 5 5" xfId="4778" xr:uid="{00000000-0005-0000-0000-0000982A0000}"/>
    <cellStyle name="Total 2 2 4 2 5 5 2" xfId="10608" xr:uid="{00000000-0005-0000-0000-0000992A0000}"/>
    <cellStyle name="Total 2 2 4 2 5 6" xfId="6273" xr:uid="{00000000-0005-0000-0000-00009A2A0000}"/>
    <cellStyle name="Total 2 2 4 2 6" xfId="676" xr:uid="{00000000-0005-0000-0000-00009B2A0000}"/>
    <cellStyle name="Total 2 2 4 2 6 2" xfId="1407" xr:uid="{00000000-0005-0000-0000-00009C2A0000}"/>
    <cellStyle name="Total 2 2 4 2 6 2 2" xfId="2923" xr:uid="{00000000-0005-0000-0000-00009D2A0000}"/>
    <cellStyle name="Total 2 2 4 2 6 2 2 2" xfId="8753" xr:uid="{00000000-0005-0000-0000-00009E2A0000}"/>
    <cellStyle name="Total 2 2 4 2 6 2 3" xfId="4346" xr:uid="{00000000-0005-0000-0000-00009F2A0000}"/>
    <cellStyle name="Total 2 2 4 2 6 2 3 2" xfId="10176" xr:uid="{00000000-0005-0000-0000-0000A02A0000}"/>
    <cellStyle name="Total 2 2 4 2 6 2 4" xfId="5742" xr:uid="{00000000-0005-0000-0000-0000A12A0000}"/>
    <cellStyle name="Total 2 2 4 2 6 2 4 2" xfId="11572" xr:uid="{00000000-0005-0000-0000-0000A22A0000}"/>
    <cellStyle name="Total 2 2 4 2 6 2 5" xfId="7237" xr:uid="{00000000-0005-0000-0000-0000A32A0000}"/>
    <cellStyle name="Total 2 2 4 2 6 3" xfId="2196" xr:uid="{00000000-0005-0000-0000-0000A42A0000}"/>
    <cellStyle name="Total 2 2 4 2 6 3 2" xfId="8026" xr:uid="{00000000-0005-0000-0000-0000A52A0000}"/>
    <cellStyle name="Total 2 2 4 2 6 4" xfId="3622" xr:uid="{00000000-0005-0000-0000-0000A62A0000}"/>
    <cellStyle name="Total 2 2 4 2 6 4 2" xfId="9452" xr:uid="{00000000-0005-0000-0000-0000A72A0000}"/>
    <cellStyle name="Total 2 2 4 2 6 5" xfId="5018" xr:uid="{00000000-0005-0000-0000-0000A82A0000}"/>
    <cellStyle name="Total 2 2 4 2 6 5 2" xfId="10848" xr:uid="{00000000-0005-0000-0000-0000A92A0000}"/>
    <cellStyle name="Total 2 2 4 2 6 6" xfId="6513" xr:uid="{00000000-0005-0000-0000-0000AA2A0000}"/>
    <cellStyle name="Total 2 2 4 2 7" xfId="920" xr:uid="{00000000-0005-0000-0000-0000AB2A0000}"/>
    <cellStyle name="Total 2 2 4 2 7 2" xfId="2440" xr:uid="{00000000-0005-0000-0000-0000AC2A0000}"/>
    <cellStyle name="Total 2 2 4 2 7 2 2" xfId="8270" xr:uid="{00000000-0005-0000-0000-0000AD2A0000}"/>
    <cellStyle name="Total 2 2 4 2 7 3" xfId="3866" xr:uid="{00000000-0005-0000-0000-0000AE2A0000}"/>
    <cellStyle name="Total 2 2 4 2 7 3 2" xfId="9696" xr:uid="{00000000-0005-0000-0000-0000AF2A0000}"/>
    <cellStyle name="Total 2 2 4 2 7 4" xfId="5262" xr:uid="{00000000-0005-0000-0000-0000B02A0000}"/>
    <cellStyle name="Total 2 2 4 2 7 4 2" xfId="11092" xr:uid="{00000000-0005-0000-0000-0000B12A0000}"/>
    <cellStyle name="Total 2 2 4 2 7 5" xfId="6757" xr:uid="{00000000-0005-0000-0000-0000B22A0000}"/>
    <cellStyle name="Total 2 2 4 2 8" xfId="1694" xr:uid="{00000000-0005-0000-0000-0000B32A0000}"/>
    <cellStyle name="Total 2 2 4 2 8 2" xfId="7524" xr:uid="{00000000-0005-0000-0000-0000B42A0000}"/>
    <cellStyle name="Total 2 2 4 2 9" xfId="3125" xr:uid="{00000000-0005-0000-0000-0000B52A0000}"/>
    <cellStyle name="Total 2 2 4 2 9 2" xfId="8955" xr:uid="{00000000-0005-0000-0000-0000B62A0000}"/>
    <cellStyle name="Total 2 2 4 3" xfId="172" xr:uid="{00000000-0005-0000-0000-0000B72A0000}"/>
    <cellStyle name="Total 2 2 4 3 10" xfId="6052" xr:uid="{00000000-0005-0000-0000-0000B82A0000}"/>
    <cellStyle name="Total 2 2 4 3 2" xfId="253" xr:uid="{00000000-0005-0000-0000-0000B92A0000}"/>
    <cellStyle name="Total 2 2 4 3 2 2" xfId="532" xr:uid="{00000000-0005-0000-0000-0000BA2A0000}"/>
    <cellStyle name="Total 2 2 4 3 2 2 2" xfId="1267" xr:uid="{00000000-0005-0000-0000-0000BB2A0000}"/>
    <cellStyle name="Total 2 2 4 3 2 2 2 2" xfId="2783" xr:uid="{00000000-0005-0000-0000-0000BC2A0000}"/>
    <cellStyle name="Total 2 2 4 3 2 2 2 2 2" xfId="8613" xr:uid="{00000000-0005-0000-0000-0000BD2A0000}"/>
    <cellStyle name="Total 2 2 4 3 2 2 2 3" xfId="4206" xr:uid="{00000000-0005-0000-0000-0000BE2A0000}"/>
    <cellStyle name="Total 2 2 4 3 2 2 2 3 2" xfId="10036" xr:uid="{00000000-0005-0000-0000-0000BF2A0000}"/>
    <cellStyle name="Total 2 2 4 3 2 2 2 4" xfId="5602" xr:uid="{00000000-0005-0000-0000-0000C02A0000}"/>
    <cellStyle name="Total 2 2 4 3 2 2 2 4 2" xfId="11432" xr:uid="{00000000-0005-0000-0000-0000C12A0000}"/>
    <cellStyle name="Total 2 2 4 3 2 2 2 5" xfId="7097" xr:uid="{00000000-0005-0000-0000-0000C22A0000}"/>
    <cellStyle name="Total 2 2 4 3 2 2 3" xfId="2054" xr:uid="{00000000-0005-0000-0000-0000C32A0000}"/>
    <cellStyle name="Total 2 2 4 3 2 2 3 2" xfId="7884" xr:uid="{00000000-0005-0000-0000-0000C42A0000}"/>
    <cellStyle name="Total 2 2 4 3 2 2 4" xfId="3481" xr:uid="{00000000-0005-0000-0000-0000C52A0000}"/>
    <cellStyle name="Total 2 2 4 3 2 2 4 2" xfId="9311" xr:uid="{00000000-0005-0000-0000-0000C62A0000}"/>
    <cellStyle name="Total 2 2 4 3 2 2 5" xfId="4878" xr:uid="{00000000-0005-0000-0000-0000C72A0000}"/>
    <cellStyle name="Total 2 2 4 3 2 2 5 2" xfId="10708" xr:uid="{00000000-0005-0000-0000-0000C82A0000}"/>
    <cellStyle name="Total 2 2 4 3 2 2 6" xfId="6373" xr:uid="{00000000-0005-0000-0000-0000C92A0000}"/>
    <cellStyle name="Total 2 2 4 3 2 3" xfId="776" xr:uid="{00000000-0005-0000-0000-0000CA2A0000}"/>
    <cellStyle name="Total 2 2 4 3 2 3 2" xfId="1507" xr:uid="{00000000-0005-0000-0000-0000CB2A0000}"/>
    <cellStyle name="Total 2 2 4 3 2 3 2 2" xfId="3023" xr:uid="{00000000-0005-0000-0000-0000CC2A0000}"/>
    <cellStyle name="Total 2 2 4 3 2 3 2 2 2" xfId="8853" xr:uid="{00000000-0005-0000-0000-0000CD2A0000}"/>
    <cellStyle name="Total 2 2 4 3 2 3 2 3" xfId="4446" xr:uid="{00000000-0005-0000-0000-0000CE2A0000}"/>
    <cellStyle name="Total 2 2 4 3 2 3 2 3 2" xfId="10276" xr:uid="{00000000-0005-0000-0000-0000CF2A0000}"/>
    <cellStyle name="Total 2 2 4 3 2 3 2 4" xfId="5842" xr:uid="{00000000-0005-0000-0000-0000D02A0000}"/>
    <cellStyle name="Total 2 2 4 3 2 3 2 4 2" xfId="11672" xr:uid="{00000000-0005-0000-0000-0000D12A0000}"/>
    <cellStyle name="Total 2 2 4 3 2 3 2 5" xfId="7337" xr:uid="{00000000-0005-0000-0000-0000D22A0000}"/>
    <cellStyle name="Total 2 2 4 3 2 3 3" xfId="2296" xr:uid="{00000000-0005-0000-0000-0000D32A0000}"/>
    <cellStyle name="Total 2 2 4 3 2 3 3 2" xfId="8126" xr:uid="{00000000-0005-0000-0000-0000D42A0000}"/>
    <cellStyle name="Total 2 2 4 3 2 3 4" xfId="3722" xr:uid="{00000000-0005-0000-0000-0000D52A0000}"/>
    <cellStyle name="Total 2 2 4 3 2 3 4 2" xfId="9552" xr:uid="{00000000-0005-0000-0000-0000D62A0000}"/>
    <cellStyle name="Total 2 2 4 3 2 3 5" xfId="5118" xr:uid="{00000000-0005-0000-0000-0000D72A0000}"/>
    <cellStyle name="Total 2 2 4 3 2 3 5 2" xfId="10948" xr:uid="{00000000-0005-0000-0000-0000D82A0000}"/>
    <cellStyle name="Total 2 2 4 3 2 3 6" xfId="6613" xr:uid="{00000000-0005-0000-0000-0000D92A0000}"/>
    <cellStyle name="Total 2 2 4 3 2 4" xfId="1020" xr:uid="{00000000-0005-0000-0000-0000DA2A0000}"/>
    <cellStyle name="Total 2 2 4 3 2 4 2" xfId="2540" xr:uid="{00000000-0005-0000-0000-0000DB2A0000}"/>
    <cellStyle name="Total 2 2 4 3 2 4 2 2" xfId="8370" xr:uid="{00000000-0005-0000-0000-0000DC2A0000}"/>
    <cellStyle name="Total 2 2 4 3 2 4 3" xfId="3966" xr:uid="{00000000-0005-0000-0000-0000DD2A0000}"/>
    <cellStyle name="Total 2 2 4 3 2 4 3 2" xfId="9796" xr:uid="{00000000-0005-0000-0000-0000DE2A0000}"/>
    <cellStyle name="Total 2 2 4 3 2 4 4" xfId="5362" xr:uid="{00000000-0005-0000-0000-0000DF2A0000}"/>
    <cellStyle name="Total 2 2 4 3 2 4 4 2" xfId="11192" xr:uid="{00000000-0005-0000-0000-0000E02A0000}"/>
    <cellStyle name="Total 2 2 4 3 2 4 5" xfId="6857" xr:uid="{00000000-0005-0000-0000-0000E12A0000}"/>
    <cellStyle name="Total 2 2 4 3 2 5" xfId="1794" xr:uid="{00000000-0005-0000-0000-0000E22A0000}"/>
    <cellStyle name="Total 2 2 4 3 2 5 2" xfId="7624" xr:uid="{00000000-0005-0000-0000-0000E32A0000}"/>
    <cellStyle name="Total 2 2 4 3 2 6" xfId="3225" xr:uid="{00000000-0005-0000-0000-0000E42A0000}"/>
    <cellStyle name="Total 2 2 4 3 2 6 2" xfId="9055" xr:uid="{00000000-0005-0000-0000-0000E52A0000}"/>
    <cellStyle name="Total 2 2 4 3 2 7" xfId="4637" xr:uid="{00000000-0005-0000-0000-0000E62A0000}"/>
    <cellStyle name="Total 2 2 4 3 2 7 2" xfId="10467" xr:uid="{00000000-0005-0000-0000-0000E72A0000}"/>
    <cellStyle name="Total 2 2 4 3 2 8" xfId="6132" xr:uid="{00000000-0005-0000-0000-0000E82A0000}"/>
    <cellStyle name="Total 2 2 4 3 3" xfId="333" xr:uid="{00000000-0005-0000-0000-0000E92A0000}"/>
    <cellStyle name="Total 2 2 4 3 3 2" xfId="612" xr:uid="{00000000-0005-0000-0000-0000EA2A0000}"/>
    <cellStyle name="Total 2 2 4 3 3 2 2" xfId="1347" xr:uid="{00000000-0005-0000-0000-0000EB2A0000}"/>
    <cellStyle name="Total 2 2 4 3 3 2 2 2" xfId="2863" xr:uid="{00000000-0005-0000-0000-0000EC2A0000}"/>
    <cellStyle name="Total 2 2 4 3 3 2 2 2 2" xfId="8693" xr:uid="{00000000-0005-0000-0000-0000ED2A0000}"/>
    <cellStyle name="Total 2 2 4 3 3 2 2 3" xfId="4286" xr:uid="{00000000-0005-0000-0000-0000EE2A0000}"/>
    <cellStyle name="Total 2 2 4 3 3 2 2 3 2" xfId="10116" xr:uid="{00000000-0005-0000-0000-0000EF2A0000}"/>
    <cellStyle name="Total 2 2 4 3 3 2 2 4" xfId="5682" xr:uid="{00000000-0005-0000-0000-0000F02A0000}"/>
    <cellStyle name="Total 2 2 4 3 3 2 2 4 2" xfId="11512" xr:uid="{00000000-0005-0000-0000-0000F12A0000}"/>
    <cellStyle name="Total 2 2 4 3 3 2 2 5" xfId="7177" xr:uid="{00000000-0005-0000-0000-0000F22A0000}"/>
    <cellStyle name="Total 2 2 4 3 3 2 3" xfId="2134" xr:uid="{00000000-0005-0000-0000-0000F32A0000}"/>
    <cellStyle name="Total 2 2 4 3 3 2 3 2" xfId="7964" xr:uid="{00000000-0005-0000-0000-0000F42A0000}"/>
    <cellStyle name="Total 2 2 4 3 3 2 4" xfId="3561" xr:uid="{00000000-0005-0000-0000-0000F52A0000}"/>
    <cellStyle name="Total 2 2 4 3 3 2 4 2" xfId="9391" xr:uid="{00000000-0005-0000-0000-0000F62A0000}"/>
    <cellStyle name="Total 2 2 4 3 3 2 5" xfId="4958" xr:uid="{00000000-0005-0000-0000-0000F72A0000}"/>
    <cellStyle name="Total 2 2 4 3 3 2 5 2" xfId="10788" xr:uid="{00000000-0005-0000-0000-0000F82A0000}"/>
    <cellStyle name="Total 2 2 4 3 3 2 6" xfId="6453" xr:uid="{00000000-0005-0000-0000-0000F92A0000}"/>
    <cellStyle name="Total 2 2 4 3 3 3" xfId="856" xr:uid="{00000000-0005-0000-0000-0000FA2A0000}"/>
    <cellStyle name="Total 2 2 4 3 3 3 2" xfId="1587" xr:uid="{00000000-0005-0000-0000-0000FB2A0000}"/>
    <cellStyle name="Total 2 2 4 3 3 3 2 2" xfId="3103" xr:uid="{00000000-0005-0000-0000-0000FC2A0000}"/>
    <cellStyle name="Total 2 2 4 3 3 3 2 2 2" xfId="8933" xr:uid="{00000000-0005-0000-0000-0000FD2A0000}"/>
    <cellStyle name="Total 2 2 4 3 3 3 2 3" xfId="4526" xr:uid="{00000000-0005-0000-0000-0000FE2A0000}"/>
    <cellStyle name="Total 2 2 4 3 3 3 2 3 2" xfId="10356" xr:uid="{00000000-0005-0000-0000-0000FF2A0000}"/>
    <cellStyle name="Total 2 2 4 3 3 3 2 4" xfId="5922" xr:uid="{00000000-0005-0000-0000-0000002B0000}"/>
    <cellStyle name="Total 2 2 4 3 3 3 2 4 2" xfId="11752" xr:uid="{00000000-0005-0000-0000-0000012B0000}"/>
    <cellStyle name="Total 2 2 4 3 3 3 2 5" xfId="7417" xr:uid="{00000000-0005-0000-0000-0000022B0000}"/>
    <cellStyle name="Total 2 2 4 3 3 3 3" xfId="2376" xr:uid="{00000000-0005-0000-0000-0000032B0000}"/>
    <cellStyle name="Total 2 2 4 3 3 3 3 2" xfId="8206" xr:uid="{00000000-0005-0000-0000-0000042B0000}"/>
    <cellStyle name="Total 2 2 4 3 3 3 4" xfId="3802" xr:uid="{00000000-0005-0000-0000-0000052B0000}"/>
    <cellStyle name="Total 2 2 4 3 3 3 4 2" xfId="9632" xr:uid="{00000000-0005-0000-0000-0000062B0000}"/>
    <cellStyle name="Total 2 2 4 3 3 3 5" xfId="5198" xr:uid="{00000000-0005-0000-0000-0000072B0000}"/>
    <cellStyle name="Total 2 2 4 3 3 3 5 2" xfId="11028" xr:uid="{00000000-0005-0000-0000-0000082B0000}"/>
    <cellStyle name="Total 2 2 4 3 3 3 6" xfId="6693" xr:uid="{00000000-0005-0000-0000-0000092B0000}"/>
    <cellStyle name="Total 2 2 4 3 3 4" xfId="1100" xr:uid="{00000000-0005-0000-0000-00000A2B0000}"/>
    <cellStyle name="Total 2 2 4 3 3 4 2" xfId="2620" xr:uid="{00000000-0005-0000-0000-00000B2B0000}"/>
    <cellStyle name="Total 2 2 4 3 3 4 2 2" xfId="8450" xr:uid="{00000000-0005-0000-0000-00000C2B0000}"/>
    <cellStyle name="Total 2 2 4 3 3 4 3" xfId="4046" xr:uid="{00000000-0005-0000-0000-00000D2B0000}"/>
    <cellStyle name="Total 2 2 4 3 3 4 3 2" xfId="9876" xr:uid="{00000000-0005-0000-0000-00000E2B0000}"/>
    <cellStyle name="Total 2 2 4 3 3 4 4" xfId="5442" xr:uid="{00000000-0005-0000-0000-00000F2B0000}"/>
    <cellStyle name="Total 2 2 4 3 3 4 4 2" xfId="11272" xr:uid="{00000000-0005-0000-0000-0000102B0000}"/>
    <cellStyle name="Total 2 2 4 3 3 4 5" xfId="6937" xr:uid="{00000000-0005-0000-0000-0000112B0000}"/>
    <cellStyle name="Total 2 2 4 3 3 5" xfId="1874" xr:uid="{00000000-0005-0000-0000-0000122B0000}"/>
    <cellStyle name="Total 2 2 4 3 3 5 2" xfId="7704" xr:uid="{00000000-0005-0000-0000-0000132B0000}"/>
    <cellStyle name="Total 2 2 4 3 3 6" xfId="3305" xr:uid="{00000000-0005-0000-0000-0000142B0000}"/>
    <cellStyle name="Total 2 2 4 3 3 6 2" xfId="9135" xr:uid="{00000000-0005-0000-0000-0000152B0000}"/>
    <cellStyle name="Total 2 2 4 3 3 7" xfId="4717" xr:uid="{00000000-0005-0000-0000-0000162B0000}"/>
    <cellStyle name="Total 2 2 4 3 3 7 2" xfId="10547" xr:uid="{00000000-0005-0000-0000-0000172B0000}"/>
    <cellStyle name="Total 2 2 4 3 3 8" xfId="6212" xr:uid="{00000000-0005-0000-0000-0000182B0000}"/>
    <cellStyle name="Total 2 2 4 3 4" xfId="452" xr:uid="{00000000-0005-0000-0000-0000192B0000}"/>
    <cellStyle name="Total 2 2 4 3 4 2" xfId="1187" xr:uid="{00000000-0005-0000-0000-00001A2B0000}"/>
    <cellStyle name="Total 2 2 4 3 4 2 2" xfId="2703" xr:uid="{00000000-0005-0000-0000-00001B2B0000}"/>
    <cellStyle name="Total 2 2 4 3 4 2 2 2" xfId="8533" xr:uid="{00000000-0005-0000-0000-00001C2B0000}"/>
    <cellStyle name="Total 2 2 4 3 4 2 3" xfId="4126" xr:uid="{00000000-0005-0000-0000-00001D2B0000}"/>
    <cellStyle name="Total 2 2 4 3 4 2 3 2" xfId="9956" xr:uid="{00000000-0005-0000-0000-00001E2B0000}"/>
    <cellStyle name="Total 2 2 4 3 4 2 4" xfId="5522" xr:uid="{00000000-0005-0000-0000-00001F2B0000}"/>
    <cellStyle name="Total 2 2 4 3 4 2 4 2" xfId="11352" xr:uid="{00000000-0005-0000-0000-0000202B0000}"/>
    <cellStyle name="Total 2 2 4 3 4 2 5" xfId="7017" xr:uid="{00000000-0005-0000-0000-0000212B0000}"/>
    <cellStyle name="Total 2 2 4 3 4 3" xfId="1974" xr:uid="{00000000-0005-0000-0000-0000222B0000}"/>
    <cellStyle name="Total 2 2 4 3 4 3 2" xfId="7804" xr:uid="{00000000-0005-0000-0000-0000232B0000}"/>
    <cellStyle name="Total 2 2 4 3 4 4" xfId="3401" xr:uid="{00000000-0005-0000-0000-0000242B0000}"/>
    <cellStyle name="Total 2 2 4 3 4 4 2" xfId="9231" xr:uid="{00000000-0005-0000-0000-0000252B0000}"/>
    <cellStyle name="Total 2 2 4 3 4 5" xfId="4798" xr:uid="{00000000-0005-0000-0000-0000262B0000}"/>
    <cellStyle name="Total 2 2 4 3 4 5 2" xfId="10628" xr:uid="{00000000-0005-0000-0000-0000272B0000}"/>
    <cellStyle name="Total 2 2 4 3 4 6" xfId="6293" xr:uid="{00000000-0005-0000-0000-0000282B0000}"/>
    <cellStyle name="Total 2 2 4 3 5" xfId="696" xr:uid="{00000000-0005-0000-0000-0000292B0000}"/>
    <cellStyle name="Total 2 2 4 3 5 2" xfId="1427" xr:uid="{00000000-0005-0000-0000-00002A2B0000}"/>
    <cellStyle name="Total 2 2 4 3 5 2 2" xfId="2943" xr:uid="{00000000-0005-0000-0000-00002B2B0000}"/>
    <cellStyle name="Total 2 2 4 3 5 2 2 2" xfId="8773" xr:uid="{00000000-0005-0000-0000-00002C2B0000}"/>
    <cellStyle name="Total 2 2 4 3 5 2 3" xfId="4366" xr:uid="{00000000-0005-0000-0000-00002D2B0000}"/>
    <cellStyle name="Total 2 2 4 3 5 2 3 2" xfId="10196" xr:uid="{00000000-0005-0000-0000-00002E2B0000}"/>
    <cellStyle name="Total 2 2 4 3 5 2 4" xfId="5762" xr:uid="{00000000-0005-0000-0000-00002F2B0000}"/>
    <cellStyle name="Total 2 2 4 3 5 2 4 2" xfId="11592" xr:uid="{00000000-0005-0000-0000-0000302B0000}"/>
    <cellStyle name="Total 2 2 4 3 5 2 5" xfId="7257" xr:uid="{00000000-0005-0000-0000-0000312B0000}"/>
    <cellStyle name="Total 2 2 4 3 5 3" xfId="2216" xr:uid="{00000000-0005-0000-0000-0000322B0000}"/>
    <cellStyle name="Total 2 2 4 3 5 3 2" xfId="8046" xr:uid="{00000000-0005-0000-0000-0000332B0000}"/>
    <cellStyle name="Total 2 2 4 3 5 4" xfId="3642" xr:uid="{00000000-0005-0000-0000-0000342B0000}"/>
    <cellStyle name="Total 2 2 4 3 5 4 2" xfId="9472" xr:uid="{00000000-0005-0000-0000-0000352B0000}"/>
    <cellStyle name="Total 2 2 4 3 5 5" xfId="5038" xr:uid="{00000000-0005-0000-0000-0000362B0000}"/>
    <cellStyle name="Total 2 2 4 3 5 5 2" xfId="10868" xr:uid="{00000000-0005-0000-0000-0000372B0000}"/>
    <cellStyle name="Total 2 2 4 3 5 6" xfId="6533" xr:uid="{00000000-0005-0000-0000-0000382B0000}"/>
    <cellStyle name="Total 2 2 4 3 6" xfId="940" xr:uid="{00000000-0005-0000-0000-0000392B0000}"/>
    <cellStyle name="Total 2 2 4 3 6 2" xfId="2460" xr:uid="{00000000-0005-0000-0000-00003A2B0000}"/>
    <cellStyle name="Total 2 2 4 3 6 2 2" xfId="8290" xr:uid="{00000000-0005-0000-0000-00003B2B0000}"/>
    <cellStyle name="Total 2 2 4 3 6 3" xfId="3886" xr:uid="{00000000-0005-0000-0000-00003C2B0000}"/>
    <cellStyle name="Total 2 2 4 3 6 3 2" xfId="9716" xr:uid="{00000000-0005-0000-0000-00003D2B0000}"/>
    <cellStyle name="Total 2 2 4 3 6 4" xfId="5282" xr:uid="{00000000-0005-0000-0000-00003E2B0000}"/>
    <cellStyle name="Total 2 2 4 3 6 4 2" xfId="11112" xr:uid="{00000000-0005-0000-0000-00003F2B0000}"/>
    <cellStyle name="Total 2 2 4 3 6 5" xfId="6777" xr:uid="{00000000-0005-0000-0000-0000402B0000}"/>
    <cellStyle name="Total 2 2 4 3 7" xfId="1714" xr:uid="{00000000-0005-0000-0000-0000412B0000}"/>
    <cellStyle name="Total 2 2 4 3 7 2" xfId="7544" xr:uid="{00000000-0005-0000-0000-0000422B0000}"/>
    <cellStyle name="Total 2 2 4 3 8" xfId="3145" xr:uid="{00000000-0005-0000-0000-0000432B0000}"/>
    <cellStyle name="Total 2 2 4 3 8 2" xfId="8975" xr:uid="{00000000-0005-0000-0000-0000442B0000}"/>
    <cellStyle name="Total 2 2 4 3 9" xfId="4557" xr:uid="{00000000-0005-0000-0000-0000452B0000}"/>
    <cellStyle name="Total 2 2 4 3 9 2" xfId="10387" xr:uid="{00000000-0005-0000-0000-0000462B0000}"/>
    <cellStyle name="Total 2 2 4 4" xfId="212" xr:uid="{00000000-0005-0000-0000-0000472B0000}"/>
    <cellStyle name="Total 2 2 4 4 2" xfId="492" xr:uid="{00000000-0005-0000-0000-0000482B0000}"/>
    <cellStyle name="Total 2 2 4 4 2 2" xfId="1227" xr:uid="{00000000-0005-0000-0000-0000492B0000}"/>
    <cellStyle name="Total 2 2 4 4 2 2 2" xfId="2743" xr:uid="{00000000-0005-0000-0000-00004A2B0000}"/>
    <cellStyle name="Total 2 2 4 4 2 2 2 2" xfId="8573" xr:uid="{00000000-0005-0000-0000-00004B2B0000}"/>
    <cellStyle name="Total 2 2 4 4 2 2 3" xfId="4166" xr:uid="{00000000-0005-0000-0000-00004C2B0000}"/>
    <cellStyle name="Total 2 2 4 4 2 2 3 2" xfId="9996" xr:uid="{00000000-0005-0000-0000-00004D2B0000}"/>
    <cellStyle name="Total 2 2 4 4 2 2 4" xfId="5562" xr:uid="{00000000-0005-0000-0000-00004E2B0000}"/>
    <cellStyle name="Total 2 2 4 4 2 2 4 2" xfId="11392" xr:uid="{00000000-0005-0000-0000-00004F2B0000}"/>
    <cellStyle name="Total 2 2 4 4 2 2 5" xfId="7057" xr:uid="{00000000-0005-0000-0000-0000502B0000}"/>
    <cellStyle name="Total 2 2 4 4 2 3" xfId="2014" xr:uid="{00000000-0005-0000-0000-0000512B0000}"/>
    <cellStyle name="Total 2 2 4 4 2 3 2" xfId="7844" xr:uid="{00000000-0005-0000-0000-0000522B0000}"/>
    <cellStyle name="Total 2 2 4 4 2 4" xfId="3441" xr:uid="{00000000-0005-0000-0000-0000532B0000}"/>
    <cellStyle name="Total 2 2 4 4 2 4 2" xfId="9271" xr:uid="{00000000-0005-0000-0000-0000542B0000}"/>
    <cellStyle name="Total 2 2 4 4 2 5" xfId="4838" xr:uid="{00000000-0005-0000-0000-0000552B0000}"/>
    <cellStyle name="Total 2 2 4 4 2 5 2" xfId="10668" xr:uid="{00000000-0005-0000-0000-0000562B0000}"/>
    <cellStyle name="Total 2 2 4 4 2 6" xfId="6333" xr:uid="{00000000-0005-0000-0000-0000572B0000}"/>
    <cellStyle name="Total 2 2 4 4 3" xfId="736" xr:uid="{00000000-0005-0000-0000-0000582B0000}"/>
    <cellStyle name="Total 2 2 4 4 3 2" xfId="1467" xr:uid="{00000000-0005-0000-0000-0000592B0000}"/>
    <cellStyle name="Total 2 2 4 4 3 2 2" xfId="2983" xr:uid="{00000000-0005-0000-0000-00005A2B0000}"/>
    <cellStyle name="Total 2 2 4 4 3 2 2 2" xfId="8813" xr:uid="{00000000-0005-0000-0000-00005B2B0000}"/>
    <cellStyle name="Total 2 2 4 4 3 2 3" xfId="4406" xr:uid="{00000000-0005-0000-0000-00005C2B0000}"/>
    <cellStyle name="Total 2 2 4 4 3 2 3 2" xfId="10236" xr:uid="{00000000-0005-0000-0000-00005D2B0000}"/>
    <cellStyle name="Total 2 2 4 4 3 2 4" xfId="5802" xr:uid="{00000000-0005-0000-0000-00005E2B0000}"/>
    <cellStyle name="Total 2 2 4 4 3 2 4 2" xfId="11632" xr:uid="{00000000-0005-0000-0000-00005F2B0000}"/>
    <cellStyle name="Total 2 2 4 4 3 2 5" xfId="7297" xr:uid="{00000000-0005-0000-0000-0000602B0000}"/>
    <cellStyle name="Total 2 2 4 4 3 3" xfId="2256" xr:uid="{00000000-0005-0000-0000-0000612B0000}"/>
    <cellStyle name="Total 2 2 4 4 3 3 2" xfId="8086" xr:uid="{00000000-0005-0000-0000-0000622B0000}"/>
    <cellStyle name="Total 2 2 4 4 3 4" xfId="3682" xr:uid="{00000000-0005-0000-0000-0000632B0000}"/>
    <cellStyle name="Total 2 2 4 4 3 4 2" xfId="9512" xr:uid="{00000000-0005-0000-0000-0000642B0000}"/>
    <cellStyle name="Total 2 2 4 4 3 5" xfId="5078" xr:uid="{00000000-0005-0000-0000-0000652B0000}"/>
    <cellStyle name="Total 2 2 4 4 3 5 2" xfId="10908" xr:uid="{00000000-0005-0000-0000-0000662B0000}"/>
    <cellStyle name="Total 2 2 4 4 3 6" xfId="6573" xr:uid="{00000000-0005-0000-0000-0000672B0000}"/>
    <cellStyle name="Total 2 2 4 4 4" xfId="980" xr:uid="{00000000-0005-0000-0000-0000682B0000}"/>
    <cellStyle name="Total 2 2 4 4 4 2" xfId="2500" xr:uid="{00000000-0005-0000-0000-0000692B0000}"/>
    <cellStyle name="Total 2 2 4 4 4 2 2" xfId="8330" xr:uid="{00000000-0005-0000-0000-00006A2B0000}"/>
    <cellStyle name="Total 2 2 4 4 4 3" xfId="3926" xr:uid="{00000000-0005-0000-0000-00006B2B0000}"/>
    <cellStyle name="Total 2 2 4 4 4 3 2" xfId="9756" xr:uid="{00000000-0005-0000-0000-00006C2B0000}"/>
    <cellStyle name="Total 2 2 4 4 4 4" xfId="5322" xr:uid="{00000000-0005-0000-0000-00006D2B0000}"/>
    <cellStyle name="Total 2 2 4 4 4 4 2" xfId="11152" xr:uid="{00000000-0005-0000-0000-00006E2B0000}"/>
    <cellStyle name="Total 2 2 4 4 4 5" xfId="6817" xr:uid="{00000000-0005-0000-0000-00006F2B0000}"/>
    <cellStyle name="Total 2 2 4 4 5" xfId="1754" xr:uid="{00000000-0005-0000-0000-0000702B0000}"/>
    <cellStyle name="Total 2 2 4 4 5 2" xfId="7584" xr:uid="{00000000-0005-0000-0000-0000712B0000}"/>
    <cellStyle name="Total 2 2 4 4 6" xfId="3185" xr:uid="{00000000-0005-0000-0000-0000722B0000}"/>
    <cellStyle name="Total 2 2 4 4 6 2" xfId="9015" xr:uid="{00000000-0005-0000-0000-0000732B0000}"/>
    <cellStyle name="Total 2 2 4 4 7" xfId="4597" xr:uid="{00000000-0005-0000-0000-0000742B0000}"/>
    <cellStyle name="Total 2 2 4 4 7 2" xfId="10427" xr:uid="{00000000-0005-0000-0000-0000752B0000}"/>
    <cellStyle name="Total 2 2 4 4 8" xfId="6092" xr:uid="{00000000-0005-0000-0000-0000762B0000}"/>
    <cellStyle name="Total 2 2 4 5" xfId="293" xr:uid="{00000000-0005-0000-0000-0000772B0000}"/>
    <cellStyle name="Total 2 2 4 5 2" xfId="572" xr:uid="{00000000-0005-0000-0000-0000782B0000}"/>
    <cellStyle name="Total 2 2 4 5 2 2" xfId="1307" xr:uid="{00000000-0005-0000-0000-0000792B0000}"/>
    <cellStyle name="Total 2 2 4 5 2 2 2" xfId="2823" xr:uid="{00000000-0005-0000-0000-00007A2B0000}"/>
    <cellStyle name="Total 2 2 4 5 2 2 2 2" xfId="8653" xr:uid="{00000000-0005-0000-0000-00007B2B0000}"/>
    <cellStyle name="Total 2 2 4 5 2 2 3" xfId="4246" xr:uid="{00000000-0005-0000-0000-00007C2B0000}"/>
    <cellStyle name="Total 2 2 4 5 2 2 3 2" xfId="10076" xr:uid="{00000000-0005-0000-0000-00007D2B0000}"/>
    <cellStyle name="Total 2 2 4 5 2 2 4" xfId="5642" xr:uid="{00000000-0005-0000-0000-00007E2B0000}"/>
    <cellStyle name="Total 2 2 4 5 2 2 4 2" xfId="11472" xr:uid="{00000000-0005-0000-0000-00007F2B0000}"/>
    <cellStyle name="Total 2 2 4 5 2 2 5" xfId="7137" xr:uid="{00000000-0005-0000-0000-0000802B0000}"/>
    <cellStyle name="Total 2 2 4 5 2 3" xfId="2094" xr:uid="{00000000-0005-0000-0000-0000812B0000}"/>
    <cellStyle name="Total 2 2 4 5 2 3 2" xfId="7924" xr:uid="{00000000-0005-0000-0000-0000822B0000}"/>
    <cellStyle name="Total 2 2 4 5 2 4" xfId="3521" xr:uid="{00000000-0005-0000-0000-0000832B0000}"/>
    <cellStyle name="Total 2 2 4 5 2 4 2" xfId="9351" xr:uid="{00000000-0005-0000-0000-0000842B0000}"/>
    <cellStyle name="Total 2 2 4 5 2 5" xfId="4918" xr:uid="{00000000-0005-0000-0000-0000852B0000}"/>
    <cellStyle name="Total 2 2 4 5 2 5 2" xfId="10748" xr:uid="{00000000-0005-0000-0000-0000862B0000}"/>
    <cellStyle name="Total 2 2 4 5 2 6" xfId="6413" xr:uid="{00000000-0005-0000-0000-0000872B0000}"/>
    <cellStyle name="Total 2 2 4 5 3" xfId="816" xr:uid="{00000000-0005-0000-0000-0000882B0000}"/>
    <cellStyle name="Total 2 2 4 5 3 2" xfId="1547" xr:uid="{00000000-0005-0000-0000-0000892B0000}"/>
    <cellStyle name="Total 2 2 4 5 3 2 2" xfId="3063" xr:uid="{00000000-0005-0000-0000-00008A2B0000}"/>
    <cellStyle name="Total 2 2 4 5 3 2 2 2" xfId="8893" xr:uid="{00000000-0005-0000-0000-00008B2B0000}"/>
    <cellStyle name="Total 2 2 4 5 3 2 3" xfId="4486" xr:uid="{00000000-0005-0000-0000-00008C2B0000}"/>
    <cellStyle name="Total 2 2 4 5 3 2 3 2" xfId="10316" xr:uid="{00000000-0005-0000-0000-00008D2B0000}"/>
    <cellStyle name="Total 2 2 4 5 3 2 4" xfId="5882" xr:uid="{00000000-0005-0000-0000-00008E2B0000}"/>
    <cellStyle name="Total 2 2 4 5 3 2 4 2" xfId="11712" xr:uid="{00000000-0005-0000-0000-00008F2B0000}"/>
    <cellStyle name="Total 2 2 4 5 3 2 5" xfId="7377" xr:uid="{00000000-0005-0000-0000-0000902B0000}"/>
    <cellStyle name="Total 2 2 4 5 3 3" xfId="2336" xr:uid="{00000000-0005-0000-0000-0000912B0000}"/>
    <cellStyle name="Total 2 2 4 5 3 3 2" xfId="8166" xr:uid="{00000000-0005-0000-0000-0000922B0000}"/>
    <cellStyle name="Total 2 2 4 5 3 4" xfId="3762" xr:uid="{00000000-0005-0000-0000-0000932B0000}"/>
    <cellStyle name="Total 2 2 4 5 3 4 2" xfId="9592" xr:uid="{00000000-0005-0000-0000-0000942B0000}"/>
    <cellStyle name="Total 2 2 4 5 3 5" xfId="5158" xr:uid="{00000000-0005-0000-0000-0000952B0000}"/>
    <cellStyle name="Total 2 2 4 5 3 5 2" xfId="10988" xr:uid="{00000000-0005-0000-0000-0000962B0000}"/>
    <cellStyle name="Total 2 2 4 5 3 6" xfId="6653" xr:uid="{00000000-0005-0000-0000-0000972B0000}"/>
    <cellStyle name="Total 2 2 4 5 4" xfId="1060" xr:uid="{00000000-0005-0000-0000-0000982B0000}"/>
    <cellStyle name="Total 2 2 4 5 4 2" xfId="2580" xr:uid="{00000000-0005-0000-0000-0000992B0000}"/>
    <cellStyle name="Total 2 2 4 5 4 2 2" xfId="8410" xr:uid="{00000000-0005-0000-0000-00009A2B0000}"/>
    <cellStyle name="Total 2 2 4 5 4 3" xfId="4006" xr:uid="{00000000-0005-0000-0000-00009B2B0000}"/>
    <cellStyle name="Total 2 2 4 5 4 3 2" xfId="9836" xr:uid="{00000000-0005-0000-0000-00009C2B0000}"/>
    <cellStyle name="Total 2 2 4 5 4 4" xfId="5402" xr:uid="{00000000-0005-0000-0000-00009D2B0000}"/>
    <cellStyle name="Total 2 2 4 5 4 4 2" xfId="11232" xr:uid="{00000000-0005-0000-0000-00009E2B0000}"/>
    <cellStyle name="Total 2 2 4 5 4 5" xfId="6897" xr:uid="{00000000-0005-0000-0000-00009F2B0000}"/>
    <cellStyle name="Total 2 2 4 5 5" xfId="1834" xr:uid="{00000000-0005-0000-0000-0000A02B0000}"/>
    <cellStyle name="Total 2 2 4 5 5 2" xfId="7664" xr:uid="{00000000-0005-0000-0000-0000A12B0000}"/>
    <cellStyle name="Total 2 2 4 5 6" xfId="3265" xr:uid="{00000000-0005-0000-0000-0000A22B0000}"/>
    <cellStyle name="Total 2 2 4 5 6 2" xfId="9095" xr:uid="{00000000-0005-0000-0000-0000A32B0000}"/>
    <cellStyle name="Total 2 2 4 5 7" xfId="4677" xr:uid="{00000000-0005-0000-0000-0000A42B0000}"/>
    <cellStyle name="Total 2 2 4 5 7 2" xfId="10507" xr:uid="{00000000-0005-0000-0000-0000A52B0000}"/>
    <cellStyle name="Total 2 2 4 5 8" xfId="6172" xr:uid="{00000000-0005-0000-0000-0000A62B0000}"/>
    <cellStyle name="Total 2 2 4 6" xfId="412" xr:uid="{00000000-0005-0000-0000-0000A72B0000}"/>
    <cellStyle name="Total 2 2 4 6 2" xfId="1147" xr:uid="{00000000-0005-0000-0000-0000A82B0000}"/>
    <cellStyle name="Total 2 2 4 6 2 2" xfId="2663" xr:uid="{00000000-0005-0000-0000-0000A92B0000}"/>
    <cellStyle name="Total 2 2 4 6 2 2 2" xfId="8493" xr:uid="{00000000-0005-0000-0000-0000AA2B0000}"/>
    <cellStyle name="Total 2 2 4 6 2 3" xfId="4086" xr:uid="{00000000-0005-0000-0000-0000AB2B0000}"/>
    <cellStyle name="Total 2 2 4 6 2 3 2" xfId="9916" xr:uid="{00000000-0005-0000-0000-0000AC2B0000}"/>
    <cellStyle name="Total 2 2 4 6 2 4" xfId="5482" xr:uid="{00000000-0005-0000-0000-0000AD2B0000}"/>
    <cellStyle name="Total 2 2 4 6 2 4 2" xfId="11312" xr:uid="{00000000-0005-0000-0000-0000AE2B0000}"/>
    <cellStyle name="Total 2 2 4 6 2 5" xfId="6977" xr:uid="{00000000-0005-0000-0000-0000AF2B0000}"/>
    <cellStyle name="Total 2 2 4 6 3" xfId="1934" xr:uid="{00000000-0005-0000-0000-0000B02B0000}"/>
    <cellStyle name="Total 2 2 4 6 3 2" xfId="7764" xr:uid="{00000000-0005-0000-0000-0000B12B0000}"/>
    <cellStyle name="Total 2 2 4 6 4" xfId="3361" xr:uid="{00000000-0005-0000-0000-0000B22B0000}"/>
    <cellStyle name="Total 2 2 4 6 4 2" xfId="9191" xr:uid="{00000000-0005-0000-0000-0000B32B0000}"/>
    <cellStyle name="Total 2 2 4 6 5" xfId="4758" xr:uid="{00000000-0005-0000-0000-0000B42B0000}"/>
    <cellStyle name="Total 2 2 4 6 5 2" xfId="10588" xr:uid="{00000000-0005-0000-0000-0000B52B0000}"/>
    <cellStyle name="Total 2 2 4 6 6" xfId="6253" xr:uid="{00000000-0005-0000-0000-0000B62B0000}"/>
    <cellStyle name="Total 2 2 4 7" xfId="656" xr:uid="{00000000-0005-0000-0000-0000B72B0000}"/>
    <cellStyle name="Total 2 2 4 7 2" xfId="1387" xr:uid="{00000000-0005-0000-0000-0000B82B0000}"/>
    <cellStyle name="Total 2 2 4 7 2 2" xfId="2903" xr:uid="{00000000-0005-0000-0000-0000B92B0000}"/>
    <cellStyle name="Total 2 2 4 7 2 2 2" xfId="8733" xr:uid="{00000000-0005-0000-0000-0000BA2B0000}"/>
    <cellStyle name="Total 2 2 4 7 2 3" xfId="4326" xr:uid="{00000000-0005-0000-0000-0000BB2B0000}"/>
    <cellStyle name="Total 2 2 4 7 2 3 2" xfId="10156" xr:uid="{00000000-0005-0000-0000-0000BC2B0000}"/>
    <cellStyle name="Total 2 2 4 7 2 4" xfId="5722" xr:uid="{00000000-0005-0000-0000-0000BD2B0000}"/>
    <cellStyle name="Total 2 2 4 7 2 4 2" xfId="11552" xr:uid="{00000000-0005-0000-0000-0000BE2B0000}"/>
    <cellStyle name="Total 2 2 4 7 2 5" xfId="7217" xr:uid="{00000000-0005-0000-0000-0000BF2B0000}"/>
    <cellStyle name="Total 2 2 4 7 3" xfId="2176" xr:uid="{00000000-0005-0000-0000-0000C02B0000}"/>
    <cellStyle name="Total 2 2 4 7 3 2" xfId="8006" xr:uid="{00000000-0005-0000-0000-0000C12B0000}"/>
    <cellStyle name="Total 2 2 4 7 4" xfId="3602" xr:uid="{00000000-0005-0000-0000-0000C22B0000}"/>
    <cellStyle name="Total 2 2 4 7 4 2" xfId="9432" xr:uid="{00000000-0005-0000-0000-0000C32B0000}"/>
    <cellStyle name="Total 2 2 4 7 5" xfId="4998" xr:uid="{00000000-0005-0000-0000-0000C42B0000}"/>
    <cellStyle name="Total 2 2 4 7 5 2" xfId="10828" xr:uid="{00000000-0005-0000-0000-0000C52B0000}"/>
    <cellStyle name="Total 2 2 4 7 6" xfId="6493" xr:uid="{00000000-0005-0000-0000-0000C62B0000}"/>
    <cellStyle name="Total 2 2 4 8" xfId="900" xr:uid="{00000000-0005-0000-0000-0000C72B0000}"/>
    <cellStyle name="Total 2 2 4 8 2" xfId="2420" xr:uid="{00000000-0005-0000-0000-0000C82B0000}"/>
    <cellStyle name="Total 2 2 4 8 2 2" xfId="8250" xr:uid="{00000000-0005-0000-0000-0000C92B0000}"/>
    <cellStyle name="Total 2 2 4 8 3" xfId="3846" xr:uid="{00000000-0005-0000-0000-0000CA2B0000}"/>
    <cellStyle name="Total 2 2 4 8 3 2" xfId="9676" xr:uid="{00000000-0005-0000-0000-0000CB2B0000}"/>
    <cellStyle name="Total 2 2 4 8 4" xfId="5242" xr:uid="{00000000-0005-0000-0000-0000CC2B0000}"/>
    <cellStyle name="Total 2 2 4 8 4 2" xfId="11072" xr:uid="{00000000-0005-0000-0000-0000CD2B0000}"/>
    <cellStyle name="Total 2 2 4 8 5" xfId="6737" xr:uid="{00000000-0005-0000-0000-0000CE2B0000}"/>
    <cellStyle name="Total 2 2 4 9" xfId="1674" xr:uid="{00000000-0005-0000-0000-0000CF2B0000}"/>
    <cellStyle name="Total 2 2 4 9 2" xfId="7504" xr:uid="{00000000-0005-0000-0000-0000D02B0000}"/>
    <cellStyle name="Total 2 2 5" xfId="136" xr:uid="{00000000-0005-0000-0000-0000D12B0000}"/>
    <cellStyle name="Total 2 2 5 10" xfId="1649" xr:uid="{00000000-0005-0000-0000-0000D22B0000}"/>
    <cellStyle name="Total 2 2 5 10 2" xfId="7479" xr:uid="{00000000-0005-0000-0000-0000D32B0000}"/>
    <cellStyle name="Total 2 2 5 11" xfId="6017" xr:uid="{00000000-0005-0000-0000-0000D42B0000}"/>
    <cellStyle name="Total 2 2 5 2" xfId="177" xr:uid="{00000000-0005-0000-0000-0000D52B0000}"/>
    <cellStyle name="Total 2 2 5 2 10" xfId="6057" xr:uid="{00000000-0005-0000-0000-0000D62B0000}"/>
    <cellStyle name="Total 2 2 5 2 2" xfId="258" xr:uid="{00000000-0005-0000-0000-0000D72B0000}"/>
    <cellStyle name="Total 2 2 5 2 2 2" xfId="537" xr:uid="{00000000-0005-0000-0000-0000D82B0000}"/>
    <cellStyle name="Total 2 2 5 2 2 2 2" xfId="1272" xr:uid="{00000000-0005-0000-0000-0000D92B0000}"/>
    <cellStyle name="Total 2 2 5 2 2 2 2 2" xfId="2788" xr:uid="{00000000-0005-0000-0000-0000DA2B0000}"/>
    <cellStyle name="Total 2 2 5 2 2 2 2 2 2" xfId="8618" xr:uid="{00000000-0005-0000-0000-0000DB2B0000}"/>
    <cellStyle name="Total 2 2 5 2 2 2 2 3" xfId="4211" xr:uid="{00000000-0005-0000-0000-0000DC2B0000}"/>
    <cellStyle name="Total 2 2 5 2 2 2 2 3 2" xfId="10041" xr:uid="{00000000-0005-0000-0000-0000DD2B0000}"/>
    <cellStyle name="Total 2 2 5 2 2 2 2 4" xfId="5607" xr:uid="{00000000-0005-0000-0000-0000DE2B0000}"/>
    <cellStyle name="Total 2 2 5 2 2 2 2 4 2" xfId="11437" xr:uid="{00000000-0005-0000-0000-0000DF2B0000}"/>
    <cellStyle name="Total 2 2 5 2 2 2 2 5" xfId="7102" xr:uid="{00000000-0005-0000-0000-0000E02B0000}"/>
    <cellStyle name="Total 2 2 5 2 2 2 3" xfId="2059" xr:uid="{00000000-0005-0000-0000-0000E12B0000}"/>
    <cellStyle name="Total 2 2 5 2 2 2 3 2" xfId="7889" xr:uid="{00000000-0005-0000-0000-0000E22B0000}"/>
    <cellStyle name="Total 2 2 5 2 2 2 4" xfId="3486" xr:uid="{00000000-0005-0000-0000-0000E32B0000}"/>
    <cellStyle name="Total 2 2 5 2 2 2 4 2" xfId="9316" xr:uid="{00000000-0005-0000-0000-0000E42B0000}"/>
    <cellStyle name="Total 2 2 5 2 2 2 5" xfId="4883" xr:uid="{00000000-0005-0000-0000-0000E52B0000}"/>
    <cellStyle name="Total 2 2 5 2 2 2 5 2" xfId="10713" xr:uid="{00000000-0005-0000-0000-0000E62B0000}"/>
    <cellStyle name="Total 2 2 5 2 2 2 6" xfId="6378" xr:uid="{00000000-0005-0000-0000-0000E72B0000}"/>
    <cellStyle name="Total 2 2 5 2 2 3" xfId="781" xr:uid="{00000000-0005-0000-0000-0000E82B0000}"/>
    <cellStyle name="Total 2 2 5 2 2 3 2" xfId="1512" xr:uid="{00000000-0005-0000-0000-0000E92B0000}"/>
    <cellStyle name="Total 2 2 5 2 2 3 2 2" xfId="3028" xr:uid="{00000000-0005-0000-0000-0000EA2B0000}"/>
    <cellStyle name="Total 2 2 5 2 2 3 2 2 2" xfId="8858" xr:uid="{00000000-0005-0000-0000-0000EB2B0000}"/>
    <cellStyle name="Total 2 2 5 2 2 3 2 3" xfId="4451" xr:uid="{00000000-0005-0000-0000-0000EC2B0000}"/>
    <cellStyle name="Total 2 2 5 2 2 3 2 3 2" xfId="10281" xr:uid="{00000000-0005-0000-0000-0000ED2B0000}"/>
    <cellStyle name="Total 2 2 5 2 2 3 2 4" xfId="5847" xr:uid="{00000000-0005-0000-0000-0000EE2B0000}"/>
    <cellStyle name="Total 2 2 5 2 2 3 2 4 2" xfId="11677" xr:uid="{00000000-0005-0000-0000-0000EF2B0000}"/>
    <cellStyle name="Total 2 2 5 2 2 3 2 5" xfId="7342" xr:uid="{00000000-0005-0000-0000-0000F02B0000}"/>
    <cellStyle name="Total 2 2 5 2 2 3 3" xfId="2301" xr:uid="{00000000-0005-0000-0000-0000F12B0000}"/>
    <cellStyle name="Total 2 2 5 2 2 3 3 2" xfId="8131" xr:uid="{00000000-0005-0000-0000-0000F22B0000}"/>
    <cellStyle name="Total 2 2 5 2 2 3 4" xfId="3727" xr:uid="{00000000-0005-0000-0000-0000F32B0000}"/>
    <cellStyle name="Total 2 2 5 2 2 3 4 2" xfId="9557" xr:uid="{00000000-0005-0000-0000-0000F42B0000}"/>
    <cellStyle name="Total 2 2 5 2 2 3 5" xfId="5123" xr:uid="{00000000-0005-0000-0000-0000F52B0000}"/>
    <cellStyle name="Total 2 2 5 2 2 3 5 2" xfId="10953" xr:uid="{00000000-0005-0000-0000-0000F62B0000}"/>
    <cellStyle name="Total 2 2 5 2 2 3 6" xfId="6618" xr:uid="{00000000-0005-0000-0000-0000F72B0000}"/>
    <cellStyle name="Total 2 2 5 2 2 4" xfId="1025" xr:uid="{00000000-0005-0000-0000-0000F82B0000}"/>
    <cellStyle name="Total 2 2 5 2 2 4 2" xfId="2545" xr:uid="{00000000-0005-0000-0000-0000F92B0000}"/>
    <cellStyle name="Total 2 2 5 2 2 4 2 2" xfId="8375" xr:uid="{00000000-0005-0000-0000-0000FA2B0000}"/>
    <cellStyle name="Total 2 2 5 2 2 4 3" xfId="3971" xr:uid="{00000000-0005-0000-0000-0000FB2B0000}"/>
    <cellStyle name="Total 2 2 5 2 2 4 3 2" xfId="9801" xr:uid="{00000000-0005-0000-0000-0000FC2B0000}"/>
    <cellStyle name="Total 2 2 5 2 2 4 4" xfId="5367" xr:uid="{00000000-0005-0000-0000-0000FD2B0000}"/>
    <cellStyle name="Total 2 2 5 2 2 4 4 2" xfId="11197" xr:uid="{00000000-0005-0000-0000-0000FE2B0000}"/>
    <cellStyle name="Total 2 2 5 2 2 4 5" xfId="6862" xr:uid="{00000000-0005-0000-0000-0000FF2B0000}"/>
    <cellStyle name="Total 2 2 5 2 2 5" xfId="1799" xr:uid="{00000000-0005-0000-0000-0000002C0000}"/>
    <cellStyle name="Total 2 2 5 2 2 5 2" xfId="7629" xr:uid="{00000000-0005-0000-0000-0000012C0000}"/>
    <cellStyle name="Total 2 2 5 2 2 6" xfId="3230" xr:uid="{00000000-0005-0000-0000-0000022C0000}"/>
    <cellStyle name="Total 2 2 5 2 2 6 2" xfId="9060" xr:uid="{00000000-0005-0000-0000-0000032C0000}"/>
    <cellStyle name="Total 2 2 5 2 2 7" xfId="4642" xr:uid="{00000000-0005-0000-0000-0000042C0000}"/>
    <cellStyle name="Total 2 2 5 2 2 7 2" xfId="10472" xr:uid="{00000000-0005-0000-0000-0000052C0000}"/>
    <cellStyle name="Total 2 2 5 2 2 8" xfId="6137" xr:uid="{00000000-0005-0000-0000-0000062C0000}"/>
    <cellStyle name="Total 2 2 5 2 3" xfId="338" xr:uid="{00000000-0005-0000-0000-0000072C0000}"/>
    <cellStyle name="Total 2 2 5 2 3 2" xfId="617" xr:uid="{00000000-0005-0000-0000-0000082C0000}"/>
    <cellStyle name="Total 2 2 5 2 3 2 2" xfId="1352" xr:uid="{00000000-0005-0000-0000-0000092C0000}"/>
    <cellStyle name="Total 2 2 5 2 3 2 2 2" xfId="2868" xr:uid="{00000000-0005-0000-0000-00000A2C0000}"/>
    <cellStyle name="Total 2 2 5 2 3 2 2 2 2" xfId="8698" xr:uid="{00000000-0005-0000-0000-00000B2C0000}"/>
    <cellStyle name="Total 2 2 5 2 3 2 2 3" xfId="4291" xr:uid="{00000000-0005-0000-0000-00000C2C0000}"/>
    <cellStyle name="Total 2 2 5 2 3 2 2 3 2" xfId="10121" xr:uid="{00000000-0005-0000-0000-00000D2C0000}"/>
    <cellStyle name="Total 2 2 5 2 3 2 2 4" xfId="5687" xr:uid="{00000000-0005-0000-0000-00000E2C0000}"/>
    <cellStyle name="Total 2 2 5 2 3 2 2 4 2" xfId="11517" xr:uid="{00000000-0005-0000-0000-00000F2C0000}"/>
    <cellStyle name="Total 2 2 5 2 3 2 2 5" xfId="7182" xr:uid="{00000000-0005-0000-0000-0000102C0000}"/>
    <cellStyle name="Total 2 2 5 2 3 2 3" xfId="2139" xr:uid="{00000000-0005-0000-0000-0000112C0000}"/>
    <cellStyle name="Total 2 2 5 2 3 2 3 2" xfId="7969" xr:uid="{00000000-0005-0000-0000-0000122C0000}"/>
    <cellStyle name="Total 2 2 5 2 3 2 4" xfId="3566" xr:uid="{00000000-0005-0000-0000-0000132C0000}"/>
    <cellStyle name="Total 2 2 5 2 3 2 4 2" xfId="9396" xr:uid="{00000000-0005-0000-0000-0000142C0000}"/>
    <cellStyle name="Total 2 2 5 2 3 2 5" xfId="4963" xr:uid="{00000000-0005-0000-0000-0000152C0000}"/>
    <cellStyle name="Total 2 2 5 2 3 2 5 2" xfId="10793" xr:uid="{00000000-0005-0000-0000-0000162C0000}"/>
    <cellStyle name="Total 2 2 5 2 3 2 6" xfId="6458" xr:uid="{00000000-0005-0000-0000-0000172C0000}"/>
    <cellStyle name="Total 2 2 5 2 3 3" xfId="861" xr:uid="{00000000-0005-0000-0000-0000182C0000}"/>
    <cellStyle name="Total 2 2 5 2 3 3 2" xfId="1592" xr:uid="{00000000-0005-0000-0000-0000192C0000}"/>
    <cellStyle name="Total 2 2 5 2 3 3 2 2" xfId="3108" xr:uid="{00000000-0005-0000-0000-00001A2C0000}"/>
    <cellStyle name="Total 2 2 5 2 3 3 2 2 2" xfId="8938" xr:uid="{00000000-0005-0000-0000-00001B2C0000}"/>
    <cellStyle name="Total 2 2 5 2 3 3 2 3" xfId="4531" xr:uid="{00000000-0005-0000-0000-00001C2C0000}"/>
    <cellStyle name="Total 2 2 5 2 3 3 2 3 2" xfId="10361" xr:uid="{00000000-0005-0000-0000-00001D2C0000}"/>
    <cellStyle name="Total 2 2 5 2 3 3 2 4" xfId="5927" xr:uid="{00000000-0005-0000-0000-00001E2C0000}"/>
    <cellStyle name="Total 2 2 5 2 3 3 2 4 2" xfId="11757" xr:uid="{00000000-0005-0000-0000-00001F2C0000}"/>
    <cellStyle name="Total 2 2 5 2 3 3 2 5" xfId="7422" xr:uid="{00000000-0005-0000-0000-0000202C0000}"/>
    <cellStyle name="Total 2 2 5 2 3 3 3" xfId="2381" xr:uid="{00000000-0005-0000-0000-0000212C0000}"/>
    <cellStyle name="Total 2 2 5 2 3 3 3 2" xfId="8211" xr:uid="{00000000-0005-0000-0000-0000222C0000}"/>
    <cellStyle name="Total 2 2 5 2 3 3 4" xfId="3807" xr:uid="{00000000-0005-0000-0000-0000232C0000}"/>
    <cellStyle name="Total 2 2 5 2 3 3 4 2" xfId="9637" xr:uid="{00000000-0005-0000-0000-0000242C0000}"/>
    <cellStyle name="Total 2 2 5 2 3 3 5" xfId="5203" xr:uid="{00000000-0005-0000-0000-0000252C0000}"/>
    <cellStyle name="Total 2 2 5 2 3 3 5 2" xfId="11033" xr:uid="{00000000-0005-0000-0000-0000262C0000}"/>
    <cellStyle name="Total 2 2 5 2 3 3 6" xfId="6698" xr:uid="{00000000-0005-0000-0000-0000272C0000}"/>
    <cellStyle name="Total 2 2 5 2 3 4" xfId="1105" xr:uid="{00000000-0005-0000-0000-0000282C0000}"/>
    <cellStyle name="Total 2 2 5 2 3 4 2" xfId="2625" xr:uid="{00000000-0005-0000-0000-0000292C0000}"/>
    <cellStyle name="Total 2 2 5 2 3 4 2 2" xfId="8455" xr:uid="{00000000-0005-0000-0000-00002A2C0000}"/>
    <cellStyle name="Total 2 2 5 2 3 4 3" xfId="4051" xr:uid="{00000000-0005-0000-0000-00002B2C0000}"/>
    <cellStyle name="Total 2 2 5 2 3 4 3 2" xfId="9881" xr:uid="{00000000-0005-0000-0000-00002C2C0000}"/>
    <cellStyle name="Total 2 2 5 2 3 4 4" xfId="5447" xr:uid="{00000000-0005-0000-0000-00002D2C0000}"/>
    <cellStyle name="Total 2 2 5 2 3 4 4 2" xfId="11277" xr:uid="{00000000-0005-0000-0000-00002E2C0000}"/>
    <cellStyle name="Total 2 2 5 2 3 4 5" xfId="6942" xr:uid="{00000000-0005-0000-0000-00002F2C0000}"/>
    <cellStyle name="Total 2 2 5 2 3 5" xfId="1879" xr:uid="{00000000-0005-0000-0000-0000302C0000}"/>
    <cellStyle name="Total 2 2 5 2 3 5 2" xfId="7709" xr:uid="{00000000-0005-0000-0000-0000312C0000}"/>
    <cellStyle name="Total 2 2 5 2 3 6" xfId="3310" xr:uid="{00000000-0005-0000-0000-0000322C0000}"/>
    <cellStyle name="Total 2 2 5 2 3 6 2" xfId="9140" xr:uid="{00000000-0005-0000-0000-0000332C0000}"/>
    <cellStyle name="Total 2 2 5 2 3 7" xfId="4722" xr:uid="{00000000-0005-0000-0000-0000342C0000}"/>
    <cellStyle name="Total 2 2 5 2 3 7 2" xfId="10552" xr:uid="{00000000-0005-0000-0000-0000352C0000}"/>
    <cellStyle name="Total 2 2 5 2 3 8" xfId="6217" xr:uid="{00000000-0005-0000-0000-0000362C0000}"/>
    <cellStyle name="Total 2 2 5 2 4" xfId="457" xr:uid="{00000000-0005-0000-0000-0000372C0000}"/>
    <cellStyle name="Total 2 2 5 2 4 2" xfId="1192" xr:uid="{00000000-0005-0000-0000-0000382C0000}"/>
    <cellStyle name="Total 2 2 5 2 4 2 2" xfId="2708" xr:uid="{00000000-0005-0000-0000-0000392C0000}"/>
    <cellStyle name="Total 2 2 5 2 4 2 2 2" xfId="8538" xr:uid="{00000000-0005-0000-0000-00003A2C0000}"/>
    <cellStyle name="Total 2 2 5 2 4 2 3" xfId="4131" xr:uid="{00000000-0005-0000-0000-00003B2C0000}"/>
    <cellStyle name="Total 2 2 5 2 4 2 3 2" xfId="9961" xr:uid="{00000000-0005-0000-0000-00003C2C0000}"/>
    <cellStyle name="Total 2 2 5 2 4 2 4" xfId="5527" xr:uid="{00000000-0005-0000-0000-00003D2C0000}"/>
    <cellStyle name="Total 2 2 5 2 4 2 4 2" xfId="11357" xr:uid="{00000000-0005-0000-0000-00003E2C0000}"/>
    <cellStyle name="Total 2 2 5 2 4 2 5" xfId="7022" xr:uid="{00000000-0005-0000-0000-00003F2C0000}"/>
    <cellStyle name="Total 2 2 5 2 4 3" xfId="1979" xr:uid="{00000000-0005-0000-0000-0000402C0000}"/>
    <cellStyle name="Total 2 2 5 2 4 3 2" xfId="7809" xr:uid="{00000000-0005-0000-0000-0000412C0000}"/>
    <cellStyle name="Total 2 2 5 2 4 4" xfId="3406" xr:uid="{00000000-0005-0000-0000-0000422C0000}"/>
    <cellStyle name="Total 2 2 5 2 4 4 2" xfId="9236" xr:uid="{00000000-0005-0000-0000-0000432C0000}"/>
    <cellStyle name="Total 2 2 5 2 4 5" xfId="4803" xr:uid="{00000000-0005-0000-0000-0000442C0000}"/>
    <cellStyle name="Total 2 2 5 2 4 5 2" xfId="10633" xr:uid="{00000000-0005-0000-0000-0000452C0000}"/>
    <cellStyle name="Total 2 2 5 2 4 6" xfId="6298" xr:uid="{00000000-0005-0000-0000-0000462C0000}"/>
    <cellStyle name="Total 2 2 5 2 5" xfId="701" xr:uid="{00000000-0005-0000-0000-0000472C0000}"/>
    <cellStyle name="Total 2 2 5 2 5 2" xfId="1432" xr:uid="{00000000-0005-0000-0000-0000482C0000}"/>
    <cellStyle name="Total 2 2 5 2 5 2 2" xfId="2948" xr:uid="{00000000-0005-0000-0000-0000492C0000}"/>
    <cellStyle name="Total 2 2 5 2 5 2 2 2" xfId="8778" xr:uid="{00000000-0005-0000-0000-00004A2C0000}"/>
    <cellStyle name="Total 2 2 5 2 5 2 3" xfId="4371" xr:uid="{00000000-0005-0000-0000-00004B2C0000}"/>
    <cellStyle name="Total 2 2 5 2 5 2 3 2" xfId="10201" xr:uid="{00000000-0005-0000-0000-00004C2C0000}"/>
    <cellStyle name="Total 2 2 5 2 5 2 4" xfId="5767" xr:uid="{00000000-0005-0000-0000-00004D2C0000}"/>
    <cellStyle name="Total 2 2 5 2 5 2 4 2" xfId="11597" xr:uid="{00000000-0005-0000-0000-00004E2C0000}"/>
    <cellStyle name="Total 2 2 5 2 5 2 5" xfId="7262" xr:uid="{00000000-0005-0000-0000-00004F2C0000}"/>
    <cellStyle name="Total 2 2 5 2 5 3" xfId="2221" xr:uid="{00000000-0005-0000-0000-0000502C0000}"/>
    <cellStyle name="Total 2 2 5 2 5 3 2" xfId="8051" xr:uid="{00000000-0005-0000-0000-0000512C0000}"/>
    <cellStyle name="Total 2 2 5 2 5 4" xfId="3647" xr:uid="{00000000-0005-0000-0000-0000522C0000}"/>
    <cellStyle name="Total 2 2 5 2 5 4 2" xfId="9477" xr:uid="{00000000-0005-0000-0000-0000532C0000}"/>
    <cellStyle name="Total 2 2 5 2 5 5" xfId="5043" xr:uid="{00000000-0005-0000-0000-0000542C0000}"/>
    <cellStyle name="Total 2 2 5 2 5 5 2" xfId="10873" xr:uid="{00000000-0005-0000-0000-0000552C0000}"/>
    <cellStyle name="Total 2 2 5 2 5 6" xfId="6538" xr:uid="{00000000-0005-0000-0000-0000562C0000}"/>
    <cellStyle name="Total 2 2 5 2 6" xfId="945" xr:uid="{00000000-0005-0000-0000-0000572C0000}"/>
    <cellStyle name="Total 2 2 5 2 6 2" xfId="2465" xr:uid="{00000000-0005-0000-0000-0000582C0000}"/>
    <cellStyle name="Total 2 2 5 2 6 2 2" xfId="8295" xr:uid="{00000000-0005-0000-0000-0000592C0000}"/>
    <cellStyle name="Total 2 2 5 2 6 3" xfId="3891" xr:uid="{00000000-0005-0000-0000-00005A2C0000}"/>
    <cellStyle name="Total 2 2 5 2 6 3 2" xfId="9721" xr:uid="{00000000-0005-0000-0000-00005B2C0000}"/>
    <cellStyle name="Total 2 2 5 2 6 4" xfId="5287" xr:uid="{00000000-0005-0000-0000-00005C2C0000}"/>
    <cellStyle name="Total 2 2 5 2 6 4 2" xfId="11117" xr:uid="{00000000-0005-0000-0000-00005D2C0000}"/>
    <cellStyle name="Total 2 2 5 2 6 5" xfId="6782" xr:uid="{00000000-0005-0000-0000-00005E2C0000}"/>
    <cellStyle name="Total 2 2 5 2 7" xfId="1719" xr:uid="{00000000-0005-0000-0000-00005F2C0000}"/>
    <cellStyle name="Total 2 2 5 2 7 2" xfId="7549" xr:uid="{00000000-0005-0000-0000-0000602C0000}"/>
    <cellStyle name="Total 2 2 5 2 8" xfId="3150" xr:uid="{00000000-0005-0000-0000-0000612C0000}"/>
    <cellStyle name="Total 2 2 5 2 8 2" xfId="8980" xr:uid="{00000000-0005-0000-0000-0000622C0000}"/>
    <cellStyle name="Total 2 2 5 2 9" xfId="4562" xr:uid="{00000000-0005-0000-0000-0000632C0000}"/>
    <cellStyle name="Total 2 2 5 2 9 2" xfId="10392" xr:uid="{00000000-0005-0000-0000-0000642C0000}"/>
    <cellStyle name="Total 2 2 5 3" xfId="218" xr:uid="{00000000-0005-0000-0000-0000652C0000}"/>
    <cellStyle name="Total 2 2 5 3 2" xfId="497" xr:uid="{00000000-0005-0000-0000-0000662C0000}"/>
    <cellStyle name="Total 2 2 5 3 2 2" xfId="1232" xr:uid="{00000000-0005-0000-0000-0000672C0000}"/>
    <cellStyle name="Total 2 2 5 3 2 2 2" xfId="2748" xr:uid="{00000000-0005-0000-0000-0000682C0000}"/>
    <cellStyle name="Total 2 2 5 3 2 2 2 2" xfId="8578" xr:uid="{00000000-0005-0000-0000-0000692C0000}"/>
    <cellStyle name="Total 2 2 5 3 2 2 3" xfId="4171" xr:uid="{00000000-0005-0000-0000-00006A2C0000}"/>
    <cellStyle name="Total 2 2 5 3 2 2 3 2" xfId="10001" xr:uid="{00000000-0005-0000-0000-00006B2C0000}"/>
    <cellStyle name="Total 2 2 5 3 2 2 4" xfId="5567" xr:uid="{00000000-0005-0000-0000-00006C2C0000}"/>
    <cellStyle name="Total 2 2 5 3 2 2 4 2" xfId="11397" xr:uid="{00000000-0005-0000-0000-00006D2C0000}"/>
    <cellStyle name="Total 2 2 5 3 2 2 5" xfId="7062" xr:uid="{00000000-0005-0000-0000-00006E2C0000}"/>
    <cellStyle name="Total 2 2 5 3 2 3" xfId="2019" xr:uid="{00000000-0005-0000-0000-00006F2C0000}"/>
    <cellStyle name="Total 2 2 5 3 2 3 2" xfId="7849" xr:uid="{00000000-0005-0000-0000-0000702C0000}"/>
    <cellStyle name="Total 2 2 5 3 2 4" xfId="3446" xr:uid="{00000000-0005-0000-0000-0000712C0000}"/>
    <cellStyle name="Total 2 2 5 3 2 4 2" xfId="9276" xr:uid="{00000000-0005-0000-0000-0000722C0000}"/>
    <cellStyle name="Total 2 2 5 3 2 5" xfId="4843" xr:uid="{00000000-0005-0000-0000-0000732C0000}"/>
    <cellStyle name="Total 2 2 5 3 2 5 2" xfId="10673" xr:uid="{00000000-0005-0000-0000-0000742C0000}"/>
    <cellStyle name="Total 2 2 5 3 2 6" xfId="6338" xr:uid="{00000000-0005-0000-0000-0000752C0000}"/>
    <cellStyle name="Total 2 2 5 3 3" xfId="741" xr:uid="{00000000-0005-0000-0000-0000762C0000}"/>
    <cellStyle name="Total 2 2 5 3 3 2" xfId="1472" xr:uid="{00000000-0005-0000-0000-0000772C0000}"/>
    <cellStyle name="Total 2 2 5 3 3 2 2" xfId="2988" xr:uid="{00000000-0005-0000-0000-0000782C0000}"/>
    <cellStyle name="Total 2 2 5 3 3 2 2 2" xfId="8818" xr:uid="{00000000-0005-0000-0000-0000792C0000}"/>
    <cellStyle name="Total 2 2 5 3 3 2 3" xfId="4411" xr:uid="{00000000-0005-0000-0000-00007A2C0000}"/>
    <cellStyle name="Total 2 2 5 3 3 2 3 2" xfId="10241" xr:uid="{00000000-0005-0000-0000-00007B2C0000}"/>
    <cellStyle name="Total 2 2 5 3 3 2 4" xfId="5807" xr:uid="{00000000-0005-0000-0000-00007C2C0000}"/>
    <cellStyle name="Total 2 2 5 3 3 2 4 2" xfId="11637" xr:uid="{00000000-0005-0000-0000-00007D2C0000}"/>
    <cellStyle name="Total 2 2 5 3 3 2 5" xfId="7302" xr:uid="{00000000-0005-0000-0000-00007E2C0000}"/>
    <cellStyle name="Total 2 2 5 3 3 3" xfId="2261" xr:uid="{00000000-0005-0000-0000-00007F2C0000}"/>
    <cellStyle name="Total 2 2 5 3 3 3 2" xfId="8091" xr:uid="{00000000-0005-0000-0000-0000802C0000}"/>
    <cellStyle name="Total 2 2 5 3 3 4" xfId="3687" xr:uid="{00000000-0005-0000-0000-0000812C0000}"/>
    <cellStyle name="Total 2 2 5 3 3 4 2" xfId="9517" xr:uid="{00000000-0005-0000-0000-0000822C0000}"/>
    <cellStyle name="Total 2 2 5 3 3 5" xfId="5083" xr:uid="{00000000-0005-0000-0000-0000832C0000}"/>
    <cellStyle name="Total 2 2 5 3 3 5 2" xfId="10913" xr:uid="{00000000-0005-0000-0000-0000842C0000}"/>
    <cellStyle name="Total 2 2 5 3 3 6" xfId="6578" xr:uid="{00000000-0005-0000-0000-0000852C0000}"/>
    <cellStyle name="Total 2 2 5 3 4" xfId="985" xr:uid="{00000000-0005-0000-0000-0000862C0000}"/>
    <cellStyle name="Total 2 2 5 3 4 2" xfId="2505" xr:uid="{00000000-0005-0000-0000-0000872C0000}"/>
    <cellStyle name="Total 2 2 5 3 4 2 2" xfId="8335" xr:uid="{00000000-0005-0000-0000-0000882C0000}"/>
    <cellStyle name="Total 2 2 5 3 4 3" xfId="3931" xr:uid="{00000000-0005-0000-0000-0000892C0000}"/>
    <cellStyle name="Total 2 2 5 3 4 3 2" xfId="9761" xr:uid="{00000000-0005-0000-0000-00008A2C0000}"/>
    <cellStyle name="Total 2 2 5 3 4 4" xfId="5327" xr:uid="{00000000-0005-0000-0000-00008B2C0000}"/>
    <cellStyle name="Total 2 2 5 3 4 4 2" xfId="11157" xr:uid="{00000000-0005-0000-0000-00008C2C0000}"/>
    <cellStyle name="Total 2 2 5 3 4 5" xfId="6822" xr:uid="{00000000-0005-0000-0000-00008D2C0000}"/>
    <cellStyle name="Total 2 2 5 3 5" xfId="1759" xr:uid="{00000000-0005-0000-0000-00008E2C0000}"/>
    <cellStyle name="Total 2 2 5 3 5 2" xfId="7589" xr:uid="{00000000-0005-0000-0000-00008F2C0000}"/>
    <cellStyle name="Total 2 2 5 3 6" xfId="3190" xr:uid="{00000000-0005-0000-0000-0000902C0000}"/>
    <cellStyle name="Total 2 2 5 3 6 2" xfId="9020" xr:uid="{00000000-0005-0000-0000-0000912C0000}"/>
    <cellStyle name="Total 2 2 5 3 7" xfId="4602" xr:uid="{00000000-0005-0000-0000-0000922C0000}"/>
    <cellStyle name="Total 2 2 5 3 7 2" xfId="10432" xr:uid="{00000000-0005-0000-0000-0000932C0000}"/>
    <cellStyle name="Total 2 2 5 3 8" xfId="6097" xr:uid="{00000000-0005-0000-0000-0000942C0000}"/>
    <cellStyle name="Total 2 2 5 4" xfId="298" xr:uid="{00000000-0005-0000-0000-0000952C0000}"/>
    <cellStyle name="Total 2 2 5 4 2" xfId="577" xr:uid="{00000000-0005-0000-0000-0000962C0000}"/>
    <cellStyle name="Total 2 2 5 4 2 2" xfId="1312" xr:uid="{00000000-0005-0000-0000-0000972C0000}"/>
    <cellStyle name="Total 2 2 5 4 2 2 2" xfId="2828" xr:uid="{00000000-0005-0000-0000-0000982C0000}"/>
    <cellStyle name="Total 2 2 5 4 2 2 2 2" xfId="8658" xr:uid="{00000000-0005-0000-0000-0000992C0000}"/>
    <cellStyle name="Total 2 2 5 4 2 2 3" xfId="4251" xr:uid="{00000000-0005-0000-0000-00009A2C0000}"/>
    <cellStyle name="Total 2 2 5 4 2 2 3 2" xfId="10081" xr:uid="{00000000-0005-0000-0000-00009B2C0000}"/>
    <cellStyle name="Total 2 2 5 4 2 2 4" xfId="5647" xr:uid="{00000000-0005-0000-0000-00009C2C0000}"/>
    <cellStyle name="Total 2 2 5 4 2 2 4 2" xfId="11477" xr:uid="{00000000-0005-0000-0000-00009D2C0000}"/>
    <cellStyle name="Total 2 2 5 4 2 2 5" xfId="7142" xr:uid="{00000000-0005-0000-0000-00009E2C0000}"/>
    <cellStyle name="Total 2 2 5 4 2 3" xfId="2099" xr:uid="{00000000-0005-0000-0000-00009F2C0000}"/>
    <cellStyle name="Total 2 2 5 4 2 3 2" xfId="7929" xr:uid="{00000000-0005-0000-0000-0000A02C0000}"/>
    <cellStyle name="Total 2 2 5 4 2 4" xfId="3526" xr:uid="{00000000-0005-0000-0000-0000A12C0000}"/>
    <cellStyle name="Total 2 2 5 4 2 4 2" xfId="9356" xr:uid="{00000000-0005-0000-0000-0000A22C0000}"/>
    <cellStyle name="Total 2 2 5 4 2 5" xfId="4923" xr:uid="{00000000-0005-0000-0000-0000A32C0000}"/>
    <cellStyle name="Total 2 2 5 4 2 5 2" xfId="10753" xr:uid="{00000000-0005-0000-0000-0000A42C0000}"/>
    <cellStyle name="Total 2 2 5 4 2 6" xfId="6418" xr:uid="{00000000-0005-0000-0000-0000A52C0000}"/>
    <cellStyle name="Total 2 2 5 4 3" xfId="821" xr:uid="{00000000-0005-0000-0000-0000A62C0000}"/>
    <cellStyle name="Total 2 2 5 4 3 2" xfId="1552" xr:uid="{00000000-0005-0000-0000-0000A72C0000}"/>
    <cellStyle name="Total 2 2 5 4 3 2 2" xfId="3068" xr:uid="{00000000-0005-0000-0000-0000A82C0000}"/>
    <cellStyle name="Total 2 2 5 4 3 2 2 2" xfId="8898" xr:uid="{00000000-0005-0000-0000-0000A92C0000}"/>
    <cellStyle name="Total 2 2 5 4 3 2 3" xfId="4491" xr:uid="{00000000-0005-0000-0000-0000AA2C0000}"/>
    <cellStyle name="Total 2 2 5 4 3 2 3 2" xfId="10321" xr:uid="{00000000-0005-0000-0000-0000AB2C0000}"/>
    <cellStyle name="Total 2 2 5 4 3 2 4" xfId="5887" xr:uid="{00000000-0005-0000-0000-0000AC2C0000}"/>
    <cellStyle name="Total 2 2 5 4 3 2 4 2" xfId="11717" xr:uid="{00000000-0005-0000-0000-0000AD2C0000}"/>
    <cellStyle name="Total 2 2 5 4 3 2 5" xfId="7382" xr:uid="{00000000-0005-0000-0000-0000AE2C0000}"/>
    <cellStyle name="Total 2 2 5 4 3 3" xfId="2341" xr:uid="{00000000-0005-0000-0000-0000AF2C0000}"/>
    <cellStyle name="Total 2 2 5 4 3 3 2" xfId="8171" xr:uid="{00000000-0005-0000-0000-0000B02C0000}"/>
    <cellStyle name="Total 2 2 5 4 3 4" xfId="3767" xr:uid="{00000000-0005-0000-0000-0000B12C0000}"/>
    <cellStyle name="Total 2 2 5 4 3 4 2" xfId="9597" xr:uid="{00000000-0005-0000-0000-0000B22C0000}"/>
    <cellStyle name="Total 2 2 5 4 3 5" xfId="5163" xr:uid="{00000000-0005-0000-0000-0000B32C0000}"/>
    <cellStyle name="Total 2 2 5 4 3 5 2" xfId="10993" xr:uid="{00000000-0005-0000-0000-0000B42C0000}"/>
    <cellStyle name="Total 2 2 5 4 3 6" xfId="6658" xr:uid="{00000000-0005-0000-0000-0000B52C0000}"/>
    <cellStyle name="Total 2 2 5 4 4" xfId="1065" xr:uid="{00000000-0005-0000-0000-0000B62C0000}"/>
    <cellStyle name="Total 2 2 5 4 4 2" xfId="2585" xr:uid="{00000000-0005-0000-0000-0000B72C0000}"/>
    <cellStyle name="Total 2 2 5 4 4 2 2" xfId="8415" xr:uid="{00000000-0005-0000-0000-0000B82C0000}"/>
    <cellStyle name="Total 2 2 5 4 4 3" xfId="4011" xr:uid="{00000000-0005-0000-0000-0000B92C0000}"/>
    <cellStyle name="Total 2 2 5 4 4 3 2" xfId="9841" xr:uid="{00000000-0005-0000-0000-0000BA2C0000}"/>
    <cellStyle name="Total 2 2 5 4 4 4" xfId="5407" xr:uid="{00000000-0005-0000-0000-0000BB2C0000}"/>
    <cellStyle name="Total 2 2 5 4 4 4 2" xfId="11237" xr:uid="{00000000-0005-0000-0000-0000BC2C0000}"/>
    <cellStyle name="Total 2 2 5 4 4 5" xfId="6902" xr:uid="{00000000-0005-0000-0000-0000BD2C0000}"/>
    <cellStyle name="Total 2 2 5 4 5" xfId="1839" xr:uid="{00000000-0005-0000-0000-0000BE2C0000}"/>
    <cellStyle name="Total 2 2 5 4 5 2" xfId="7669" xr:uid="{00000000-0005-0000-0000-0000BF2C0000}"/>
    <cellStyle name="Total 2 2 5 4 6" xfId="3270" xr:uid="{00000000-0005-0000-0000-0000C02C0000}"/>
    <cellStyle name="Total 2 2 5 4 6 2" xfId="9100" xr:uid="{00000000-0005-0000-0000-0000C12C0000}"/>
    <cellStyle name="Total 2 2 5 4 7" xfId="4682" xr:uid="{00000000-0005-0000-0000-0000C22C0000}"/>
    <cellStyle name="Total 2 2 5 4 7 2" xfId="10512" xr:uid="{00000000-0005-0000-0000-0000C32C0000}"/>
    <cellStyle name="Total 2 2 5 4 8" xfId="6177" xr:uid="{00000000-0005-0000-0000-0000C42C0000}"/>
    <cellStyle name="Total 2 2 5 5" xfId="417" xr:uid="{00000000-0005-0000-0000-0000C52C0000}"/>
    <cellStyle name="Total 2 2 5 5 2" xfId="1152" xr:uid="{00000000-0005-0000-0000-0000C62C0000}"/>
    <cellStyle name="Total 2 2 5 5 2 2" xfId="2668" xr:uid="{00000000-0005-0000-0000-0000C72C0000}"/>
    <cellStyle name="Total 2 2 5 5 2 2 2" xfId="8498" xr:uid="{00000000-0005-0000-0000-0000C82C0000}"/>
    <cellStyle name="Total 2 2 5 5 2 3" xfId="4091" xr:uid="{00000000-0005-0000-0000-0000C92C0000}"/>
    <cellStyle name="Total 2 2 5 5 2 3 2" xfId="9921" xr:uid="{00000000-0005-0000-0000-0000CA2C0000}"/>
    <cellStyle name="Total 2 2 5 5 2 4" xfId="5487" xr:uid="{00000000-0005-0000-0000-0000CB2C0000}"/>
    <cellStyle name="Total 2 2 5 5 2 4 2" xfId="11317" xr:uid="{00000000-0005-0000-0000-0000CC2C0000}"/>
    <cellStyle name="Total 2 2 5 5 2 5" xfId="6982" xr:uid="{00000000-0005-0000-0000-0000CD2C0000}"/>
    <cellStyle name="Total 2 2 5 5 3" xfId="1939" xr:uid="{00000000-0005-0000-0000-0000CE2C0000}"/>
    <cellStyle name="Total 2 2 5 5 3 2" xfId="7769" xr:uid="{00000000-0005-0000-0000-0000CF2C0000}"/>
    <cellStyle name="Total 2 2 5 5 4" xfId="3366" xr:uid="{00000000-0005-0000-0000-0000D02C0000}"/>
    <cellStyle name="Total 2 2 5 5 4 2" xfId="9196" xr:uid="{00000000-0005-0000-0000-0000D12C0000}"/>
    <cellStyle name="Total 2 2 5 5 5" xfId="4763" xr:uid="{00000000-0005-0000-0000-0000D22C0000}"/>
    <cellStyle name="Total 2 2 5 5 5 2" xfId="10593" xr:uid="{00000000-0005-0000-0000-0000D32C0000}"/>
    <cellStyle name="Total 2 2 5 5 6" xfId="6258" xr:uid="{00000000-0005-0000-0000-0000D42C0000}"/>
    <cellStyle name="Total 2 2 5 6" xfId="661" xr:uid="{00000000-0005-0000-0000-0000D52C0000}"/>
    <cellStyle name="Total 2 2 5 6 2" xfId="1392" xr:uid="{00000000-0005-0000-0000-0000D62C0000}"/>
    <cellStyle name="Total 2 2 5 6 2 2" xfId="2908" xr:uid="{00000000-0005-0000-0000-0000D72C0000}"/>
    <cellStyle name="Total 2 2 5 6 2 2 2" xfId="8738" xr:uid="{00000000-0005-0000-0000-0000D82C0000}"/>
    <cellStyle name="Total 2 2 5 6 2 3" xfId="4331" xr:uid="{00000000-0005-0000-0000-0000D92C0000}"/>
    <cellStyle name="Total 2 2 5 6 2 3 2" xfId="10161" xr:uid="{00000000-0005-0000-0000-0000DA2C0000}"/>
    <cellStyle name="Total 2 2 5 6 2 4" xfId="5727" xr:uid="{00000000-0005-0000-0000-0000DB2C0000}"/>
    <cellStyle name="Total 2 2 5 6 2 4 2" xfId="11557" xr:uid="{00000000-0005-0000-0000-0000DC2C0000}"/>
    <cellStyle name="Total 2 2 5 6 2 5" xfId="7222" xr:uid="{00000000-0005-0000-0000-0000DD2C0000}"/>
    <cellStyle name="Total 2 2 5 6 3" xfId="2181" xr:uid="{00000000-0005-0000-0000-0000DE2C0000}"/>
    <cellStyle name="Total 2 2 5 6 3 2" xfId="8011" xr:uid="{00000000-0005-0000-0000-0000DF2C0000}"/>
    <cellStyle name="Total 2 2 5 6 4" xfId="3607" xr:uid="{00000000-0005-0000-0000-0000E02C0000}"/>
    <cellStyle name="Total 2 2 5 6 4 2" xfId="9437" xr:uid="{00000000-0005-0000-0000-0000E12C0000}"/>
    <cellStyle name="Total 2 2 5 6 5" xfId="5003" xr:uid="{00000000-0005-0000-0000-0000E22C0000}"/>
    <cellStyle name="Total 2 2 5 6 5 2" xfId="10833" xr:uid="{00000000-0005-0000-0000-0000E32C0000}"/>
    <cellStyle name="Total 2 2 5 6 6" xfId="6498" xr:uid="{00000000-0005-0000-0000-0000E42C0000}"/>
    <cellStyle name="Total 2 2 5 7" xfId="905" xr:uid="{00000000-0005-0000-0000-0000E52C0000}"/>
    <cellStyle name="Total 2 2 5 7 2" xfId="2425" xr:uid="{00000000-0005-0000-0000-0000E62C0000}"/>
    <cellStyle name="Total 2 2 5 7 2 2" xfId="8255" xr:uid="{00000000-0005-0000-0000-0000E72C0000}"/>
    <cellStyle name="Total 2 2 5 7 3" xfId="3851" xr:uid="{00000000-0005-0000-0000-0000E82C0000}"/>
    <cellStyle name="Total 2 2 5 7 3 2" xfId="9681" xr:uid="{00000000-0005-0000-0000-0000E92C0000}"/>
    <cellStyle name="Total 2 2 5 7 4" xfId="5247" xr:uid="{00000000-0005-0000-0000-0000EA2C0000}"/>
    <cellStyle name="Total 2 2 5 7 4 2" xfId="11077" xr:uid="{00000000-0005-0000-0000-0000EB2C0000}"/>
    <cellStyle name="Total 2 2 5 7 5" xfId="6742" xr:uid="{00000000-0005-0000-0000-0000EC2C0000}"/>
    <cellStyle name="Total 2 2 5 8" xfId="1679" xr:uid="{00000000-0005-0000-0000-0000ED2C0000}"/>
    <cellStyle name="Total 2 2 5 8 2" xfId="7509" xr:uid="{00000000-0005-0000-0000-0000EE2C0000}"/>
    <cellStyle name="Total 2 2 5 9" xfId="1909" xr:uid="{00000000-0005-0000-0000-0000EF2C0000}"/>
    <cellStyle name="Total 2 2 5 9 2" xfId="7739" xr:uid="{00000000-0005-0000-0000-0000F02C0000}"/>
    <cellStyle name="Total 2 2 6" xfId="157" xr:uid="{00000000-0005-0000-0000-0000F12C0000}"/>
    <cellStyle name="Total 2 2 6 10" xfId="6037" xr:uid="{00000000-0005-0000-0000-0000F22C0000}"/>
    <cellStyle name="Total 2 2 6 2" xfId="238" xr:uid="{00000000-0005-0000-0000-0000F32C0000}"/>
    <cellStyle name="Total 2 2 6 2 2" xfId="517" xr:uid="{00000000-0005-0000-0000-0000F42C0000}"/>
    <cellStyle name="Total 2 2 6 2 2 2" xfId="1252" xr:uid="{00000000-0005-0000-0000-0000F52C0000}"/>
    <cellStyle name="Total 2 2 6 2 2 2 2" xfId="2768" xr:uid="{00000000-0005-0000-0000-0000F62C0000}"/>
    <cellStyle name="Total 2 2 6 2 2 2 2 2" xfId="8598" xr:uid="{00000000-0005-0000-0000-0000F72C0000}"/>
    <cellStyle name="Total 2 2 6 2 2 2 3" xfId="4191" xr:uid="{00000000-0005-0000-0000-0000F82C0000}"/>
    <cellStyle name="Total 2 2 6 2 2 2 3 2" xfId="10021" xr:uid="{00000000-0005-0000-0000-0000F92C0000}"/>
    <cellStyle name="Total 2 2 6 2 2 2 4" xfId="5587" xr:uid="{00000000-0005-0000-0000-0000FA2C0000}"/>
    <cellStyle name="Total 2 2 6 2 2 2 4 2" xfId="11417" xr:uid="{00000000-0005-0000-0000-0000FB2C0000}"/>
    <cellStyle name="Total 2 2 6 2 2 2 5" xfId="7082" xr:uid="{00000000-0005-0000-0000-0000FC2C0000}"/>
    <cellStyle name="Total 2 2 6 2 2 3" xfId="2039" xr:uid="{00000000-0005-0000-0000-0000FD2C0000}"/>
    <cellStyle name="Total 2 2 6 2 2 3 2" xfId="7869" xr:uid="{00000000-0005-0000-0000-0000FE2C0000}"/>
    <cellStyle name="Total 2 2 6 2 2 4" xfId="3466" xr:uid="{00000000-0005-0000-0000-0000FF2C0000}"/>
    <cellStyle name="Total 2 2 6 2 2 4 2" xfId="9296" xr:uid="{00000000-0005-0000-0000-0000002D0000}"/>
    <cellStyle name="Total 2 2 6 2 2 5" xfId="4863" xr:uid="{00000000-0005-0000-0000-0000012D0000}"/>
    <cellStyle name="Total 2 2 6 2 2 5 2" xfId="10693" xr:uid="{00000000-0005-0000-0000-0000022D0000}"/>
    <cellStyle name="Total 2 2 6 2 2 6" xfId="6358" xr:uid="{00000000-0005-0000-0000-0000032D0000}"/>
    <cellStyle name="Total 2 2 6 2 3" xfId="761" xr:uid="{00000000-0005-0000-0000-0000042D0000}"/>
    <cellStyle name="Total 2 2 6 2 3 2" xfId="1492" xr:uid="{00000000-0005-0000-0000-0000052D0000}"/>
    <cellStyle name="Total 2 2 6 2 3 2 2" xfId="3008" xr:uid="{00000000-0005-0000-0000-0000062D0000}"/>
    <cellStyle name="Total 2 2 6 2 3 2 2 2" xfId="8838" xr:uid="{00000000-0005-0000-0000-0000072D0000}"/>
    <cellStyle name="Total 2 2 6 2 3 2 3" xfId="4431" xr:uid="{00000000-0005-0000-0000-0000082D0000}"/>
    <cellStyle name="Total 2 2 6 2 3 2 3 2" xfId="10261" xr:uid="{00000000-0005-0000-0000-0000092D0000}"/>
    <cellStyle name="Total 2 2 6 2 3 2 4" xfId="5827" xr:uid="{00000000-0005-0000-0000-00000A2D0000}"/>
    <cellStyle name="Total 2 2 6 2 3 2 4 2" xfId="11657" xr:uid="{00000000-0005-0000-0000-00000B2D0000}"/>
    <cellStyle name="Total 2 2 6 2 3 2 5" xfId="7322" xr:uid="{00000000-0005-0000-0000-00000C2D0000}"/>
    <cellStyle name="Total 2 2 6 2 3 3" xfId="2281" xr:uid="{00000000-0005-0000-0000-00000D2D0000}"/>
    <cellStyle name="Total 2 2 6 2 3 3 2" xfId="8111" xr:uid="{00000000-0005-0000-0000-00000E2D0000}"/>
    <cellStyle name="Total 2 2 6 2 3 4" xfId="3707" xr:uid="{00000000-0005-0000-0000-00000F2D0000}"/>
    <cellStyle name="Total 2 2 6 2 3 4 2" xfId="9537" xr:uid="{00000000-0005-0000-0000-0000102D0000}"/>
    <cellStyle name="Total 2 2 6 2 3 5" xfId="5103" xr:uid="{00000000-0005-0000-0000-0000112D0000}"/>
    <cellStyle name="Total 2 2 6 2 3 5 2" xfId="10933" xr:uid="{00000000-0005-0000-0000-0000122D0000}"/>
    <cellStyle name="Total 2 2 6 2 3 6" xfId="6598" xr:uid="{00000000-0005-0000-0000-0000132D0000}"/>
    <cellStyle name="Total 2 2 6 2 4" xfId="1005" xr:uid="{00000000-0005-0000-0000-0000142D0000}"/>
    <cellStyle name="Total 2 2 6 2 4 2" xfId="2525" xr:uid="{00000000-0005-0000-0000-0000152D0000}"/>
    <cellStyle name="Total 2 2 6 2 4 2 2" xfId="8355" xr:uid="{00000000-0005-0000-0000-0000162D0000}"/>
    <cellStyle name="Total 2 2 6 2 4 3" xfId="3951" xr:uid="{00000000-0005-0000-0000-0000172D0000}"/>
    <cellStyle name="Total 2 2 6 2 4 3 2" xfId="9781" xr:uid="{00000000-0005-0000-0000-0000182D0000}"/>
    <cellStyle name="Total 2 2 6 2 4 4" xfId="5347" xr:uid="{00000000-0005-0000-0000-0000192D0000}"/>
    <cellStyle name="Total 2 2 6 2 4 4 2" xfId="11177" xr:uid="{00000000-0005-0000-0000-00001A2D0000}"/>
    <cellStyle name="Total 2 2 6 2 4 5" xfId="6842" xr:uid="{00000000-0005-0000-0000-00001B2D0000}"/>
    <cellStyle name="Total 2 2 6 2 5" xfId="1779" xr:uid="{00000000-0005-0000-0000-00001C2D0000}"/>
    <cellStyle name="Total 2 2 6 2 5 2" xfId="7609" xr:uid="{00000000-0005-0000-0000-00001D2D0000}"/>
    <cellStyle name="Total 2 2 6 2 6" xfId="3210" xr:uid="{00000000-0005-0000-0000-00001E2D0000}"/>
    <cellStyle name="Total 2 2 6 2 6 2" xfId="9040" xr:uid="{00000000-0005-0000-0000-00001F2D0000}"/>
    <cellStyle name="Total 2 2 6 2 7" xfId="4622" xr:uid="{00000000-0005-0000-0000-0000202D0000}"/>
    <cellStyle name="Total 2 2 6 2 7 2" xfId="10452" xr:uid="{00000000-0005-0000-0000-0000212D0000}"/>
    <cellStyle name="Total 2 2 6 2 8" xfId="6117" xr:uid="{00000000-0005-0000-0000-0000222D0000}"/>
    <cellStyle name="Total 2 2 6 3" xfId="318" xr:uid="{00000000-0005-0000-0000-0000232D0000}"/>
    <cellStyle name="Total 2 2 6 3 2" xfId="597" xr:uid="{00000000-0005-0000-0000-0000242D0000}"/>
    <cellStyle name="Total 2 2 6 3 2 2" xfId="1332" xr:uid="{00000000-0005-0000-0000-0000252D0000}"/>
    <cellStyle name="Total 2 2 6 3 2 2 2" xfId="2848" xr:uid="{00000000-0005-0000-0000-0000262D0000}"/>
    <cellStyle name="Total 2 2 6 3 2 2 2 2" xfId="8678" xr:uid="{00000000-0005-0000-0000-0000272D0000}"/>
    <cellStyle name="Total 2 2 6 3 2 2 3" xfId="4271" xr:uid="{00000000-0005-0000-0000-0000282D0000}"/>
    <cellStyle name="Total 2 2 6 3 2 2 3 2" xfId="10101" xr:uid="{00000000-0005-0000-0000-0000292D0000}"/>
    <cellStyle name="Total 2 2 6 3 2 2 4" xfId="5667" xr:uid="{00000000-0005-0000-0000-00002A2D0000}"/>
    <cellStyle name="Total 2 2 6 3 2 2 4 2" xfId="11497" xr:uid="{00000000-0005-0000-0000-00002B2D0000}"/>
    <cellStyle name="Total 2 2 6 3 2 2 5" xfId="7162" xr:uid="{00000000-0005-0000-0000-00002C2D0000}"/>
    <cellStyle name="Total 2 2 6 3 2 3" xfId="2119" xr:uid="{00000000-0005-0000-0000-00002D2D0000}"/>
    <cellStyle name="Total 2 2 6 3 2 3 2" xfId="7949" xr:uid="{00000000-0005-0000-0000-00002E2D0000}"/>
    <cellStyle name="Total 2 2 6 3 2 4" xfId="3546" xr:uid="{00000000-0005-0000-0000-00002F2D0000}"/>
    <cellStyle name="Total 2 2 6 3 2 4 2" xfId="9376" xr:uid="{00000000-0005-0000-0000-0000302D0000}"/>
    <cellStyle name="Total 2 2 6 3 2 5" xfId="4943" xr:uid="{00000000-0005-0000-0000-0000312D0000}"/>
    <cellStyle name="Total 2 2 6 3 2 5 2" xfId="10773" xr:uid="{00000000-0005-0000-0000-0000322D0000}"/>
    <cellStyle name="Total 2 2 6 3 2 6" xfId="6438" xr:uid="{00000000-0005-0000-0000-0000332D0000}"/>
    <cellStyle name="Total 2 2 6 3 3" xfId="841" xr:uid="{00000000-0005-0000-0000-0000342D0000}"/>
    <cellStyle name="Total 2 2 6 3 3 2" xfId="1572" xr:uid="{00000000-0005-0000-0000-0000352D0000}"/>
    <cellStyle name="Total 2 2 6 3 3 2 2" xfId="3088" xr:uid="{00000000-0005-0000-0000-0000362D0000}"/>
    <cellStyle name="Total 2 2 6 3 3 2 2 2" xfId="8918" xr:uid="{00000000-0005-0000-0000-0000372D0000}"/>
    <cellStyle name="Total 2 2 6 3 3 2 3" xfId="4511" xr:uid="{00000000-0005-0000-0000-0000382D0000}"/>
    <cellStyle name="Total 2 2 6 3 3 2 3 2" xfId="10341" xr:uid="{00000000-0005-0000-0000-0000392D0000}"/>
    <cellStyle name="Total 2 2 6 3 3 2 4" xfId="5907" xr:uid="{00000000-0005-0000-0000-00003A2D0000}"/>
    <cellStyle name="Total 2 2 6 3 3 2 4 2" xfId="11737" xr:uid="{00000000-0005-0000-0000-00003B2D0000}"/>
    <cellStyle name="Total 2 2 6 3 3 2 5" xfId="7402" xr:uid="{00000000-0005-0000-0000-00003C2D0000}"/>
    <cellStyle name="Total 2 2 6 3 3 3" xfId="2361" xr:uid="{00000000-0005-0000-0000-00003D2D0000}"/>
    <cellStyle name="Total 2 2 6 3 3 3 2" xfId="8191" xr:uid="{00000000-0005-0000-0000-00003E2D0000}"/>
    <cellStyle name="Total 2 2 6 3 3 4" xfId="3787" xr:uid="{00000000-0005-0000-0000-00003F2D0000}"/>
    <cellStyle name="Total 2 2 6 3 3 4 2" xfId="9617" xr:uid="{00000000-0005-0000-0000-0000402D0000}"/>
    <cellStyle name="Total 2 2 6 3 3 5" xfId="5183" xr:uid="{00000000-0005-0000-0000-0000412D0000}"/>
    <cellStyle name="Total 2 2 6 3 3 5 2" xfId="11013" xr:uid="{00000000-0005-0000-0000-0000422D0000}"/>
    <cellStyle name="Total 2 2 6 3 3 6" xfId="6678" xr:uid="{00000000-0005-0000-0000-0000432D0000}"/>
    <cellStyle name="Total 2 2 6 3 4" xfId="1085" xr:uid="{00000000-0005-0000-0000-0000442D0000}"/>
    <cellStyle name="Total 2 2 6 3 4 2" xfId="2605" xr:uid="{00000000-0005-0000-0000-0000452D0000}"/>
    <cellStyle name="Total 2 2 6 3 4 2 2" xfId="8435" xr:uid="{00000000-0005-0000-0000-0000462D0000}"/>
    <cellStyle name="Total 2 2 6 3 4 3" xfId="4031" xr:uid="{00000000-0005-0000-0000-0000472D0000}"/>
    <cellStyle name="Total 2 2 6 3 4 3 2" xfId="9861" xr:uid="{00000000-0005-0000-0000-0000482D0000}"/>
    <cellStyle name="Total 2 2 6 3 4 4" xfId="5427" xr:uid="{00000000-0005-0000-0000-0000492D0000}"/>
    <cellStyle name="Total 2 2 6 3 4 4 2" xfId="11257" xr:uid="{00000000-0005-0000-0000-00004A2D0000}"/>
    <cellStyle name="Total 2 2 6 3 4 5" xfId="6922" xr:uid="{00000000-0005-0000-0000-00004B2D0000}"/>
    <cellStyle name="Total 2 2 6 3 5" xfId="1859" xr:uid="{00000000-0005-0000-0000-00004C2D0000}"/>
    <cellStyle name="Total 2 2 6 3 5 2" xfId="7689" xr:uid="{00000000-0005-0000-0000-00004D2D0000}"/>
    <cellStyle name="Total 2 2 6 3 6" xfId="3290" xr:uid="{00000000-0005-0000-0000-00004E2D0000}"/>
    <cellStyle name="Total 2 2 6 3 6 2" xfId="9120" xr:uid="{00000000-0005-0000-0000-00004F2D0000}"/>
    <cellStyle name="Total 2 2 6 3 7" xfId="4702" xr:uid="{00000000-0005-0000-0000-0000502D0000}"/>
    <cellStyle name="Total 2 2 6 3 7 2" xfId="10532" xr:uid="{00000000-0005-0000-0000-0000512D0000}"/>
    <cellStyle name="Total 2 2 6 3 8" xfId="6197" xr:uid="{00000000-0005-0000-0000-0000522D0000}"/>
    <cellStyle name="Total 2 2 6 4" xfId="437" xr:uid="{00000000-0005-0000-0000-0000532D0000}"/>
    <cellStyle name="Total 2 2 6 4 2" xfId="1172" xr:uid="{00000000-0005-0000-0000-0000542D0000}"/>
    <cellStyle name="Total 2 2 6 4 2 2" xfId="2688" xr:uid="{00000000-0005-0000-0000-0000552D0000}"/>
    <cellStyle name="Total 2 2 6 4 2 2 2" xfId="8518" xr:uid="{00000000-0005-0000-0000-0000562D0000}"/>
    <cellStyle name="Total 2 2 6 4 2 3" xfId="4111" xr:uid="{00000000-0005-0000-0000-0000572D0000}"/>
    <cellStyle name="Total 2 2 6 4 2 3 2" xfId="9941" xr:uid="{00000000-0005-0000-0000-0000582D0000}"/>
    <cellStyle name="Total 2 2 6 4 2 4" xfId="5507" xr:uid="{00000000-0005-0000-0000-0000592D0000}"/>
    <cellStyle name="Total 2 2 6 4 2 4 2" xfId="11337" xr:uid="{00000000-0005-0000-0000-00005A2D0000}"/>
    <cellStyle name="Total 2 2 6 4 2 5" xfId="7002" xr:uid="{00000000-0005-0000-0000-00005B2D0000}"/>
    <cellStyle name="Total 2 2 6 4 3" xfId="1959" xr:uid="{00000000-0005-0000-0000-00005C2D0000}"/>
    <cellStyle name="Total 2 2 6 4 3 2" xfId="7789" xr:uid="{00000000-0005-0000-0000-00005D2D0000}"/>
    <cellStyle name="Total 2 2 6 4 4" xfId="3386" xr:uid="{00000000-0005-0000-0000-00005E2D0000}"/>
    <cellStyle name="Total 2 2 6 4 4 2" xfId="9216" xr:uid="{00000000-0005-0000-0000-00005F2D0000}"/>
    <cellStyle name="Total 2 2 6 4 5" xfId="4783" xr:uid="{00000000-0005-0000-0000-0000602D0000}"/>
    <cellStyle name="Total 2 2 6 4 5 2" xfId="10613" xr:uid="{00000000-0005-0000-0000-0000612D0000}"/>
    <cellStyle name="Total 2 2 6 4 6" xfId="6278" xr:uid="{00000000-0005-0000-0000-0000622D0000}"/>
    <cellStyle name="Total 2 2 6 5" xfId="681" xr:uid="{00000000-0005-0000-0000-0000632D0000}"/>
    <cellStyle name="Total 2 2 6 5 2" xfId="1412" xr:uid="{00000000-0005-0000-0000-0000642D0000}"/>
    <cellStyle name="Total 2 2 6 5 2 2" xfId="2928" xr:uid="{00000000-0005-0000-0000-0000652D0000}"/>
    <cellStyle name="Total 2 2 6 5 2 2 2" xfId="8758" xr:uid="{00000000-0005-0000-0000-0000662D0000}"/>
    <cellStyle name="Total 2 2 6 5 2 3" xfId="4351" xr:uid="{00000000-0005-0000-0000-0000672D0000}"/>
    <cellStyle name="Total 2 2 6 5 2 3 2" xfId="10181" xr:uid="{00000000-0005-0000-0000-0000682D0000}"/>
    <cellStyle name="Total 2 2 6 5 2 4" xfId="5747" xr:uid="{00000000-0005-0000-0000-0000692D0000}"/>
    <cellStyle name="Total 2 2 6 5 2 4 2" xfId="11577" xr:uid="{00000000-0005-0000-0000-00006A2D0000}"/>
    <cellStyle name="Total 2 2 6 5 2 5" xfId="7242" xr:uid="{00000000-0005-0000-0000-00006B2D0000}"/>
    <cellStyle name="Total 2 2 6 5 3" xfId="2201" xr:uid="{00000000-0005-0000-0000-00006C2D0000}"/>
    <cellStyle name="Total 2 2 6 5 3 2" xfId="8031" xr:uid="{00000000-0005-0000-0000-00006D2D0000}"/>
    <cellStyle name="Total 2 2 6 5 4" xfId="3627" xr:uid="{00000000-0005-0000-0000-00006E2D0000}"/>
    <cellStyle name="Total 2 2 6 5 4 2" xfId="9457" xr:uid="{00000000-0005-0000-0000-00006F2D0000}"/>
    <cellStyle name="Total 2 2 6 5 5" xfId="5023" xr:uid="{00000000-0005-0000-0000-0000702D0000}"/>
    <cellStyle name="Total 2 2 6 5 5 2" xfId="10853" xr:uid="{00000000-0005-0000-0000-0000712D0000}"/>
    <cellStyle name="Total 2 2 6 5 6" xfId="6518" xr:uid="{00000000-0005-0000-0000-0000722D0000}"/>
    <cellStyle name="Total 2 2 6 6" xfId="925" xr:uid="{00000000-0005-0000-0000-0000732D0000}"/>
    <cellStyle name="Total 2 2 6 6 2" xfId="2445" xr:uid="{00000000-0005-0000-0000-0000742D0000}"/>
    <cellStyle name="Total 2 2 6 6 2 2" xfId="8275" xr:uid="{00000000-0005-0000-0000-0000752D0000}"/>
    <cellStyle name="Total 2 2 6 6 3" xfId="3871" xr:uid="{00000000-0005-0000-0000-0000762D0000}"/>
    <cellStyle name="Total 2 2 6 6 3 2" xfId="9701" xr:uid="{00000000-0005-0000-0000-0000772D0000}"/>
    <cellStyle name="Total 2 2 6 6 4" xfId="5267" xr:uid="{00000000-0005-0000-0000-0000782D0000}"/>
    <cellStyle name="Total 2 2 6 6 4 2" xfId="11097" xr:uid="{00000000-0005-0000-0000-0000792D0000}"/>
    <cellStyle name="Total 2 2 6 6 5" xfId="6762" xr:uid="{00000000-0005-0000-0000-00007A2D0000}"/>
    <cellStyle name="Total 2 2 6 7" xfId="1699" xr:uid="{00000000-0005-0000-0000-00007B2D0000}"/>
    <cellStyle name="Total 2 2 6 7 2" xfId="7529" xr:uid="{00000000-0005-0000-0000-00007C2D0000}"/>
    <cellStyle name="Total 2 2 6 8" xfId="3130" xr:uid="{00000000-0005-0000-0000-00007D2D0000}"/>
    <cellStyle name="Total 2 2 6 8 2" xfId="8960" xr:uid="{00000000-0005-0000-0000-00007E2D0000}"/>
    <cellStyle name="Total 2 2 6 9" xfId="1608" xr:uid="{00000000-0005-0000-0000-00007F2D0000}"/>
    <cellStyle name="Total 2 2 6 9 2" xfId="7438" xr:uid="{00000000-0005-0000-0000-0000802D0000}"/>
    <cellStyle name="Total 2 2 7" xfId="197" xr:uid="{00000000-0005-0000-0000-0000812D0000}"/>
    <cellStyle name="Total 2 2 7 2" xfId="477" xr:uid="{00000000-0005-0000-0000-0000822D0000}"/>
    <cellStyle name="Total 2 2 7 2 2" xfId="1212" xr:uid="{00000000-0005-0000-0000-0000832D0000}"/>
    <cellStyle name="Total 2 2 7 2 2 2" xfId="2728" xr:uid="{00000000-0005-0000-0000-0000842D0000}"/>
    <cellStyle name="Total 2 2 7 2 2 2 2" xfId="8558" xr:uid="{00000000-0005-0000-0000-0000852D0000}"/>
    <cellStyle name="Total 2 2 7 2 2 3" xfId="4151" xr:uid="{00000000-0005-0000-0000-0000862D0000}"/>
    <cellStyle name="Total 2 2 7 2 2 3 2" xfId="9981" xr:uid="{00000000-0005-0000-0000-0000872D0000}"/>
    <cellStyle name="Total 2 2 7 2 2 4" xfId="5547" xr:uid="{00000000-0005-0000-0000-0000882D0000}"/>
    <cellStyle name="Total 2 2 7 2 2 4 2" xfId="11377" xr:uid="{00000000-0005-0000-0000-0000892D0000}"/>
    <cellStyle name="Total 2 2 7 2 2 5" xfId="7042" xr:uid="{00000000-0005-0000-0000-00008A2D0000}"/>
    <cellStyle name="Total 2 2 7 2 3" xfId="1999" xr:uid="{00000000-0005-0000-0000-00008B2D0000}"/>
    <cellStyle name="Total 2 2 7 2 3 2" xfId="7829" xr:uid="{00000000-0005-0000-0000-00008C2D0000}"/>
    <cellStyle name="Total 2 2 7 2 4" xfId="3426" xr:uid="{00000000-0005-0000-0000-00008D2D0000}"/>
    <cellStyle name="Total 2 2 7 2 4 2" xfId="9256" xr:uid="{00000000-0005-0000-0000-00008E2D0000}"/>
    <cellStyle name="Total 2 2 7 2 5" xfId="4823" xr:uid="{00000000-0005-0000-0000-00008F2D0000}"/>
    <cellStyle name="Total 2 2 7 2 5 2" xfId="10653" xr:uid="{00000000-0005-0000-0000-0000902D0000}"/>
    <cellStyle name="Total 2 2 7 2 6" xfId="6318" xr:uid="{00000000-0005-0000-0000-0000912D0000}"/>
    <cellStyle name="Total 2 2 7 3" xfId="721" xr:uid="{00000000-0005-0000-0000-0000922D0000}"/>
    <cellStyle name="Total 2 2 7 3 2" xfId="1452" xr:uid="{00000000-0005-0000-0000-0000932D0000}"/>
    <cellStyle name="Total 2 2 7 3 2 2" xfId="2968" xr:uid="{00000000-0005-0000-0000-0000942D0000}"/>
    <cellStyle name="Total 2 2 7 3 2 2 2" xfId="8798" xr:uid="{00000000-0005-0000-0000-0000952D0000}"/>
    <cellStyle name="Total 2 2 7 3 2 3" xfId="4391" xr:uid="{00000000-0005-0000-0000-0000962D0000}"/>
    <cellStyle name="Total 2 2 7 3 2 3 2" xfId="10221" xr:uid="{00000000-0005-0000-0000-0000972D0000}"/>
    <cellStyle name="Total 2 2 7 3 2 4" xfId="5787" xr:uid="{00000000-0005-0000-0000-0000982D0000}"/>
    <cellStyle name="Total 2 2 7 3 2 4 2" xfId="11617" xr:uid="{00000000-0005-0000-0000-0000992D0000}"/>
    <cellStyle name="Total 2 2 7 3 2 5" xfId="7282" xr:uid="{00000000-0005-0000-0000-00009A2D0000}"/>
    <cellStyle name="Total 2 2 7 3 3" xfId="2241" xr:uid="{00000000-0005-0000-0000-00009B2D0000}"/>
    <cellStyle name="Total 2 2 7 3 3 2" xfId="8071" xr:uid="{00000000-0005-0000-0000-00009C2D0000}"/>
    <cellStyle name="Total 2 2 7 3 4" xfId="3667" xr:uid="{00000000-0005-0000-0000-00009D2D0000}"/>
    <cellStyle name="Total 2 2 7 3 4 2" xfId="9497" xr:uid="{00000000-0005-0000-0000-00009E2D0000}"/>
    <cellStyle name="Total 2 2 7 3 5" xfId="5063" xr:uid="{00000000-0005-0000-0000-00009F2D0000}"/>
    <cellStyle name="Total 2 2 7 3 5 2" xfId="10893" xr:uid="{00000000-0005-0000-0000-0000A02D0000}"/>
    <cellStyle name="Total 2 2 7 3 6" xfId="6558" xr:uid="{00000000-0005-0000-0000-0000A12D0000}"/>
    <cellStyle name="Total 2 2 7 4" xfId="965" xr:uid="{00000000-0005-0000-0000-0000A22D0000}"/>
    <cellStyle name="Total 2 2 7 4 2" xfId="2485" xr:uid="{00000000-0005-0000-0000-0000A32D0000}"/>
    <cellStyle name="Total 2 2 7 4 2 2" xfId="8315" xr:uid="{00000000-0005-0000-0000-0000A42D0000}"/>
    <cellStyle name="Total 2 2 7 4 3" xfId="3911" xr:uid="{00000000-0005-0000-0000-0000A52D0000}"/>
    <cellStyle name="Total 2 2 7 4 3 2" xfId="9741" xr:uid="{00000000-0005-0000-0000-0000A62D0000}"/>
    <cellStyle name="Total 2 2 7 4 4" xfId="5307" xr:uid="{00000000-0005-0000-0000-0000A72D0000}"/>
    <cellStyle name="Total 2 2 7 4 4 2" xfId="11137" xr:uid="{00000000-0005-0000-0000-0000A82D0000}"/>
    <cellStyle name="Total 2 2 7 4 5" xfId="6802" xr:uid="{00000000-0005-0000-0000-0000A92D0000}"/>
    <cellStyle name="Total 2 2 7 5" xfId="1739" xr:uid="{00000000-0005-0000-0000-0000AA2D0000}"/>
    <cellStyle name="Total 2 2 7 5 2" xfId="7569" xr:uid="{00000000-0005-0000-0000-0000AB2D0000}"/>
    <cellStyle name="Total 2 2 7 6" xfId="3170" xr:uid="{00000000-0005-0000-0000-0000AC2D0000}"/>
    <cellStyle name="Total 2 2 7 6 2" xfId="9000" xr:uid="{00000000-0005-0000-0000-0000AD2D0000}"/>
    <cellStyle name="Total 2 2 7 7" xfId="4582" xr:uid="{00000000-0005-0000-0000-0000AE2D0000}"/>
    <cellStyle name="Total 2 2 7 7 2" xfId="10412" xr:uid="{00000000-0005-0000-0000-0000AF2D0000}"/>
    <cellStyle name="Total 2 2 7 8" xfId="6077" xr:uid="{00000000-0005-0000-0000-0000B02D0000}"/>
    <cellStyle name="Total 2 2 8" xfId="278" xr:uid="{00000000-0005-0000-0000-0000B12D0000}"/>
    <cellStyle name="Total 2 2 8 2" xfId="557" xr:uid="{00000000-0005-0000-0000-0000B22D0000}"/>
    <cellStyle name="Total 2 2 8 2 2" xfId="1292" xr:uid="{00000000-0005-0000-0000-0000B32D0000}"/>
    <cellStyle name="Total 2 2 8 2 2 2" xfId="2808" xr:uid="{00000000-0005-0000-0000-0000B42D0000}"/>
    <cellStyle name="Total 2 2 8 2 2 2 2" xfId="8638" xr:uid="{00000000-0005-0000-0000-0000B52D0000}"/>
    <cellStyle name="Total 2 2 8 2 2 3" xfId="4231" xr:uid="{00000000-0005-0000-0000-0000B62D0000}"/>
    <cellStyle name="Total 2 2 8 2 2 3 2" xfId="10061" xr:uid="{00000000-0005-0000-0000-0000B72D0000}"/>
    <cellStyle name="Total 2 2 8 2 2 4" xfId="5627" xr:uid="{00000000-0005-0000-0000-0000B82D0000}"/>
    <cellStyle name="Total 2 2 8 2 2 4 2" xfId="11457" xr:uid="{00000000-0005-0000-0000-0000B92D0000}"/>
    <cellStyle name="Total 2 2 8 2 2 5" xfId="7122" xr:uid="{00000000-0005-0000-0000-0000BA2D0000}"/>
    <cellStyle name="Total 2 2 8 2 3" xfId="2079" xr:uid="{00000000-0005-0000-0000-0000BB2D0000}"/>
    <cellStyle name="Total 2 2 8 2 3 2" xfId="7909" xr:uid="{00000000-0005-0000-0000-0000BC2D0000}"/>
    <cellStyle name="Total 2 2 8 2 4" xfId="3506" xr:uid="{00000000-0005-0000-0000-0000BD2D0000}"/>
    <cellStyle name="Total 2 2 8 2 4 2" xfId="9336" xr:uid="{00000000-0005-0000-0000-0000BE2D0000}"/>
    <cellStyle name="Total 2 2 8 2 5" xfId="4903" xr:uid="{00000000-0005-0000-0000-0000BF2D0000}"/>
    <cellStyle name="Total 2 2 8 2 5 2" xfId="10733" xr:uid="{00000000-0005-0000-0000-0000C02D0000}"/>
    <cellStyle name="Total 2 2 8 2 6" xfId="6398" xr:uid="{00000000-0005-0000-0000-0000C12D0000}"/>
    <cellStyle name="Total 2 2 8 3" xfId="801" xr:uid="{00000000-0005-0000-0000-0000C22D0000}"/>
    <cellStyle name="Total 2 2 8 3 2" xfId="1532" xr:uid="{00000000-0005-0000-0000-0000C32D0000}"/>
    <cellStyle name="Total 2 2 8 3 2 2" xfId="3048" xr:uid="{00000000-0005-0000-0000-0000C42D0000}"/>
    <cellStyle name="Total 2 2 8 3 2 2 2" xfId="8878" xr:uid="{00000000-0005-0000-0000-0000C52D0000}"/>
    <cellStyle name="Total 2 2 8 3 2 3" xfId="4471" xr:uid="{00000000-0005-0000-0000-0000C62D0000}"/>
    <cellStyle name="Total 2 2 8 3 2 3 2" xfId="10301" xr:uid="{00000000-0005-0000-0000-0000C72D0000}"/>
    <cellStyle name="Total 2 2 8 3 2 4" xfId="5867" xr:uid="{00000000-0005-0000-0000-0000C82D0000}"/>
    <cellStyle name="Total 2 2 8 3 2 4 2" xfId="11697" xr:uid="{00000000-0005-0000-0000-0000C92D0000}"/>
    <cellStyle name="Total 2 2 8 3 2 5" xfId="7362" xr:uid="{00000000-0005-0000-0000-0000CA2D0000}"/>
    <cellStyle name="Total 2 2 8 3 3" xfId="2321" xr:uid="{00000000-0005-0000-0000-0000CB2D0000}"/>
    <cellStyle name="Total 2 2 8 3 3 2" xfId="8151" xr:uid="{00000000-0005-0000-0000-0000CC2D0000}"/>
    <cellStyle name="Total 2 2 8 3 4" xfId="3747" xr:uid="{00000000-0005-0000-0000-0000CD2D0000}"/>
    <cellStyle name="Total 2 2 8 3 4 2" xfId="9577" xr:uid="{00000000-0005-0000-0000-0000CE2D0000}"/>
    <cellStyle name="Total 2 2 8 3 5" xfId="5143" xr:uid="{00000000-0005-0000-0000-0000CF2D0000}"/>
    <cellStyle name="Total 2 2 8 3 5 2" xfId="10973" xr:uid="{00000000-0005-0000-0000-0000D02D0000}"/>
    <cellStyle name="Total 2 2 8 3 6" xfId="6638" xr:uid="{00000000-0005-0000-0000-0000D12D0000}"/>
    <cellStyle name="Total 2 2 8 4" xfId="1045" xr:uid="{00000000-0005-0000-0000-0000D22D0000}"/>
    <cellStyle name="Total 2 2 8 4 2" xfId="2565" xr:uid="{00000000-0005-0000-0000-0000D32D0000}"/>
    <cellStyle name="Total 2 2 8 4 2 2" xfId="8395" xr:uid="{00000000-0005-0000-0000-0000D42D0000}"/>
    <cellStyle name="Total 2 2 8 4 3" xfId="3991" xr:uid="{00000000-0005-0000-0000-0000D52D0000}"/>
    <cellStyle name="Total 2 2 8 4 3 2" xfId="9821" xr:uid="{00000000-0005-0000-0000-0000D62D0000}"/>
    <cellStyle name="Total 2 2 8 4 4" xfId="5387" xr:uid="{00000000-0005-0000-0000-0000D72D0000}"/>
    <cellStyle name="Total 2 2 8 4 4 2" xfId="11217" xr:uid="{00000000-0005-0000-0000-0000D82D0000}"/>
    <cellStyle name="Total 2 2 8 4 5" xfId="6882" xr:uid="{00000000-0005-0000-0000-0000D92D0000}"/>
    <cellStyle name="Total 2 2 8 5" xfId="1819" xr:uid="{00000000-0005-0000-0000-0000DA2D0000}"/>
    <cellStyle name="Total 2 2 8 5 2" xfId="7649" xr:uid="{00000000-0005-0000-0000-0000DB2D0000}"/>
    <cellStyle name="Total 2 2 8 6" xfId="3250" xr:uid="{00000000-0005-0000-0000-0000DC2D0000}"/>
    <cellStyle name="Total 2 2 8 6 2" xfId="9080" xr:uid="{00000000-0005-0000-0000-0000DD2D0000}"/>
    <cellStyle name="Total 2 2 8 7" xfId="4662" xr:uid="{00000000-0005-0000-0000-0000DE2D0000}"/>
    <cellStyle name="Total 2 2 8 7 2" xfId="10492" xr:uid="{00000000-0005-0000-0000-0000DF2D0000}"/>
    <cellStyle name="Total 2 2 8 8" xfId="6157" xr:uid="{00000000-0005-0000-0000-0000E02D0000}"/>
    <cellStyle name="Total 2 2 9" xfId="397" xr:uid="{00000000-0005-0000-0000-0000E12D0000}"/>
    <cellStyle name="Total 2 2 9 2" xfId="1132" xr:uid="{00000000-0005-0000-0000-0000E22D0000}"/>
    <cellStyle name="Total 2 2 9 2 2" xfId="2648" xr:uid="{00000000-0005-0000-0000-0000E32D0000}"/>
    <cellStyle name="Total 2 2 9 2 2 2" xfId="8478" xr:uid="{00000000-0005-0000-0000-0000E42D0000}"/>
    <cellStyle name="Total 2 2 9 2 3" xfId="4071" xr:uid="{00000000-0005-0000-0000-0000E52D0000}"/>
    <cellStyle name="Total 2 2 9 2 3 2" xfId="9901" xr:uid="{00000000-0005-0000-0000-0000E62D0000}"/>
    <cellStyle name="Total 2 2 9 2 4" xfId="5467" xr:uid="{00000000-0005-0000-0000-0000E72D0000}"/>
    <cellStyle name="Total 2 2 9 2 4 2" xfId="11297" xr:uid="{00000000-0005-0000-0000-0000E82D0000}"/>
    <cellStyle name="Total 2 2 9 2 5" xfId="6962" xr:uid="{00000000-0005-0000-0000-0000E92D0000}"/>
    <cellStyle name="Total 2 2 9 3" xfId="1919" xr:uid="{00000000-0005-0000-0000-0000EA2D0000}"/>
    <cellStyle name="Total 2 2 9 3 2" xfId="7749" xr:uid="{00000000-0005-0000-0000-0000EB2D0000}"/>
    <cellStyle name="Total 2 2 9 4" xfId="3346" xr:uid="{00000000-0005-0000-0000-0000EC2D0000}"/>
    <cellStyle name="Total 2 2 9 4 2" xfId="9176" xr:uid="{00000000-0005-0000-0000-0000ED2D0000}"/>
    <cellStyle name="Total 2 2 9 5" xfId="4743" xr:uid="{00000000-0005-0000-0000-0000EE2D0000}"/>
    <cellStyle name="Total 2 2 9 5 2" xfId="10573" xr:uid="{00000000-0005-0000-0000-0000EF2D0000}"/>
    <cellStyle name="Total 2 2 9 6" xfId="6238" xr:uid="{00000000-0005-0000-0000-0000F02D0000}"/>
    <cellStyle name="Total 2 3" xfId="880" xr:uid="{00000000-0005-0000-0000-0000F12D0000}"/>
    <cellStyle name="Total 2 3 2" xfId="2400" xr:uid="{00000000-0005-0000-0000-0000F22D0000}"/>
    <cellStyle name="Total 2 3 2 2" xfId="8230" xr:uid="{00000000-0005-0000-0000-0000F32D0000}"/>
    <cellStyle name="Total 2 3 3" xfId="3826" xr:uid="{00000000-0005-0000-0000-0000F42D0000}"/>
    <cellStyle name="Total 2 3 3 2" xfId="9656" xr:uid="{00000000-0005-0000-0000-0000F52D0000}"/>
    <cellStyle name="Total 2 3 4" xfId="5222" xr:uid="{00000000-0005-0000-0000-0000F62D0000}"/>
    <cellStyle name="Total 2 3 4 2" xfId="11052" xr:uid="{00000000-0005-0000-0000-0000F72D0000}"/>
    <cellStyle name="Total 2 3 5" xfId="6717" xr:uid="{00000000-0005-0000-0000-0000F82D0000}"/>
    <cellStyle name="Total 2 4" xfId="5992" xr:uid="{00000000-0005-0000-0000-0000F92D0000}"/>
    <cellStyle name="Total 3" xfId="361" xr:uid="{00000000-0005-0000-0000-0000FA2D0000}"/>
    <cellStyle name="Total 4" xfId="5963" xr:uid="{00000000-0005-0000-0000-0000FB2D0000}"/>
    <cellStyle name="Warning Text" xfId="13" builtinId="11" customBuiltin="1"/>
    <cellStyle name="Warning Text 2" xfId="95" xr:uid="{00000000-0005-0000-0000-0000FD2D0000}"/>
    <cellStyle name="Warning Text 3" xfId="365" xr:uid="{00000000-0005-0000-0000-0000FE2D0000}"/>
    <cellStyle name="Warning Text 4" xfId="5960" xr:uid="{00000000-0005-0000-0000-0000FF2D0000}"/>
  </cellStyles>
  <dxfs count="1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434949</xdr:colOff>
      <xdr:row>414</xdr:row>
      <xdr:rowOff>19341</xdr:rowOff>
    </xdr:from>
    <xdr:ext cx="7458893" cy="262822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EEA1EF1-3BDC-FB5A-3F83-B187A72E28BC}"/>
            </a:ext>
          </a:extLst>
        </xdr:cNvPr>
        <xdr:cNvSpPr/>
      </xdr:nvSpPr>
      <xdr:spPr>
        <a:xfrm>
          <a:off x="8757418" y="109390154"/>
          <a:ext cx="7458893" cy="262822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Nomor</a:t>
          </a:r>
          <a:r>
            <a:rPr lang="en-US" sz="5400" b="1" cap="none" spc="0" baseline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Terima 633/3231</a:t>
          </a:r>
        </a:p>
        <a:p>
          <a:pPr algn="ctr"/>
          <a:r>
            <a:rPr lang="en-US" sz="5400" b="1" cap="none" spc="0" baseline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mau di cek belum</a:t>
          </a:r>
        </a:p>
        <a:p>
          <a:pPr algn="ctr"/>
          <a:r>
            <a:rPr lang="en-US" sz="5400" b="1" cap="none" spc="0" baseline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ketemu fisik kayunya</a:t>
          </a:r>
          <a:endParaRPr lang="en-US" sz="54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70D3C-F41F-4710-93A5-F0AD95A522C2}">
  <sheetPr>
    <tabColor rgb="FF92D050"/>
  </sheetPr>
  <dimension ref="A1:AX413"/>
  <sheetViews>
    <sheetView tabSelected="1" topLeftCell="E411" zoomScale="80" zoomScaleNormal="80" workbookViewId="0">
      <selection activeCell="Z431" sqref="Z431"/>
    </sheetView>
  </sheetViews>
  <sheetFormatPr defaultRowHeight="15" x14ac:dyDescent="0.25"/>
  <cols>
    <col min="1" max="1" width="5.7109375" style="139" customWidth="1"/>
    <col min="2" max="2" width="8.7109375" customWidth="1"/>
    <col min="3" max="6" width="14.7109375" style="91" customWidth="1"/>
    <col min="7" max="7" width="3.42578125" customWidth="1"/>
    <col min="8" max="8" width="3.140625" customWidth="1"/>
    <col min="9" max="9" width="7.5703125" customWidth="1"/>
    <col min="10" max="11" width="7.7109375" customWidth="1"/>
    <col min="12" max="12" width="18.7109375" style="183" customWidth="1"/>
    <col min="13" max="13" width="3.5703125" customWidth="1"/>
    <col min="14" max="14" width="9.140625" hidden="1" customWidth="1"/>
    <col min="15" max="15" width="26.7109375" hidden="1" customWidth="1"/>
    <col min="16" max="16" width="7.5703125" hidden="1" customWidth="1"/>
    <col min="17" max="17" width="8" hidden="1" customWidth="1"/>
    <col min="18" max="18" width="7.5703125" hidden="1" customWidth="1"/>
    <col min="19" max="19" width="30.140625" hidden="1" customWidth="1"/>
    <col min="20" max="21" width="10.7109375" style="92" customWidth="1"/>
    <col min="22" max="22" width="9.140625" style="92" hidden="1" customWidth="1"/>
    <col min="23" max="25" width="0" style="92" hidden="1" customWidth="1"/>
    <col min="26" max="26" width="20.85546875" style="92" customWidth="1"/>
    <col min="27" max="27" width="14.5703125" style="92" hidden="1" customWidth="1"/>
    <col min="28" max="28" width="29.140625" style="92" hidden="1" customWidth="1"/>
    <col min="29" max="30" width="0" style="92" hidden="1" customWidth="1"/>
    <col min="31" max="31" width="11.7109375" style="92" customWidth="1"/>
    <col min="32" max="33" width="9.7109375" customWidth="1"/>
    <col min="34" max="34" width="9.7109375" style="92" customWidth="1"/>
    <col min="35" max="35" width="15.7109375" style="92" customWidth="1"/>
    <col min="36" max="37" width="6.7109375" customWidth="1"/>
    <col min="38" max="38" width="8.7109375" style="92" customWidth="1"/>
    <col min="39" max="39" width="12.7109375" style="92" customWidth="1"/>
    <col min="40" max="40" width="16.7109375" style="92" customWidth="1"/>
    <col min="41" max="41" width="8.7109375" hidden="1" customWidth="1"/>
    <col min="42" max="42" width="12.7109375" hidden="1" customWidth="1"/>
    <col min="43" max="44" width="16.7109375" hidden="1" customWidth="1"/>
    <col min="45" max="45" width="21.140625" hidden="1" customWidth="1"/>
    <col min="46" max="46" width="18.7109375" hidden="1" customWidth="1"/>
    <col min="47" max="47" width="20.28515625" hidden="1" customWidth="1"/>
    <col min="48" max="48" width="22.28515625" customWidth="1"/>
    <col min="49" max="49" width="15.7109375" hidden="1" customWidth="1"/>
  </cols>
  <sheetData>
    <row r="1" spans="1:50" ht="28.5" x14ac:dyDescent="0.25">
      <c r="A1" s="138">
        <v>1</v>
      </c>
      <c r="B1" s="3" t="s">
        <v>53</v>
      </c>
      <c r="C1" s="93"/>
      <c r="D1" s="5"/>
      <c r="E1" s="5"/>
      <c r="F1" s="5"/>
      <c r="G1" s="4"/>
      <c r="H1" s="6"/>
      <c r="I1" s="6"/>
      <c r="J1" s="6"/>
      <c r="K1" s="6"/>
      <c r="L1" s="181"/>
      <c r="M1" s="6"/>
      <c r="N1" s="7"/>
      <c r="O1" s="6"/>
      <c r="P1" s="7"/>
      <c r="Q1" s="7"/>
      <c r="R1" s="7"/>
      <c r="S1" s="6"/>
      <c r="T1" s="8"/>
      <c r="U1" s="8"/>
      <c r="V1" s="9"/>
      <c r="W1" s="10"/>
      <c r="X1" s="11"/>
      <c r="Y1" s="10"/>
      <c r="Z1" s="12"/>
      <c r="AA1" s="8"/>
      <c r="AB1" s="8"/>
      <c r="AC1" s="8"/>
      <c r="AD1" s="8"/>
      <c r="AE1" s="13"/>
      <c r="AF1" s="14"/>
      <c r="AG1" s="14"/>
      <c r="AH1" s="12"/>
      <c r="AI1" s="13"/>
      <c r="AJ1" s="14"/>
      <c r="AK1" s="14"/>
      <c r="AL1" s="15"/>
      <c r="AM1" s="16"/>
      <c r="AN1" s="17"/>
      <c r="AO1" s="18"/>
      <c r="AP1" s="19"/>
      <c r="AQ1" s="19"/>
      <c r="AR1" s="19"/>
      <c r="AS1" s="20"/>
      <c r="AT1" s="21"/>
      <c r="AU1" s="22"/>
      <c r="AV1" s="23"/>
      <c r="AW1" s="19"/>
      <c r="AX1" s="138">
        <v>1</v>
      </c>
    </row>
    <row r="2" spans="1:50" ht="29.25" thickBot="1" x14ac:dyDescent="0.3">
      <c r="A2" s="138">
        <v>2</v>
      </c>
      <c r="B2" s="15"/>
      <c r="C2" s="25"/>
      <c r="D2" s="25"/>
      <c r="E2" s="25"/>
      <c r="F2" s="25"/>
      <c r="G2" s="24"/>
      <c r="H2" s="26"/>
      <c r="I2" s="27"/>
      <c r="J2" s="26"/>
      <c r="K2" s="27"/>
      <c r="L2" s="182"/>
      <c r="M2" s="27"/>
      <c r="N2" s="28"/>
      <c r="O2" s="27"/>
      <c r="P2" s="28"/>
      <c r="Q2" s="29"/>
      <c r="R2" s="28"/>
      <c r="S2" s="27"/>
      <c r="T2" s="8"/>
      <c r="U2" s="30"/>
      <c r="V2" s="31"/>
      <c r="W2" s="32"/>
      <c r="X2" s="33"/>
      <c r="Y2" s="32"/>
      <c r="Z2" s="34"/>
      <c r="AA2" s="35"/>
      <c r="AB2" s="30"/>
      <c r="AC2" s="35"/>
      <c r="AD2" s="30"/>
      <c r="AE2" s="36"/>
      <c r="AF2" s="37"/>
      <c r="AG2" s="37"/>
      <c r="AH2" s="37"/>
      <c r="AI2" s="38"/>
      <c r="AJ2" s="30"/>
      <c r="AK2" s="30"/>
      <c r="AL2" s="15"/>
      <c r="AM2" s="39"/>
      <c r="AN2" s="40"/>
      <c r="AO2" s="41"/>
      <c r="AP2" s="31"/>
      <c r="AQ2" s="31"/>
      <c r="AR2" s="31"/>
      <c r="AS2" s="42"/>
      <c r="AT2" s="43"/>
      <c r="AU2" s="44"/>
      <c r="AV2" s="37"/>
      <c r="AW2" s="31"/>
      <c r="AX2" s="138">
        <v>2</v>
      </c>
    </row>
    <row r="3" spans="1:50" ht="26.25" x14ac:dyDescent="0.25">
      <c r="A3" s="138">
        <v>3</v>
      </c>
      <c r="B3" s="215" t="s">
        <v>10</v>
      </c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216"/>
      <c r="W3" s="216"/>
      <c r="X3" s="216"/>
      <c r="Y3" s="216"/>
      <c r="Z3" s="216"/>
      <c r="AA3" s="216"/>
      <c r="AB3" s="216"/>
      <c r="AC3" s="216"/>
      <c r="AD3" s="216"/>
      <c r="AE3" s="216"/>
      <c r="AF3" s="216"/>
      <c r="AG3" s="216"/>
      <c r="AH3" s="216"/>
      <c r="AI3" s="216"/>
      <c r="AJ3" s="216"/>
      <c r="AK3" s="217"/>
      <c r="AL3" s="218" t="s">
        <v>11</v>
      </c>
      <c r="AM3" s="219"/>
      <c r="AN3" s="220"/>
      <c r="AO3" s="224" t="s">
        <v>12</v>
      </c>
      <c r="AP3" s="225"/>
      <c r="AQ3" s="225"/>
      <c r="AR3" s="226"/>
      <c r="AS3" s="202" t="s">
        <v>13</v>
      </c>
      <c r="AT3" s="203"/>
      <c r="AU3" s="203"/>
      <c r="AV3" s="203"/>
      <c r="AW3" s="204"/>
      <c r="AX3" s="138">
        <v>3</v>
      </c>
    </row>
    <row r="4" spans="1:50" ht="28.5" x14ac:dyDescent="0.25">
      <c r="A4" s="138">
        <v>4</v>
      </c>
      <c r="B4" s="45" t="s">
        <v>14</v>
      </c>
      <c r="C4" s="233" t="s">
        <v>15</v>
      </c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5"/>
      <c r="O4" s="233" t="s">
        <v>16</v>
      </c>
      <c r="P4" s="234"/>
      <c r="Q4" s="234"/>
      <c r="R4" s="234"/>
      <c r="S4" s="235"/>
      <c r="T4" s="236" t="s">
        <v>17</v>
      </c>
      <c r="U4" s="205" t="s">
        <v>18</v>
      </c>
      <c r="V4" s="206"/>
      <c r="W4" s="205" t="s">
        <v>19</v>
      </c>
      <c r="X4" s="240"/>
      <c r="Y4" s="206"/>
      <c r="Z4" s="205" t="s">
        <v>20</v>
      </c>
      <c r="AA4" s="206"/>
      <c r="AB4" s="46" t="s">
        <v>21</v>
      </c>
      <c r="AC4" s="47"/>
      <c r="AD4" s="48"/>
      <c r="AE4" s="230" t="s">
        <v>22</v>
      </c>
      <c r="AF4" s="231"/>
      <c r="AG4" s="231"/>
      <c r="AH4" s="232"/>
      <c r="AI4" s="49" t="s">
        <v>23</v>
      </c>
      <c r="AJ4" s="230" t="s">
        <v>24</v>
      </c>
      <c r="AK4" s="232"/>
      <c r="AL4" s="221"/>
      <c r="AM4" s="222"/>
      <c r="AN4" s="223"/>
      <c r="AO4" s="227"/>
      <c r="AP4" s="228"/>
      <c r="AQ4" s="228"/>
      <c r="AR4" s="229"/>
      <c r="AS4" s="242" t="s">
        <v>25</v>
      </c>
      <c r="AT4" s="242" t="s">
        <v>26</v>
      </c>
      <c r="AU4" s="200" t="s">
        <v>27</v>
      </c>
      <c r="AV4" s="50" t="s">
        <v>28</v>
      </c>
      <c r="AW4" s="51" t="s">
        <v>29</v>
      </c>
      <c r="AX4" s="138">
        <v>4</v>
      </c>
    </row>
    <row r="5" spans="1:50" ht="29.25" thickBot="1" x14ac:dyDescent="0.3">
      <c r="A5" s="138">
        <v>5</v>
      </c>
      <c r="B5" s="52" t="s">
        <v>30</v>
      </c>
      <c r="C5" s="209" t="s">
        <v>31</v>
      </c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1"/>
      <c r="O5" s="209"/>
      <c r="P5" s="210"/>
      <c r="Q5" s="210"/>
      <c r="R5" s="210"/>
      <c r="S5" s="211"/>
      <c r="T5" s="237"/>
      <c r="U5" s="238"/>
      <c r="V5" s="239"/>
      <c r="W5" s="238"/>
      <c r="X5" s="241"/>
      <c r="Y5" s="239"/>
      <c r="Z5" s="207"/>
      <c r="AA5" s="208"/>
      <c r="AB5" s="53" t="s">
        <v>32</v>
      </c>
      <c r="AC5" s="53" t="s">
        <v>33</v>
      </c>
      <c r="AD5" s="53" t="s">
        <v>34</v>
      </c>
      <c r="AE5" s="54" t="s">
        <v>35</v>
      </c>
      <c r="AF5" s="55" t="s">
        <v>36</v>
      </c>
      <c r="AG5" s="55" t="s">
        <v>37</v>
      </c>
      <c r="AH5" s="55" t="s">
        <v>38</v>
      </c>
      <c r="AI5" s="54" t="s">
        <v>39</v>
      </c>
      <c r="AJ5" s="55" t="s">
        <v>40</v>
      </c>
      <c r="AK5" s="55" t="s">
        <v>41</v>
      </c>
      <c r="AL5" s="56" t="s">
        <v>42</v>
      </c>
      <c r="AM5" s="57" t="s">
        <v>43</v>
      </c>
      <c r="AN5" s="58" t="s">
        <v>39</v>
      </c>
      <c r="AO5" s="212" t="s">
        <v>44</v>
      </c>
      <c r="AP5" s="213"/>
      <c r="AQ5" s="213"/>
      <c r="AR5" s="214"/>
      <c r="AS5" s="243"/>
      <c r="AT5" s="243"/>
      <c r="AU5" s="201"/>
      <c r="AV5" s="59" t="s">
        <v>45</v>
      </c>
      <c r="AW5" s="60" t="s">
        <v>46</v>
      </c>
      <c r="AX5" s="138">
        <v>5</v>
      </c>
    </row>
    <row r="6" spans="1:50" ht="29.25" thickBot="1" x14ac:dyDescent="0.3">
      <c r="A6" s="138">
        <v>6</v>
      </c>
      <c r="B6" s="15"/>
      <c r="C6" s="5"/>
      <c r="D6" s="5"/>
      <c r="E6" s="5"/>
      <c r="F6" s="5"/>
      <c r="G6" s="4"/>
      <c r="H6" s="4"/>
      <c r="I6" s="4"/>
      <c r="J6" s="4"/>
      <c r="K6" s="4"/>
      <c r="L6" s="181"/>
      <c r="M6" s="5"/>
      <c r="N6" s="61"/>
      <c r="O6" s="5"/>
      <c r="P6" s="61"/>
      <c r="Q6" s="61"/>
      <c r="R6" s="61"/>
      <c r="S6" s="5"/>
      <c r="T6" s="8"/>
      <c r="U6" s="35"/>
      <c r="V6" s="62"/>
      <c r="W6" s="32"/>
      <c r="X6" s="63"/>
      <c r="Y6" s="32"/>
      <c r="Z6" s="12"/>
      <c r="AA6" s="35"/>
      <c r="AB6" s="35"/>
      <c r="AC6" s="35"/>
      <c r="AD6" s="35"/>
      <c r="AE6" s="64"/>
      <c r="AF6" s="23"/>
      <c r="AG6" s="23"/>
      <c r="AH6" s="65"/>
      <c r="AI6" s="66"/>
      <c r="AJ6" s="67"/>
      <c r="AK6" s="67"/>
      <c r="AL6" s="15"/>
      <c r="AM6" s="16"/>
      <c r="AN6" s="17"/>
      <c r="AO6" s="18"/>
      <c r="AP6" s="19"/>
      <c r="AQ6" s="19"/>
      <c r="AR6" s="19"/>
      <c r="AS6" s="20"/>
      <c r="AT6" s="21"/>
      <c r="AU6" s="22"/>
      <c r="AV6" s="23"/>
      <c r="AW6" s="19"/>
      <c r="AX6" s="138">
        <v>6</v>
      </c>
    </row>
    <row r="7" spans="1:50" ht="29.25" thickBot="1" x14ac:dyDescent="0.3">
      <c r="A7" s="138">
        <v>7</v>
      </c>
      <c r="B7" s="68" t="s">
        <v>52</v>
      </c>
      <c r="C7" s="69"/>
      <c r="D7" s="69"/>
      <c r="E7" s="69"/>
      <c r="F7" s="69"/>
      <c r="G7" s="70"/>
      <c r="H7" s="70"/>
      <c r="I7" s="70"/>
      <c r="J7" s="70"/>
      <c r="K7" s="70"/>
      <c r="L7" s="69"/>
      <c r="M7" s="69"/>
      <c r="N7" s="71"/>
      <c r="O7" s="69"/>
      <c r="P7" s="71"/>
      <c r="Q7" s="71"/>
      <c r="R7" s="71"/>
      <c r="S7" s="69"/>
      <c r="T7" s="72"/>
      <c r="U7" s="73"/>
      <c r="V7" s="74"/>
      <c r="W7" s="75"/>
      <c r="X7" s="76"/>
      <c r="Y7" s="75"/>
      <c r="Z7" s="77"/>
      <c r="AA7" s="78"/>
      <c r="AB7" s="78"/>
      <c r="AC7" s="78"/>
      <c r="AD7" s="78"/>
      <c r="AE7" s="79"/>
      <c r="AF7" s="80"/>
      <c r="AG7" s="80"/>
      <c r="AH7" s="81"/>
      <c r="AI7" s="79"/>
      <c r="AJ7" s="80"/>
      <c r="AK7" s="80"/>
      <c r="AL7" s="82"/>
      <c r="AM7" s="82"/>
      <c r="AN7" s="83"/>
      <c r="AO7" s="84"/>
      <c r="AP7" s="85"/>
      <c r="AQ7" s="86"/>
      <c r="AR7" s="86"/>
      <c r="AS7" s="87"/>
      <c r="AT7" s="88"/>
      <c r="AU7" s="86"/>
      <c r="AV7" s="89"/>
      <c r="AW7" s="90"/>
      <c r="AX7" s="138">
        <v>7</v>
      </c>
    </row>
    <row r="8" spans="1:50" ht="28.5" x14ac:dyDescent="0.25">
      <c r="A8" s="138"/>
      <c r="B8" s="15"/>
      <c r="C8" s="5"/>
      <c r="D8" s="5"/>
      <c r="E8" s="5"/>
      <c r="F8" s="5"/>
      <c r="G8" s="4"/>
      <c r="H8" s="4"/>
      <c r="I8" s="4"/>
      <c r="J8" s="4"/>
      <c r="K8" s="4"/>
      <c r="L8" s="181"/>
      <c r="M8" s="5"/>
      <c r="N8" s="61"/>
      <c r="O8" s="5"/>
      <c r="P8" s="61"/>
      <c r="Q8" s="61"/>
      <c r="R8" s="61"/>
      <c r="S8" s="5"/>
      <c r="T8" s="8"/>
      <c r="U8" s="35"/>
      <c r="V8" s="62"/>
      <c r="W8" s="32"/>
      <c r="X8" s="63"/>
      <c r="Y8" s="32"/>
      <c r="Z8" s="12"/>
      <c r="AA8" s="35"/>
      <c r="AB8" s="35"/>
      <c r="AC8" s="35"/>
      <c r="AD8" s="35"/>
      <c r="AE8" s="64"/>
      <c r="AF8" s="23"/>
      <c r="AG8" s="23"/>
      <c r="AH8" s="65"/>
      <c r="AI8" s="66"/>
      <c r="AJ8" s="67"/>
      <c r="AK8" s="67"/>
      <c r="AL8" s="15"/>
      <c r="AM8" s="16"/>
      <c r="AN8" s="17"/>
      <c r="AO8" s="18"/>
      <c r="AP8" s="19"/>
      <c r="AQ8" s="19"/>
      <c r="AR8" s="19"/>
      <c r="AS8" s="20"/>
      <c r="AT8" s="21"/>
      <c r="AU8" s="22"/>
      <c r="AV8" s="23"/>
      <c r="AW8" s="19"/>
      <c r="AX8" s="138">
        <v>8</v>
      </c>
    </row>
    <row r="9" spans="1:50" ht="21" x14ac:dyDescent="0.25">
      <c r="A9" s="138">
        <v>9</v>
      </c>
      <c r="B9" s="94">
        <v>1</v>
      </c>
      <c r="C9" s="95" t="s">
        <v>51</v>
      </c>
      <c r="D9" s="95" t="s">
        <v>47</v>
      </c>
      <c r="E9" s="95" t="s">
        <v>48</v>
      </c>
      <c r="F9" s="96" t="s">
        <v>55</v>
      </c>
      <c r="G9" s="97">
        <v>4</v>
      </c>
      <c r="H9" s="97">
        <v>6</v>
      </c>
      <c r="I9" s="97">
        <v>2025</v>
      </c>
      <c r="J9" s="97">
        <v>341</v>
      </c>
      <c r="K9" s="97" t="s">
        <v>49</v>
      </c>
      <c r="L9" s="95" t="s">
        <v>50</v>
      </c>
      <c r="M9" s="97">
        <v>1</v>
      </c>
      <c r="N9" s="97"/>
      <c r="O9" s="98"/>
      <c r="P9" s="99"/>
      <c r="Q9" s="99"/>
      <c r="R9" s="99"/>
      <c r="S9" s="98" t="s">
        <v>61</v>
      </c>
      <c r="T9" s="174">
        <v>339</v>
      </c>
      <c r="U9" s="94">
        <v>183</v>
      </c>
      <c r="V9" s="100"/>
      <c r="W9" s="100"/>
      <c r="X9" s="100"/>
      <c r="Y9" s="100"/>
      <c r="Z9" s="101" t="s">
        <v>0</v>
      </c>
      <c r="AA9" s="100" t="s">
        <v>58</v>
      </c>
      <c r="AB9" s="100"/>
      <c r="AC9" s="100"/>
      <c r="AD9" s="100"/>
      <c r="AE9" s="102">
        <v>21</v>
      </c>
      <c r="AF9" s="103">
        <v>76</v>
      </c>
      <c r="AG9" s="103">
        <v>58</v>
      </c>
      <c r="AH9" s="104">
        <v>67</v>
      </c>
      <c r="AI9" s="102">
        <v>7.4</v>
      </c>
      <c r="AJ9" s="105"/>
      <c r="AK9" s="105">
        <v>0</v>
      </c>
      <c r="AL9" s="106"/>
      <c r="AM9" s="106"/>
      <c r="AN9" s="107"/>
      <c r="AO9" s="106"/>
      <c r="AP9" s="106"/>
      <c r="AQ9" s="108"/>
      <c r="AR9" s="109"/>
      <c r="AS9" s="110"/>
      <c r="AT9" s="110"/>
      <c r="AU9" s="111"/>
      <c r="AV9" s="112" t="s">
        <v>54</v>
      </c>
      <c r="AW9" s="110"/>
      <c r="AX9" s="138">
        <v>9</v>
      </c>
    </row>
    <row r="10" spans="1:50" ht="21" x14ac:dyDescent="0.25">
      <c r="A10" s="138">
        <v>10</v>
      </c>
      <c r="B10" s="94"/>
      <c r="C10" s="95" t="s">
        <v>51</v>
      </c>
      <c r="D10" s="95" t="s">
        <v>47</v>
      </c>
      <c r="E10" s="95" t="s">
        <v>48</v>
      </c>
      <c r="F10" s="96" t="s">
        <v>55</v>
      </c>
      <c r="G10" s="97">
        <v>4</v>
      </c>
      <c r="H10" s="97">
        <v>6</v>
      </c>
      <c r="I10" s="97">
        <v>2025</v>
      </c>
      <c r="J10" s="97">
        <v>341</v>
      </c>
      <c r="K10" s="97" t="s">
        <v>49</v>
      </c>
      <c r="L10" s="95" t="s">
        <v>50</v>
      </c>
      <c r="M10" s="97">
        <v>1</v>
      </c>
      <c r="N10" s="97"/>
      <c r="O10" s="98"/>
      <c r="P10" s="99"/>
      <c r="Q10" s="99"/>
      <c r="R10" s="99"/>
      <c r="S10" s="98" t="s">
        <v>113</v>
      </c>
      <c r="T10" s="174">
        <v>341</v>
      </c>
      <c r="U10" s="94">
        <v>237</v>
      </c>
      <c r="V10" s="100"/>
      <c r="W10" s="100"/>
      <c r="X10" s="100"/>
      <c r="Y10" s="100"/>
      <c r="Z10" s="101" t="s">
        <v>4</v>
      </c>
      <c r="AA10" s="100" t="s">
        <v>58</v>
      </c>
      <c r="AB10" s="100"/>
      <c r="AC10" s="100"/>
      <c r="AD10" s="100"/>
      <c r="AE10" s="102">
        <v>19</v>
      </c>
      <c r="AF10" s="103">
        <v>61</v>
      </c>
      <c r="AG10" s="103">
        <v>42</v>
      </c>
      <c r="AH10" s="104">
        <v>51</v>
      </c>
      <c r="AI10" s="102">
        <v>3.88</v>
      </c>
      <c r="AJ10" s="105"/>
      <c r="AK10" s="105">
        <v>0</v>
      </c>
      <c r="AL10" s="113"/>
      <c r="AM10" s="106"/>
      <c r="AN10" s="114"/>
      <c r="AO10" s="108"/>
      <c r="AP10" s="108"/>
      <c r="AQ10" s="106"/>
      <c r="AR10" s="106"/>
      <c r="AS10" s="110"/>
      <c r="AT10" s="110"/>
      <c r="AU10" s="111"/>
      <c r="AV10" s="112" t="s">
        <v>54</v>
      </c>
      <c r="AW10" s="110"/>
      <c r="AX10" s="138">
        <v>10</v>
      </c>
    </row>
    <row r="11" spans="1:50" ht="21" x14ac:dyDescent="0.25">
      <c r="A11" s="138">
        <v>11</v>
      </c>
      <c r="B11" s="94"/>
      <c r="C11" s="95" t="s">
        <v>51</v>
      </c>
      <c r="D11" s="95" t="s">
        <v>47</v>
      </c>
      <c r="E11" s="95" t="s">
        <v>48</v>
      </c>
      <c r="F11" s="96" t="s">
        <v>55</v>
      </c>
      <c r="G11" s="97">
        <v>4</v>
      </c>
      <c r="H11" s="97">
        <v>6</v>
      </c>
      <c r="I11" s="97">
        <v>2025</v>
      </c>
      <c r="J11" s="97">
        <v>341</v>
      </c>
      <c r="K11" s="97" t="s">
        <v>49</v>
      </c>
      <c r="L11" s="95" t="s">
        <v>50</v>
      </c>
      <c r="M11" s="97">
        <v>1</v>
      </c>
      <c r="N11" s="97"/>
      <c r="O11" s="98"/>
      <c r="P11" s="99"/>
      <c r="Q11" s="99"/>
      <c r="R11" s="99"/>
      <c r="S11" s="98" t="s">
        <v>288</v>
      </c>
      <c r="T11" s="174">
        <v>342</v>
      </c>
      <c r="U11" s="94">
        <v>3209</v>
      </c>
      <c r="V11" s="100"/>
      <c r="W11" s="100"/>
      <c r="X11" s="100"/>
      <c r="Y11" s="100"/>
      <c r="Z11" s="101" t="s">
        <v>0</v>
      </c>
      <c r="AA11" s="100" t="s">
        <v>58</v>
      </c>
      <c r="AB11" s="100"/>
      <c r="AC11" s="100"/>
      <c r="AD11" s="100"/>
      <c r="AE11" s="102">
        <v>14.4</v>
      </c>
      <c r="AF11" s="103">
        <v>72</v>
      </c>
      <c r="AG11" s="103">
        <v>54</v>
      </c>
      <c r="AH11" s="104">
        <v>63</v>
      </c>
      <c r="AI11" s="102">
        <v>4.49</v>
      </c>
      <c r="AJ11" s="105"/>
      <c r="AK11" s="105">
        <v>0</v>
      </c>
      <c r="AL11" s="113"/>
      <c r="AM11" s="113"/>
      <c r="AN11" s="115"/>
      <c r="AO11" s="113"/>
      <c r="AP11" s="113"/>
      <c r="AQ11" s="108"/>
      <c r="AR11" s="109"/>
      <c r="AS11" s="110"/>
      <c r="AT11" s="110"/>
      <c r="AU11" s="111"/>
      <c r="AV11" s="112" t="s">
        <v>54</v>
      </c>
      <c r="AW11" s="110"/>
      <c r="AX11" s="138">
        <v>11</v>
      </c>
    </row>
    <row r="12" spans="1:50" ht="21" x14ac:dyDescent="0.25">
      <c r="A12" s="138">
        <v>12</v>
      </c>
      <c r="B12" s="94"/>
      <c r="C12" s="95" t="s">
        <v>51</v>
      </c>
      <c r="D12" s="95" t="s">
        <v>47</v>
      </c>
      <c r="E12" s="95" t="s">
        <v>48</v>
      </c>
      <c r="F12" s="96" t="s">
        <v>55</v>
      </c>
      <c r="G12" s="97">
        <v>4</v>
      </c>
      <c r="H12" s="97">
        <v>6</v>
      </c>
      <c r="I12" s="97">
        <v>2025</v>
      </c>
      <c r="J12" s="97">
        <v>341</v>
      </c>
      <c r="K12" s="97" t="s">
        <v>49</v>
      </c>
      <c r="L12" s="95" t="s">
        <v>50</v>
      </c>
      <c r="M12" s="97">
        <v>1</v>
      </c>
      <c r="N12" s="97"/>
      <c r="O12" s="98"/>
      <c r="P12" s="99"/>
      <c r="Q12" s="99"/>
      <c r="R12" s="99"/>
      <c r="S12" s="116" t="s">
        <v>74</v>
      </c>
      <c r="T12" s="174">
        <v>343</v>
      </c>
      <c r="U12" s="175">
        <v>198</v>
      </c>
      <c r="V12" s="100"/>
      <c r="W12" s="117"/>
      <c r="X12" s="117"/>
      <c r="Y12" s="117"/>
      <c r="Z12" s="106" t="s">
        <v>0</v>
      </c>
      <c r="AA12" s="117" t="s">
        <v>58</v>
      </c>
      <c r="AB12" s="117"/>
      <c r="AC12" s="117"/>
      <c r="AD12" s="117"/>
      <c r="AE12" s="118">
        <v>13.6</v>
      </c>
      <c r="AF12" s="112">
        <v>70</v>
      </c>
      <c r="AG12" s="112">
        <v>64</v>
      </c>
      <c r="AH12" s="113">
        <v>67</v>
      </c>
      <c r="AI12" s="119">
        <v>4.79</v>
      </c>
      <c r="AJ12" s="120"/>
      <c r="AK12" s="120">
        <v>0</v>
      </c>
      <c r="AL12" s="106"/>
      <c r="AM12" s="106"/>
      <c r="AN12" s="107"/>
      <c r="AO12" s="106"/>
      <c r="AP12" s="106"/>
      <c r="AQ12" s="108"/>
      <c r="AR12" s="109"/>
      <c r="AS12" s="110"/>
      <c r="AT12" s="110"/>
      <c r="AU12" s="110"/>
      <c r="AV12" s="112" t="s">
        <v>54</v>
      </c>
      <c r="AW12" s="110"/>
      <c r="AX12" s="138">
        <v>12</v>
      </c>
    </row>
    <row r="13" spans="1:50" ht="21" x14ac:dyDescent="0.25">
      <c r="A13" s="138">
        <v>13</v>
      </c>
      <c r="B13" s="94"/>
      <c r="C13" s="95" t="s">
        <v>51</v>
      </c>
      <c r="D13" s="95" t="s">
        <v>47</v>
      </c>
      <c r="E13" s="95" t="s">
        <v>48</v>
      </c>
      <c r="F13" s="96" t="s">
        <v>55</v>
      </c>
      <c r="G13" s="97">
        <v>4</v>
      </c>
      <c r="H13" s="97">
        <v>6</v>
      </c>
      <c r="I13" s="97">
        <v>2025</v>
      </c>
      <c r="J13" s="97">
        <v>341</v>
      </c>
      <c r="K13" s="97" t="s">
        <v>49</v>
      </c>
      <c r="L13" s="95" t="s">
        <v>50</v>
      </c>
      <c r="M13" s="97">
        <v>1</v>
      </c>
      <c r="N13" s="97"/>
      <c r="O13" s="98"/>
      <c r="P13" s="99"/>
      <c r="Q13" s="99"/>
      <c r="R13" s="99"/>
      <c r="S13" s="116" t="s">
        <v>64</v>
      </c>
      <c r="T13" s="174">
        <v>344</v>
      </c>
      <c r="U13" s="175">
        <v>187</v>
      </c>
      <c r="V13" s="100"/>
      <c r="W13" s="117"/>
      <c r="X13" s="117"/>
      <c r="Y13" s="117"/>
      <c r="Z13" s="106" t="s">
        <v>0</v>
      </c>
      <c r="AA13" s="117" t="s">
        <v>58</v>
      </c>
      <c r="AB13" s="117"/>
      <c r="AC13" s="117"/>
      <c r="AD13" s="117"/>
      <c r="AE13" s="118">
        <v>19.600000000000001</v>
      </c>
      <c r="AF13" s="112">
        <v>62</v>
      </c>
      <c r="AG13" s="112">
        <v>43</v>
      </c>
      <c r="AH13" s="113">
        <v>52</v>
      </c>
      <c r="AI13" s="119">
        <v>4.16</v>
      </c>
      <c r="AJ13" s="120"/>
      <c r="AK13" s="120">
        <v>0</v>
      </c>
      <c r="AL13" s="113"/>
      <c r="AM13" s="113"/>
      <c r="AN13" s="114"/>
      <c r="AO13" s="108"/>
      <c r="AP13" s="108"/>
      <c r="AQ13" s="108"/>
      <c r="AR13" s="109"/>
      <c r="AS13" s="110"/>
      <c r="AT13" s="110"/>
      <c r="AU13" s="110"/>
      <c r="AV13" s="112" t="s">
        <v>54</v>
      </c>
      <c r="AW13" s="110"/>
      <c r="AX13" s="138">
        <v>13</v>
      </c>
    </row>
    <row r="14" spans="1:50" ht="21" x14ac:dyDescent="0.25">
      <c r="A14" s="138">
        <v>14</v>
      </c>
      <c r="B14" s="94"/>
      <c r="C14" s="95" t="s">
        <v>51</v>
      </c>
      <c r="D14" s="95" t="s">
        <v>47</v>
      </c>
      <c r="E14" s="95" t="s">
        <v>48</v>
      </c>
      <c r="F14" s="96" t="s">
        <v>55</v>
      </c>
      <c r="G14" s="97">
        <v>4</v>
      </c>
      <c r="H14" s="97">
        <v>6</v>
      </c>
      <c r="I14" s="97">
        <v>2025</v>
      </c>
      <c r="J14" s="97">
        <v>341</v>
      </c>
      <c r="K14" s="97" t="s">
        <v>49</v>
      </c>
      <c r="L14" s="95" t="s">
        <v>50</v>
      </c>
      <c r="M14" s="97">
        <v>1</v>
      </c>
      <c r="N14" s="97"/>
      <c r="O14" s="98"/>
      <c r="P14" s="99"/>
      <c r="Q14" s="99"/>
      <c r="R14" s="99"/>
      <c r="S14" s="116" t="s">
        <v>101</v>
      </c>
      <c r="T14" s="174">
        <v>345</v>
      </c>
      <c r="U14" s="175">
        <v>225</v>
      </c>
      <c r="V14" s="100"/>
      <c r="W14" s="117"/>
      <c r="X14" s="117"/>
      <c r="Y14" s="117"/>
      <c r="Z14" s="106" t="s">
        <v>0</v>
      </c>
      <c r="AA14" s="117" t="s">
        <v>58</v>
      </c>
      <c r="AB14" s="117"/>
      <c r="AC14" s="117"/>
      <c r="AD14" s="117"/>
      <c r="AE14" s="118">
        <v>21</v>
      </c>
      <c r="AF14" s="112">
        <v>67</v>
      </c>
      <c r="AG14" s="112">
        <v>52</v>
      </c>
      <c r="AH14" s="113">
        <v>59</v>
      </c>
      <c r="AI14" s="119">
        <v>5.74</v>
      </c>
      <c r="AJ14" s="120"/>
      <c r="AK14" s="120">
        <v>0</v>
      </c>
      <c r="AL14" s="113"/>
      <c r="AM14" s="106"/>
      <c r="AN14" s="114"/>
      <c r="AO14" s="108"/>
      <c r="AP14" s="108"/>
      <c r="AQ14" s="108"/>
      <c r="AR14" s="109"/>
      <c r="AS14" s="110"/>
      <c r="AT14" s="110"/>
      <c r="AU14" s="110"/>
      <c r="AV14" s="112" t="s">
        <v>54</v>
      </c>
      <c r="AW14" s="110"/>
      <c r="AX14" s="138">
        <v>14</v>
      </c>
    </row>
    <row r="15" spans="1:50" ht="21" x14ac:dyDescent="0.25">
      <c r="A15" s="138">
        <v>15</v>
      </c>
      <c r="B15" s="94"/>
      <c r="C15" s="95" t="s">
        <v>51</v>
      </c>
      <c r="D15" s="95" t="s">
        <v>47</v>
      </c>
      <c r="E15" s="95" t="s">
        <v>48</v>
      </c>
      <c r="F15" s="96" t="s">
        <v>55</v>
      </c>
      <c r="G15" s="97">
        <v>4</v>
      </c>
      <c r="H15" s="97">
        <v>6</v>
      </c>
      <c r="I15" s="97">
        <v>2025</v>
      </c>
      <c r="J15" s="97">
        <v>341</v>
      </c>
      <c r="K15" s="97" t="s">
        <v>49</v>
      </c>
      <c r="L15" s="95" t="s">
        <v>50</v>
      </c>
      <c r="M15" s="97">
        <v>1</v>
      </c>
      <c r="N15" s="97"/>
      <c r="O15" s="98"/>
      <c r="P15" s="99"/>
      <c r="Q15" s="99"/>
      <c r="R15" s="99"/>
      <c r="S15" s="116" t="s">
        <v>73</v>
      </c>
      <c r="T15" s="174">
        <v>346</v>
      </c>
      <c r="U15" s="175">
        <v>197</v>
      </c>
      <c r="V15" s="100"/>
      <c r="W15" s="117"/>
      <c r="X15" s="117"/>
      <c r="Y15" s="117"/>
      <c r="Z15" s="106" t="s">
        <v>0</v>
      </c>
      <c r="AA15" s="117" t="s">
        <v>58</v>
      </c>
      <c r="AB15" s="117"/>
      <c r="AC15" s="117"/>
      <c r="AD15" s="117"/>
      <c r="AE15" s="118">
        <v>14.4</v>
      </c>
      <c r="AF15" s="112">
        <v>93</v>
      </c>
      <c r="AG15" s="112">
        <v>70</v>
      </c>
      <c r="AH15" s="113">
        <v>81</v>
      </c>
      <c r="AI15" s="119">
        <v>7.42</v>
      </c>
      <c r="AJ15" s="120"/>
      <c r="AK15" s="120">
        <v>0</v>
      </c>
      <c r="AL15" s="106"/>
      <c r="AM15" s="106"/>
      <c r="AN15" s="107"/>
      <c r="AO15" s="106"/>
      <c r="AP15" s="106"/>
      <c r="AQ15" s="108"/>
      <c r="AR15" s="109"/>
      <c r="AS15" s="110"/>
      <c r="AT15" s="110"/>
      <c r="AU15" s="110"/>
      <c r="AV15" s="112" t="s">
        <v>54</v>
      </c>
      <c r="AW15" s="110"/>
      <c r="AX15" s="138">
        <v>15</v>
      </c>
    </row>
    <row r="16" spans="1:50" ht="21" x14ac:dyDescent="0.25">
      <c r="A16" s="138">
        <v>16</v>
      </c>
      <c r="B16" s="94"/>
      <c r="C16" s="95" t="s">
        <v>51</v>
      </c>
      <c r="D16" s="95" t="s">
        <v>47</v>
      </c>
      <c r="E16" s="95" t="s">
        <v>48</v>
      </c>
      <c r="F16" s="96" t="s">
        <v>55</v>
      </c>
      <c r="G16" s="97">
        <v>4</v>
      </c>
      <c r="H16" s="97">
        <v>6</v>
      </c>
      <c r="I16" s="97">
        <v>2025</v>
      </c>
      <c r="J16" s="97">
        <v>341</v>
      </c>
      <c r="K16" s="97" t="s">
        <v>49</v>
      </c>
      <c r="L16" s="95" t="s">
        <v>50</v>
      </c>
      <c r="M16" s="97">
        <v>1</v>
      </c>
      <c r="N16" s="97"/>
      <c r="O16" s="98"/>
      <c r="P16" s="99"/>
      <c r="Q16" s="99"/>
      <c r="R16" s="99"/>
      <c r="S16" s="98" t="s">
        <v>104</v>
      </c>
      <c r="T16" s="174">
        <v>347</v>
      </c>
      <c r="U16" s="94">
        <v>228</v>
      </c>
      <c r="V16" s="100"/>
      <c r="W16" s="100"/>
      <c r="X16" s="100"/>
      <c r="Y16" s="100"/>
      <c r="Z16" s="101" t="s">
        <v>0</v>
      </c>
      <c r="AA16" s="100" t="s">
        <v>58</v>
      </c>
      <c r="AB16" s="100"/>
      <c r="AC16" s="100"/>
      <c r="AD16" s="100"/>
      <c r="AE16" s="102">
        <v>21</v>
      </c>
      <c r="AF16" s="103">
        <v>81</v>
      </c>
      <c r="AG16" s="103">
        <v>58</v>
      </c>
      <c r="AH16" s="104">
        <v>69</v>
      </c>
      <c r="AI16" s="102">
        <v>7.85</v>
      </c>
      <c r="AJ16" s="105"/>
      <c r="AK16" s="105">
        <v>0</v>
      </c>
      <c r="AL16" s="113">
        <v>1</v>
      </c>
      <c r="AM16" s="106">
        <v>8</v>
      </c>
      <c r="AN16" s="114">
        <f>SUM(AI9:AI16)</f>
        <v>45.730000000000004</v>
      </c>
      <c r="AO16" s="108"/>
      <c r="AP16" s="108"/>
      <c r="AQ16" s="108"/>
      <c r="AR16" s="109"/>
      <c r="AS16" s="110"/>
      <c r="AT16" s="110"/>
      <c r="AU16" s="111"/>
      <c r="AV16" s="112" t="s">
        <v>54</v>
      </c>
      <c r="AW16" s="110"/>
      <c r="AX16" s="138">
        <v>16</v>
      </c>
    </row>
    <row r="17" spans="1:50" ht="21" x14ac:dyDescent="0.25">
      <c r="A17" s="138">
        <v>17</v>
      </c>
      <c r="B17" s="94">
        <v>2</v>
      </c>
      <c r="C17" s="95" t="s">
        <v>51</v>
      </c>
      <c r="D17" s="95" t="s">
        <v>47</v>
      </c>
      <c r="E17" s="95" t="s">
        <v>456</v>
      </c>
      <c r="F17" s="96" t="s">
        <v>55</v>
      </c>
      <c r="G17" s="97">
        <v>4</v>
      </c>
      <c r="H17" s="97">
        <v>6</v>
      </c>
      <c r="I17" s="97">
        <v>2025</v>
      </c>
      <c r="J17" s="97">
        <v>345</v>
      </c>
      <c r="K17" s="97" t="s">
        <v>56</v>
      </c>
      <c r="L17" s="95" t="s">
        <v>57</v>
      </c>
      <c r="M17" s="97">
        <v>1</v>
      </c>
      <c r="N17" s="97"/>
      <c r="O17" s="98"/>
      <c r="P17" s="99"/>
      <c r="Q17" s="99"/>
      <c r="R17" s="99"/>
      <c r="S17" s="98" t="s">
        <v>107</v>
      </c>
      <c r="T17" s="174">
        <v>340</v>
      </c>
      <c r="U17" s="94">
        <v>231</v>
      </c>
      <c r="V17" s="100"/>
      <c r="W17" s="100"/>
      <c r="X17" s="100"/>
      <c r="Y17" s="100"/>
      <c r="Z17" s="101" t="s">
        <v>3</v>
      </c>
      <c r="AA17" s="100" t="s">
        <v>58</v>
      </c>
      <c r="AB17" s="100"/>
      <c r="AC17" s="100"/>
      <c r="AD17" s="100"/>
      <c r="AE17" s="102">
        <v>21.2</v>
      </c>
      <c r="AF17" s="103">
        <v>68</v>
      </c>
      <c r="AG17" s="103">
        <v>41</v>
      </c>
      <c r="AH17" s="104">
        <v>54</v>
      </c>
      <c r="AI17" s="102">
        <v>4.8600000000000003</v>
      </c>
      <c r="AJ17" s="105"/>
      <c r="AK17" s="105">
        <v>0</v>
      </c>
      <c r="AL17" s="113"/>
      <c r="AM17" s="106"/>
      <c r="AN17" s="114"/>
      <c r="AO17" s="108"/>
      <c r="AP17" s="108"/>
      <c r="AQ17" s="108"/>
      <c r="AR17" s="109"/>
      <c r="AS17" s="110"/>
      <c r="AT17" s="110"/>
      <c r="AU17" s="111"/>
      <c r="AV17" s="112" t="s">
        <v>54</v>
      </c>
      <c r="AW17" s="110"/>
      <c r="AX17" s="138">
        <v>17</v>
      </c>
    </row>
    <row r="18" spans="1:50" ht="21" x14ac:dyDescent="0.25">
      <c r="A18" s="138">
        <v>18</v>
      </c>
      <c r="B18" s="94"/>
      <c r="C18" s="95" t="s">
        <v>51</v>
      </c>
      <c r="D18" s="95" t="s">
        <v>47</v>
      </c>
      <c r="E18" s="95" t="s">
        <v>456</v>
      </c>
      <c r="F18" s="96" t="s">
        <v>55</v>
      </c>
      <c r="G18" s="97">
        <v>4</v>
      </c>
      <c r="H18" s="97">
        <v>6</v>
      </c>
      <c r="I18" s="97">
        <v>2025</v>
      </c>
      <c r="J18" s="97">
        <v>345</v>
      </c>
      <c r="K18" s="97" t="s">
        <v>56</v>
      </c>
      <c r="L18" s="98" t="s">
        <v>57</v>
      </c>
      <c r="M18" s="97">
        <v>1</v>
      </c>
      <c r="N18" s="97"/>
      <c r="O18" s="98"/>
      <c r="P18" s="99"/>
      <c r="Q18" s="99"/>
      <c r="R18" s="99"/>
      <c r="S18" s="116" t="s">
        <v>198</v>
      </c>
      <c r="T18" s="174">
        <v>348</v>
      </c>
      <c r="U18" s="175">
        <v>2875</v>
      </c>
      <c r="V18" s="100"/>
      <c r="W18" s="117"/>
      <c r="X18" s="117"/>
      <c r="Y18" s="117"/>
      <c r="Z18" s="106" t="s">
        <v>0</v>
      </c>
      <c r="AA18" s="117" t="s">
        <v>58</v>
      </c>
      <c r="AB18" s="117"/>
      <c r="AC18" s="117"/>
      <c r="AD18" s="117"/>
      <c r="AE18" s="118">
        <v>13.3</v>
      </c>
      <c r="AF18" s="112">
        <v>80</v>
      </c>
      <c r="AG18" s="112">
        <v>69</v>
      </c>
      <c r="AH18" s="113">
        <v>74</v>
      </c>
      <c r="AI18" s="119">
        <v>4.82</v>
      </c>
      <c r="AJ18" s="120">
        <v>26</v>
      </c>
      <c r="AK18" s="120">
        <v>15.7</v>
      </c>
      <c r="AL18" s="106"/>
      <c r="AM18" s="106"/>
      <c r="AN18" s="107"/>
      <c r="AO18" s="106"/>
      <c r="AP18" s="106"/>
      <c r="AQ18" s="108"/>
      <c r="AR18" s="109"/>
      <c r="AS18" s="110"/>
      <c r="AT18" s="110"/>
      <c r="AU18" s="110"/>
      <c r="AV18" s="112" t="s">
        <v>54</v>
      </c>
      <c r="AW18" s="110"/>
      <c r="AX18" s="138">
        <v>18</v>
      </c>
    </row>
    <row r="19" spans="1:50" ht="21" x14ac:dyDescent="0.25">
      <c r="A19" s="138">
        <v>19</v>
      </c>
      <c r="B19" s="94"/>
      <c r="C19" s="95" t="s">
        <v>51</v>
      </c>
      <c r="D19" s="95" t="s">
        <v>47</v>
      </c>
      <c r="E19" s="95" t="s">
        <v>456</v>
      </c>
      <c r="F19" s="96" t="s">
        <v>55</v>
      </c>
      <c r="G19" s="97">
        <v>4</v>
      </c>
      <c r="H19" s="97">
        <v>6</v>
      </c>
      <c r="I19" s="97">
        <v>2025</v>
      </c>
      <c r="J19" s="97">
        <v>345</v>
      </c>
      <c r="K19" s="97" t="s">
        <v>56</v>
      </c>
      <c r="L19" s="98" t="s">
        <v>57</v>
      </c>
      <c r="M19" s="97">
        <v>1</v>
      </c>
      <c r="N19" s="97"/>
      <c r="O19" s="98"/>
      <c r="P19" s="99"/>
      <c r="Q19" s="99"/>
      <c r="R19" s="99"/>
      <c r="S19" s="98" t="s">
        <v>111</v>
      </c>
      <c r="T19" s="174">
        <v>349</v>
      </c>
      <c r="U19" s="94">
        <v>235</v>
      </c>
      <c r="V19" s="100"/>
      <c r="W19" s="100"/>
      <c r="X19" s="100"/>
      <c r="Y19" s="100"/>
      <c r="Z19" s="101" t="s">
        <v>0</v>
      </c>
      <c r="AA19" s="100" t="s">
        <v>58</v>
      </c>
      <c r="AB19" s="100"/>
      <c r="AC19" s="100"/>
      <c r="AD19" s="100"/>
      <c r="AE19" s="102">
        <v>21</v>
      </c>
      <c r="AF19" s="103">
        <v>65</v>
      </c>
      <c r="AG19" s="103">
        <v>48</v>
      </c>
      <c r="AH19" s="104">
        <v>56</v>
      </c>
      <c r="AI19" s="102">
        <v>5.17</v>
      </c>
      <c r="AJ19" s="105"/>
      <c r="AK19" s="105">
        <v>0</v>
      </c>
      <c r="AL19" s="113"/>
      <c r="AM19" s="113"/>
      <c r="AN19" s="115"/>
      <c r="AO19" s="113"/>
      <c r="AP19" s="113"/>
      <c r="AQ19" s="108"/>
      <c r="AR19" s="109"/>
      <c r="AS19" s="110"/>
      <c r="AT19" s="110"/>
      <c r="AU19" s="111"/>
      <c r="AV19" s="112" t="s">
        <v>54</v>
      </c>
      <c r="AW19" s="110"/>
      <c r="AX19" s="138">
        <v>19</v>
      </c>
    </row>
    <row r="20" spans="1:50" ht="21" x14ac:dyDescent="0.25">
      <c r="A20" s="138">
        <v>20</v>
      </c>
      <c r="B20" s="94"/>
      <c r="C20" s="95" t="s">
        <v>51</v>
      </c>
      <c r="D20" s="95" t="s">
        <v>47</v>
      </c>
      <c r="E20" s="95" t="s">
        <v>456</v>
      </c>
      <c r="F20" s="96" t="s">
        <v>55</v>
      </c>
      <c r="G20" s="97">
        <v>4</v>
      </c>
      <c r="H20" s="97">
        <v>6</v>
      </c>
      <c r="I20" s="97">
        <v>2025</v>
      </c>
      <c r="J20" s="97">
        <v>345</v>
      </c>
      <c r="K20" s="97" t="s">
        <v>56</v>
      </c>
      <c r="L20" s="98" t="s">
        <v>57</v>
      </c>
      <c r="M20" s="97">
        <v>1</v>
      </c>
      <c r="N20" s="97"/>
      <c r="O20" s="98"/>
      <c r="P20" s="99"/>
      <c r="Q20" s="99"/>
      <c r="R20" s="99"/>
      <c r="S20" s="116" t="s">
        <v>226</v>
      </c>
      <c r="T20" s="174">
        <v>350</v>
      </c>
      <c r="U20" s="175">
        <v>2911</v>
      </c>
      <c r="V20" s="100"/>
      <c r="W20" s="117"/>
      <c r="X20" s="117"/>
      <c r="Y20" s="117"/>
      <c r="Z20" s="101" t="s">
        <v>0</v>
      </c>
      <c r="AA20" s="100" t="s">
        <v>58</v>
      </c>
      <c r="AB20" s="100"/>
      <c r="AC20" s="100"/>
      <c r="AD20" s="117"/>
      <c r="AE20" s="119">
        <v>13.2</v>
      </c>
      <c r="AF20" s="112">
        <v>56</v>
      </c>
      <c r="AG20" s="112">
        <v>44</v>
      </c>
      <c r="AH20" s="113">
        <v>50</v>
      </c>
      <c r="AI20" s="119">
        <v>2.59</v>
      </c>
      <c r="AJ20" s="120"/>
      <c r="AK20" s="120">
        <v>0</v>
      </c>
      <c r="AL20" s="113"/>
      <c r="AM20" s="106"/>
      <c r="AN20" s="114"/>
      <c r="AO20" s="108"/>
      <c r="AP20" s="108"/>
      <c r="AQ20" s="113"/>
      <c r="AR20" s="106"/>
      <c r="AS20" s="110"/>
      <c r="AT20" s="110"/>
      <c r="AU20" s="110"/>
      <c r="AV20" s="112" t="s">
        <v>54</v>
      </c>
      <c r="AW20" s="110"/>
      <c r="AX20" s="138">
        <v>20</v>
      </c>
    </row>
    <row r="21" spans="1:50" ht="21" x14ac:dyDescent="0.25">
      <c r="A21" s="138">
        <v>21</v>
      </c>
      <c r="B21" s="94"/>
      <c r="C21" s="95" t="s">
        <v>51</v>
      </c>
      <c r="D21" s="95" t="s">
        <v>47</v>
      </c>
      <c r="E21" s="95" t="s">
        <v>456</v>
      </c>
      <c r="F21" s="96" t="s">
        <v>55</v>
      </c>
      <c r="G21" s="97">
        <v>4</v>
      </c>
      <c r="H21" s="97">
        <v>6</v>
      </c>
      <c r="I21" s="97">
        <v>2025</v>
      </c>
      <c r="J21" s="97">
        <v>345</v>
      </c>
      <c r="K21" s="97" t="s">
        <v>56</v>
      </c>
      <c r="L21" s="98" t="s">
        <v>57</v>
      </c>
      <c r="M21" s="97">
        <v>1</v>
      </c>
      <c r="N21" s="97"/>
      <c r="O21" s="98"/>
      <c r="P21" s="99"/>
      <c r="Q21" s="99"/>
      <c r="R21" s="99"/>
      <c r="S21" s="98" t="s">
        <v>229</v>
      </c>
      <c r="T21" s="174">
        <v>351</v>
      </c>
      <c r="U21" s="94">
        <v>2914</v>
      </c>
      <c r="V21" s="100"/>
      <c r="W21" s="100"/>
      <c r="X21" s="100"/>
      <c r="Y21" s="100"/>
      <c r="Z21" s="101" t="s">
        <v>0</v>
      </c>
      <c r="AA21" s="100" t="s">
        <v>58</v>
      </c>
      <c r="AB21" s="100"/>
      <c r="AC21" s="100"/>
      <c r="AD21" s="100"/>
      <c r="AE21" s="102">
        <v>15</v>
      </c>
      <c r="AF21" s="103">
        <v>86</v>
      </c>
      <c r="AG21" s="103">
        <v>75</v>
      </c>
      <c r="AH21" s="104">
        <v>80</v>
      </c>
      <c r="AI21" s="102">
        <v>7.54</v>
      </c>
      <c r="AJ21" s="105"/>
      <c r="AK21" s="105">
        <v>0</v>
      </c>
      <c r="AL21" s="106"/>
      <c r="AM21" s="106"/>
      <c r="AN21" s="107"/>
      <c r="AO21" s="106"/>
      <c r="AP21" s="106"/>
      <c r="AQ21" s="108"/>
      <c r="AR21" s="109"/>
      <c r="AS21" s="110"/>
      <c r="AT21" s="110"/>
      <c r="AU21" s="111"/>
      <c r="AV21" s="112" t="s">
        <v>54</v>
      </c>
      <c r="AW21" s="110"/>
      <c r="AX21" s="138">
        <v>21</v>
      </c>
    </row>
    <row r="22" spans="1:50" ht="21" x14ac:dyDescent="0.25">
      <c r="A22" s="138">
        <v>22</v>
      </c>
      <c r="B22" s="94"/>
      <c r="C22" s="95" t="s">
        <v>51</v>
      </c>
      <c r="D22" s="95" t="s">
        <v>47</v>
      </c>
      <c r="E22" s="95" t="s">
        <v>456</v>
      </c>
      <c r="F22" s="96" t="s">
        <v>55</v>
      </c>
      <c r="G22" s="97">
        <v>4</v>
      </c>
      <c r="H22" s="97">
        <v>6</v>
      </c>
      <c r="I22" s="97">
        <v>2025</v>
      </c>
      <c r="J22" s="97">
        <v>345</v>
      </c>
      <c r="K22" s="97" t="s">
        <v>56</v>
      </c>
      <c r="L22" s="98" t="s">
        <v>57</v>
      </c>
      <c r="M22" s="97">
        <v>1</v>
      </c>
      <c r="N22" s="97"/>
      <c r="O22" s="98"/>
      <c r="P22" s="99"/>
      <c r="Q22" s="99"/>
      <c r="R22" s="99"/>
      <c r="S22" s="98" t="s">
        <v>65</v>
      </c>
      <c r="T22" s="174">
        <v>352</v>
      </c>
      <c r="U22" s="94">
        <v>189</v>
      </c>
      <c r="V22" s="100"/>
      <c r="W22" s="100"/>
      <c r="X22" s="100"/>
      <c r="Y22" s="100"/>
      <c r="Z22" s="101" t="s">
        <v>0</v>
      </c>
      <c r="AA22" s="100" t="s">
        <v>58</v>
      </c>
      <c r="AB22" s="100"/>
      <c r="AC22" s="100"/>
      <c r="AD22" s="100"/>
      <c r="AE22" s="102">
        <v>21</v>
      </c>
      <c r="AF22" s="103">
        <v>77</v>
      </c>
      <c r="AG22" s="103">
        <v>60</v>
      </c>
      <c r="AH22" s="104">
        <v>68</v>
      </c>
      <c r="AI22" s="102">
        <v>7.63</v>
      </c>
      <c r="AJ22" s="105"/>
      <c r="AK22" s="105">
        <v>0</v>
      </c>
      <c r="AL22" s="106"/>
      <c r="AM22" s="106"/>
      <c r="AN22" s="107"/>
      <c r="AO22" s="106"/>
      <c r="AP22" s="106"/>
      <c r="AQ22" s="108"/>
      <c r="AR22" s="109"/>
      <c r="AS22" s="110"/>
      <c r="AT22" s="110"/>
      <c r="AU22" s="111"/>
      <c r="AV22" s="112" t="s">
        <v>54</v>
      </c>
      <c r="AW22" s="110"/>
      <c r="AX22" s="138">
        <v>22</v>
      </c>
    </row>
    <row r="23" spans="1:50" ht="21" x14ac:dyDescent="0.25">
      <c r="A23" s="138">
        <v>23</v>
      </c>
      <c r="B23" s="94"/>
      <c r="C23" s="95" t="s">
        <v>51</v>
      </c>
      <c r="D23" s="95" t="s">
        <v>47</v>
      </c>
      <c r="E23" s="95" t="s">
        <v>456</v>
      </c>
      <c r="F23" s="96" t="s">
        <v>55</v>
      </c>
      <c r="G23" s="97">
        <v>4</v>
      </c>
      <c r="H23" s="97">
        <v>6</v>
      </c>
      <c r="I23" s="97">
        <v>2025</v>
      </c>
      <c r="J23" s="97">
        <v>345</v>
      </c>
      <c r="K23" s="97" t="s">
        <v>56</v>
      </c>
      <c r="L23" s="98" t="s">
        <v>57</v>
      </c>
      <c r="M23" s="97">
        <v>1</v>
      </c>
      <c r="N23" s="97"/>
      <c r="O23" s="98"/>
      <c r="P23" s="99"/>
      <c r="Q23" s="99"/>
      <c r="R23" s="99"/>
      <c r="S23" s="98" t="s">
        <v>421</v>
      </c>
      <c r="T23" s="174">
        <v>353</v>
      </c>
      <c r="U23" s="94">
        <v>3699</v>
      </c>
      <c r="V23" s="100"/>
      <c r="W23" s="100"/>
      <c r="X23" s="100"/>
      <c r="Y23" s="100"/>
      <c r="Z23" s="101" t="s">
        <v>9</v>
      </c>
      <c r="AA23" s="100" t="s">
        <v>118</v>
      </c>
      <c r="AB23" s="100"/>
      <c r="AC23" s="100"/>
      <c r="AD23" s="100"/>
      <c r="AE23" s="121">
        <v>14.9</v>
      </c>
      <c r="AF23" s="103">
        <v>71</v>
      </c>
      <c r="AG23" s="103">
        <v>56</v>
      </c>
      <c r="AH23" s="104">
        <v>63</v>
      </c>
      <c r="AI23" s="121">
        <v>4.6399999999999997</v>
      </c>
      <c r="AJ23" s="105"/>
      <c r="AK23" s="103">
        <v>0</v>
      </c>
      <c r="AL23" s="113"/>
      <c r="AM23" s="106"/>
      <c r="AN23" s="114"/>
      <c r="AO23" s="108"/>
      <c r="AP23" s="108"/>
      <c r="AQ23" s="108"/>
      <c r="AR23" s="109"/>
      <c r="AS23" s="110"/>
      <c r="AT23" s="110"/>
      <c r="AU23" s="111"/>
      <c r="AV23" s="112" t="s">
        <v>54</v>
      </c>
      <c r="AW23" s="110"/>
      <c r="AX23" s="138">
        <v>23</v>
      </c>
    </row>
    <row r="24" spans="1:50" ht="21" x14ac:dyDescent="0.25">
      <c r="A24" s="138">
        <v>24</v>
      </c>
      <c r="B24" s="94"/>
      <c r="C24" s="95" t="s">
        <v>51</v>
      </c>
      <c r="D24" s="95" t="s">
        <v>47</v>
      </c>
      <c r="E24" s="95" t="s">
        <v>456</v>
      </c>
      <c r="F24" s="96" t="s">
        <v>55</v>
      </c>
      <c r="G24" s="97">
        <v>4</v>
      </c>
      <c r="H24" s="97">
        <v>6</v>
      </c>
      <c r="I24" s="97">
        <v>2025</v>
      </c>
      <c r="J24" s="97">
        <v>345</v>
      </c>
      <c r="K24" s="97" t="s">
        <v>56</v>
      </c>
      <c r="L24" s="98" t="s">
        <v>57</v>
      </c>
      <c r="M24" s="97">
        <v>1</v>
      </c>
      <c r="N24" s="97"/>
      <c r="O24" s="98"/>
      <c r="P24" s="99"/>
      <c r="Q24" s="99"/>
      <c r="R24" s="99"/>
      <c r="S24" s="98" t="s">
        <v>146</v>
      </c>
      <c r="T24" s="174">
        <v>354</v>
      </c>
      <c r="U24" s="94">
        <v>343</v>
      </c>
      <c r="V24" s="100"/>
      <c r="W24" s="100"/>
      <c r="X24" s="100"/>
      <c r="Y24" s="100"/>
      <c r="Z24" s="101" t="s">
        <v>4</v>
      </c>
      <c r="AA24" s="100" t="s">
        <v>58</v>
      </c>
      <c r="AB24" s="100"/>
      <c r="AC24" s="100"/>
      <c r="AD24" s="100"/>
      <c r="AE24" s="121">
        <v>20</v>
      </c>
      <c r="AF24" s="103">
        <v>55</v>
      </c>
      <c r="AG24" s="103">
        <v>42</v>
      </c>
      <c r="AH24" s="104">
        <v>48</v>
      </c>
      <c r="AI24" s="102">
        <v>3.62</v>
      </c>
      <c r="AJ24" s="105"/>
      <c r="AK24" s="105">
        <v>0</v>
      </c>
      <c r="AL24" s="113"/>
      <c r="AM24" s="106"/>
      <c r="AN24" s="114"/>
      <c r="AO24" s="108"/>
      <c r="AP24" s="108"/>
      <c r="AQ24" s="108"/>
      <c r="AR24" s="109"/>
      <c r="AS24" s="110"/>
      <c r="AT24" s="110"/>
      <c r="AU24" s="111"/>
      <c r="AV24" s="112" t="s">
        <v>54</v>
      </c>
      <c r="AW24" s="110"/>
      <c r="AX24" s="138">
        <v>24</v>
      </c>
    </row>
    <row r="25" spans="1:50" ht="21" x14ac:dyDescent="0.25">
      <c r="A25" s="138">
        <v>25</v>
      </c>
      <c r="B25" s="94"/>
      <c r="C25" s="95" t="s">
        <v>51</v>
      </c>
      <c r="D25" s="95" t="s">
        <v>47</v>
      </c>
      <c r="E25" s="95" t="s">
        <v>456</v>
      </c>
      <c r="F25" s="96" t="s">
        <v>55</v>
      </c>
      <c r="G25" s="97">
        <v>4</v>
      </c>
      <c r="H25" s="97">
        <v>6</v>
      </c>
      <c r="I25" s="97">
        <v>2025</v>
      </c>
      <c r="J25" s="97">
        <v>345</v>
      </c>
      <c r="K25" s="97" t="s">
        <v>56</v>
      </c>
      <c r="L25" s="98" t="s">
        <v>57</v>
      </c>
      <c r="M25" s="97">
        <v>1</v>
      </c>
      <c r="N25" s="97"/>
      <c r="O25" s="98"/>
      <c r="P25" s="99"/>
      <c r="Q25" s="99"/>
      <c r="R25" s="99"/>
      <c r="S25" s="98" t="s">
        <v>418</v>
      </c>
      <c r="T25" s="174">
        <v>355</v>
      </c>
      <c r="U25" s="94">
        <v>3693</v>
      </c>
      <c r="V25" s="100"/>
      <c r="W25" s="100"/>
      <c r="X25" s="100"/>
      <c r="Y25" s="100"/>
      <c r="Z25" s="101" t="s">
        <v>0</v>
      </c>
      <c r="AA25" s="100" t="s">
        <v>58</v>
      </c>
      <c r="AB25" s="100"/>
      <c r="AC25" s="100"/>
      <c r="AD25" s="100"/>
      <c r="AE25" s="102">
        <v>15.4</v>
      </c>
      <c r="AF25" s="103">
        <v>61</v>
      </c>
      <c r="AG25" s="103">
        <v>48</v>
      </c>
      <c r="AH25" s="104">
        <v>54</v>
      </c>
      <c r="AI25" s="102">
        <v>3.53</v>
      </c>
      <c r="AJ25" s="105"/>
      <c r="AK25" s="105">
        <v>0</v>
      </c>
      <c r="AL25" s="113">
        <v>2</v>
      </c>
      <c r="AM25" s="106">
        <f>COUNT(AI16:AI25)</f>
        <v>10</v>
      </c>
      <c r="AN25" s="114">
        <f>SUM(AI17:AI25)</f>
        <v>44.4</v>
      </c>
      <c r="AO25" s="108"/>
      <c r="AP25" s="108"/>
      <c r="AQ25" s="108"/>
      <c r="AR25" s="109"/>
      <c r="AS25" s="110"/>
      <c r="AT25" s="110"/>
      <c r="AU25" s="111"/>
      <c r="AV25" s="112" t="s">
        <v>54</v>
      </c>
      <c r="AW25" s="110"/>
      <c r="AX25" s="138">
        <v>25</v>
      </c>
    </row>
    <row r="26" spans="1:50" ht="21" x14ac:dyDescent="0.25">
      <c r="A26" s="138">
        <v>26</v>
      </c>
      <c r="B26" s="94">
        <v>3</v>
      </c>
      <c r="C26" s="95" t="s">
        <v>51</v>
      </c>
      <c r="D26" s="95" t="s">
        <v>47</v>
      </c>
      <c r="E26" s="95" t="s">
        <v>456</v>
      </c>
      <c r="F26" s="95" t="s">
        <v>55</v>
      </c>
      <c r="G26" s="97">
        <v>4</v>
      </c>
      <c r="H26" s="97">
        <v>6</v>
      </c>
      <c r="I26" s="97">
        <v>2025</v>
      </c>
      <c r="J26" s="97">
        <v>343</v>
      </c>
      <c r="K26" s="97" t="s">
        <v>457</v>
      </c>
      <c r="L26" s="98" t="s">
        <v>458</v>
      </c>
      <c r="M26" s="97">
        <v>1</v>
      </c>
      <c r="N26" s="97"/>
      <c r="O26" s="98"/>
      <c r="P26" s="99"/>
      <c r="Q26" s="99"/>
      <c r="R26" s="99"/>
      <c r="S26" s="98" t="s">
        <v>429</v>
      </c>
      <c r="T26" s="174">
        <v>356</v>
      </c>
      <c r="U26" s="94">
        <v>3713</v>
      </c>
      <c r="V26" s="100"/>
      <c r="W26" s="100"/>
      <c r="X26" s="100"/>
      <c r="Y26" s="100"/>
      <c r="Z26" s="101" t="s">
        <v>0</v>
      </c>
      <c r="AA26" s="100" t="s">
        <v>58</v>
      </c>
      <c r="AB26" s="100"/>
      <c r="AC26" s="100"/>
      <c r="AD26" s="100"/>
      <c r="AE26" s="121">
        <v>17.3</v>
      </c>
      <c r="AF26" s="103">
        <v>71</v>
      </c>
      <c r="AG26" s="103">
        <v>51</v>
      </c>
      <c r="AH26" s="104">
        <v>61</v>
      </c>
      <c r="AI26" s="102">
        <v>5.0599999999999996</v>
      </c>
      <c r="AJ26" s="105"/>
      <c r="AK26" s="105">
        <v>0</v>
      </c>
      <c r="AL26" s="113"/>
      <c r="AM26" s="106"/>
      <c r="AN26" s="114"/>
      <c r="AO26" s="108"/>
      <c r="AP26" s="108"/>
      <c r="AQ26" s="108"/>
      <c r="AR26" s="109"/>
      <c r="AS26" s="110"/>
      <c r="AT26" s="110"/>
      <c r="AU26" s="111"/>
      <c r="AV26" s="112" t="s">
        <v>54</v>
      </c>
      <c r="AW26" s="110"/>
      <c r="AX26" s="138">
        <v>26</v>
      </c>
    </row>
    <row r="27" spans="1:50" ht="21" x14ac:dyDescent="0.25">
      <c r="A27" s="138">
        <v>27</v>
      </c>
      <c r="B27" s="94"/>
      <c r="C27" s="95" t="s">
        <v>51</v>
      </c>
      <c r="D27" s="95" t="s">
        <v>47</v>
      </c>
      <c r="E27" s="95" t="s">
        <v>456</v>
      </c>
      <c r="F27" s="95" t="s">
        <v>55</v>
      </c>
      <c r="G27" s="97">
        <v>4</v>
      </c>
      <c r="H27" s="97">
        <v>6</v>
      </c>
      <c r="I27" s="97">
        <v>2025</v>
      </c>
      <c r="J27" s="97">
        <v>343</v>
      </c>
      <c r="K27" s="97" t="s">
        <v>457</v>
      </c>
      <c r="L27" s="98" t="s">
        <v>458</v>
      </c>
      <c r="M27" s="97">
        <v>1</v>
      </c>
      <c r="N27" s="97"/>
      <c r="O27" s="95"/>
      <c r="P27" s="99"/>
      <c r="Q27" s="99"/>
      <c r="R27" s="99"/>
      <c r="S27" s="95" t="s">
        <v>231</v>
      </c>
      <c r="T27" s="174">
        <v>357</v>
      </c>
      <c r="U27" s="94">
        <v>2916</v>
      </c>
      <c r="V27" s="100"/>
      <c r="W27" s="100"/>
      <c r="X27" s="100"/>
      <c r="Y27" s="100"/>
      <c r="Z27" s="122" t="s">
        <v>0</v>
      </c>
      <c r="AA27" s="100" t="s">
        <v>58</v>
      </c>
      <c r="AB27" s="123"/>
      <c r="AC27" s="123"/>
      <c r="AD27" s="123"/>
      <c r="AE27" s="124">
        <v>12.9</v>
      </c>
      <c r="AF27" s="125">
        <v>66</v>
      </c>
      <c r="AG27" s="125">
        <v>53</v>
      </c>
      <c r="AH27" s="122">
        <v>59</v>
      </c>
      <c r="AI27" s="124">
        <v>3.53</v>
      </c>
      <c r="AJ27" s="125"/>
      <c r="AK27" s="126">
        <v>0</v>
      </c>
      <c r="AL27" s="122"/>
      <c r="AM27" s="122"/>
      <c r="AN27" s="124"/>
      <c r="AO27" s="122"/>
      <c r="AP27" s="122"/>
      <c r="AQ27" s="122"/>
      <c r="AR27" s="122"/>
      <c r="AS27" s="125"/>
      <c r="AT27" s="125"/>
      <c r="AU27" s="125"/>
      <c r="AV27" s="112" t="s">
        <v>54</v>
      </c>
      <c r="AW27" s="125"/>
      <c r="AX27" s="138">
        <v>27</v>
      </c>
    </row>
    <row r="28" spans="1:50" ht="21" x14ac:dyDescent="0.25">
      <c r="A28" s="138">
        <v>28</v>
      </c>
      <c r="B28" s="94"/>
      <c r="C28" s="95" t="s">
        <v>51</v>
      </c>
      <c r="D28" s="95" t="s">
        <v>47</v>
      </c>
      <c r="E28" s="95" t="s">
        <v>456</v>
      </c>
      <c r="F28" s="95" t="s">
        <v>55</v>
      </c>
      <c r="G28" s="97">
        <v>4</v>
      </c>
      <c r="H28" s="97">
        <v>6</v>
      </c>
      <c r="I28" s="97">
        <v>2025</v>
      </c>
      <c r="J28" s="97">
        <v>343</v>
      </c>
      <c r="K28" s="97" t="s">
        <v>457</v>
      </c>
      <c r="L28" s="98" t="s">
        <v>458</v>
      </c>
      <c r="M28" s="97">
        <v>1</v>
      </c>
      <c r="N28" s="97"/>
      <c r="O28" s="98"/>
      <c r="P28" s="99"/>
      <c r="Q28" s="99"/>
      <c r="R28" s="99"/>
      <c r="S28" s="98" t="s">
        <v>163</v>
      </c>
      <c r="T28" s="174">
        <v>358</v>
      </c>
      <c r="U28" s="94">
        <v>2802</v>
      </c>
      <c r="V28" s="100"/>
      <c r="W28" s="100"/>
      <c r="X28" s="100"/>
      <c r="Y28" s="100"/>
      <c r="Z28" s="101" t="s">
        <v>0</v>
      </c>
      <c r="AA28" s="100" t="s">
        <v>58</v>
      </c>
      <c r="AB28" s="100"/>
      <c r="AC28" s="100"/>
      <c r="AD28" s="100"/>
      <c r="AE28" s="102">
        <v>12.4</v>
      </c>
      <c r="AF28" s="103">
        <v>70</v>
      </c>
      <c r="AG28" s="103">
        <v>58</v>
      </c>
      <c r="AH28" s="104">
        <v>64</v>
      </c>
      <c r="AI28" s="102">
        <v>3.99</v>
      </c>
      <c r="AJ28" s="105"/>
      <c r="AK28" s="105">
        <v>0</v>
      </c>
      <c r="AL28" s="113"/>
      <c r="AM28" s="106"/>
      <c r="AN28" s="114"/>
      <c r="AO28" s="108"/>
      <c r="AP28" s="108"/>
      <c r="AQ28" s="106"/>
      <c r="AR28" s="106"/>
      <c r="AS28" s="110"/>
      <c r="AT28" s="110"/>
      <c r="AU28" s="111"/>
      <c r="AV28" s="112" t="s">
        <v>54</v>
      </c>
      <c r="AW28" s="110"/>
      <c r="AX28" s="138">
        <v>28</v>
      </c>
    </row>
    <row r="29" spans="1:50" ht="21" x14ac:dyDescent="0.25">
      <c r="A29" s="138">
        <v>29</v>
      </c>
      <c r="B29" s="94"/>
      <c r="C29" s="95" t="s">
        <v>51</v>
      </c>
      <c r="D29" s="95" t="s">
        <v>47</v>
      </c>
      <c r="E29" s="95" t="s">
        <v>456</v>
      </c>
      <c r="F29" s="95" t="s">
        <v>55</v>
      </c>
      <c r="G29" s="97">
        <v>4</v>
      </c>
      <c r="H29" s="97">
        <v>6</v>
      </c>
      <c r="I29" s="97">
        <v>2025</v>
      </c>
      <c r="J29" s="97">
        <v>343</v>
      </c>
      <c r="K29" s="97" t="s">
        <v>457</v>
      </c>
      <c r="L29" s="98" t="s">
        <v>458</v>
      </c>
      <c r="M29" s="97">
        <v>1</v>
      </c>
      <c r="N29" s="97"/>
      <c r="O29" s="98"/>
      <c r="P29" s="99"/>
      <c r="Q29" s="99"/>
      <c r="R29" s="99"/>
      <c r="S29" s="98" t="s">
        <v>426</v>
      </c>
      <c r="T29" s="174">
        <v>359</v>
      </c>
      <c r="U29" s="94">
        <v>3709</v>
      </c>
      <c r="V29" s="100"/>
      <c r="W29" s="100"/>
      <c r="X29" s="100"/>
      <c r="Y29" s="100"/>
      <c r="Z29" s="101" t="s">
        <v>0</v>
      </c>
      <c r="AA29" s="100" t="s">
        <v>58</v>
      </c>
      <c r="AB29" s="100"/>
      <c r="AC29" s="100"/>
      <c r="AD29" s="100"/>
      <c r="AE29" s="121">
        <v>19.5</v>
      </c>
      <c r="AF29" s="103">
        <v>76</v>
      </c>
      <c r="AG29" s="103">
        <v>58</v>
      </c>
      <c r="AH29" s="104">
        <v>67</v>
      </c>
      <c r="AI29" s="121">
        <v>6.88</v>
      </c>
      <c r="AJ29" s="103"/>
      <c r="AK29" s="103">
        <v>0</v>
      </c>
      <c r="AL29" s="113"/>
      <c r="AM29" s="106"/>
      <c r="AN29" s="114"/>
      <c r="AO29" s="108"/>
      <c r="AP29" s="108"/>
      <c r="AQ29" s="108"/>
      <c r="AR29" s="109"/>
      <c r="AS29" s="110"/>
      <c r="AT29" s="110"/>
      <c r="AU29" s="111"/>
      <c r="AV29" s="112" t="s">
        <v>54</v>
      </c>
      <c r="AW29" s="110"/>
      <c r="AX29" s="138">
        <v>29</v>
      </c>
    </row>
    <row r="30" spans="1:50" ht="21" x14ac:dyDescent="0.25">
      <c r="A30" s="138">
        <v>30</v>
      </c>
      <c r="B30" s="94"/>
      <c r="C30" s="95" t="s">
        <v>51</v>
      </c>
      <c r="D30" s="95" t="s">
        <v>47</v>
      </c>
      <c r="E30" s="95" t="s">
        <v>456</v>
      </c>
      <c r="F30" s="95" t="s">
        <v>55</v>
      </c>
      <c r="G30" s="97">
        <v>4</v>
      </c>
      <c r="H30" s="97">
        <v>6</v>
      </c>
      <c r="I30" s="97">
        <v>2025</v>
      </c>
      <c r="J30" s="97">
        <v>343</v>
      </c>
      <c r="K30" s="97" t="s">
        <v>457</v>
      </c>
      <c r="L30" s="98" t="s">
        <v>458</v>
      </c>
      <c r="M30" s="97">
        <v>1</v>
      </c>
      <c r="N30" s="97"/>
      <c r="O30" s="98"/>
      <c r="P30" s="99"/>
      <c r="Q30" s="99"/>
      <c r="R30" s="99"/>
      <c r="S30" s="98" t="s">
        <v>455</v>
      </c>
      <c r="T30" s="174">
        <v>360</v>
      </c>
      <c r="U30" s="94">
        <v>3850</v>
      </c>
      <c r="V30" s="100"/>
      <c r="W30" s="100"/>
      <c r="X30" s="100"/>
      <c r="Y30" s="100"/>
      <c r="Z30" s="101" t="s">
        <v>0</v>
      </c>
      <c r="AA30" s="100" t="s">
        <v>58</v>
      </c>
      <c r="AB30" s="100"/>
      <c r="AC30" s="100"/>
      <c r="AD30" s="100"/>
      <c r="AE30" s="121">
        <v>12.1</v>
      </c>
      <c r="AF30" s="103">
        <v>93</v>
      </c>
      <c r="AG30" s="103">
        <v>76</v>
      </c>
      <c r="AH30" s="104">
        <v>84</v>
      </c>
      <c r="AI30" s="102">
        <v>5.82</v>
      </c>
      <c r="AJ30" s="105">
        <v>27</v>
      </c>
      <c r="AK30" s="105">
        <v>13.2</v>
      </c>
      <c r="AL30" s="113"/>
      <c r="AM30" s="106"/>
      <c r="AN30" s="114"/>
      <c r="AO30" s="108"/>
      <c r="AP30" s="108"/>
      <c r="AQ30" s="108"/>
      <c r="AR30" s="109"/>
      <c r="AS30" s="110"/>
      <c r="AT30" s="110"/>
      <c r="AU30" s="111"/>
      <c r="AV30" s="112" t="s">
        <v>54</v>
      </c>
      <c r="AW30" s="110"/>
      <c r="AX30" s="138">
        <v>30</v>
      </c>
    </row>
    <row r="31" spans="1:50" ht="21" x14ac:dyDescent="0.25">
      <c r="A31" s="138">
        <v>31</v>
      </c>
      <c r="B31" s="94"/>
      <c r="C31" s="95" t="s">
        <v>51</v>
      </c>
      <c r="D31" s="95" t="s">
        <v>47</v>
      </c>
      <c r="E31" s="95" t="s">
        <v>456</v>
      </c>
      <c r="F31" s="95" t="s">
        <v>55</v>
      </c>
      <c r="G31" s="97">
        <v>4</v>
      </c>
      <c r="H31" s="97">
        <v>6</v>
      </c>
      <c r="I31" s="97">
        <v>2025</v>
      </c>
      <c r="J31" s="97">
        <v>343</v>
      </c>
      <c r="K31" s="97" t="s">
        <v>457</v>
      </c>
      <c r="L31" s="98" t="s">
        <v>458</v>
      </c>
      <c r="M31" s="97">
        <v>1</v>
      </c>
      <c r="N31" s="97"/>
      <c r="O31" s="98"/>
      <c r="P31" s="99"/>
      <c r="Q31" s="99"/>
      <c r="R31" s="99"/>
      <c r="S31" s="98" t="s">
        <v>66</v>
      </c>
      <c r="T31" s="174">
        <v>361</v>
      </c>
      <c r="U31" s="94">
        <v>190</v>
      </c>
      <c r="V31" s="100"/>
      <c r="W31" s="100"/>
      <c r="X31" s="100"/>
      <c r="Y31" s="100"/>
      <c r="Z31" s="101" t="s">
        <v>0</v>
      </c>
      <c r="AA31" s="100" t="s">
        <v>58</v>
      </c>
      <c r="AB31" s="100"/>
      <c r="AC31" s="100"/>
      <c r="AD31" s="100"/>
      <c r="AE31" s="102">
        <v>20.8</v>
      </c>
      <c r="AF31" s="103">
        <v>80</v>
      </c>
      <c r="AG31" s="103">
        <v>60</v>
      </c>
      <c r="AH31" s="104">
        <v>70</v>
      </c>
      <c r="AI31" s="102">
        <v>8</v>
      </c>
      <c r="AJ31" s="105"/>
      <c r="AK31" s="105">
        <v>0</v>
      </c>
      <c r="AL31" s="113"/>
      <c r="AM31" s="106"/>
      <c r="AN31" s="114"/>
      <c r="AO31" s="108"/>
      <c r="AP31" s="108"/>
      <c r="AQ31" s="108"/>
      <c r="AR31" s="109"/>
      <c r="AS31" s="110"/>
      <c r="AT31" s="110"/>
      <c r="AU31" s="111"/>
      <c r="AV31" s="112" t="s">
        <v>54</v>
      </c>
      <c r="AW31" s="110"/>
      <c r="AX31" s="138">
        <v>31</v>
      </c>
    </row>
    <row r="32" spans="1:50" ht="21" x14ac:dyDescent="0.25">
      <c r="A32" s="138">
        <v>32</v>
      </c>
      <c r="B32" s="94"/>
      <c r="C32" s="95" t="s">
        <v>51</v>
      </c>
      <c r="D32" s="95" t="s">
        <v>47</v>
      </c>
      <c r="E32" s="95" t="s">
        <v>456</v>
      </c>
      <c r="F32" s="95" t="s">
        <v>55</v>
      </c>
      <c r="G32" s="97">
        <v>4</v>
      </c>
      <c r="H32" s="97">
        <v>6</v>
      </c>
      <c r="I32" s="97">
        <v>2025</v>
      </c>
      <c r="J32" s="97">
        <v>343</v>
      </c>
      <c r="K32" s="97" t="s">
        <v>457</v>
      </c>
      <c r="L32" s="98" t="s">
        <v>458</v>
      </c>
      <c r="M32" s="97">
        <v>1</v>
      </c>
      <c r="N32" s="97"/>
      <c r="O32" s="98"/>
      <c r="P32" s="99"/>
      <c r="Q32" s="99"/>
      <c r="R32" s="99"/>
      <c r="S32" s="98" t="s">
        <v>165</v>
      </c>
      <c r="T32" s="174">
        <v>362</v>
      </c>
      <c r="U32" s="94">
        <v>2804</v>
      </c>
      <c r="V32" s="100"/>
      <c r="W32" s="100"/>
      <c r="X32" s="100"/>
      <c r="Y32" s="100"/>
      <c r="Z32" s="101" t="s">
        <v>5</v>
      </c>
      <c r="AA32" s="100" t="s">
        <v>58</v>
      </c>
      <c r="AB32" s="100"/>
      <c r="AC32" s="100"/>
      <c r="AD32" s="100"/>
      <c r="AE32" s="102">
        <v>11.1</v>
      </c>
      <c r="AF32" s="103">
        <v>65</v>
      </c>
      <c r="AG32" s="103">
        <v>53</v>
      </c>
      <c r="AH32" s="104">
        <v>59</v>
      </c>
      <c r="AI32" s="102">
        <v>2.71</v>
      </c>
      <c r="AJ32" s="105">
        <v>17</v>
      </c>
      <c r="AK32" s="105">
        <v>10.6</v>
      </c>
      <c r="AL32" s="113"/>
      <c r="AM32" s="113"/>
      <c r="AN32" s="114"/>
      <c r="AO32" s="108"/>
      <c r="AP32" s="108"/>
      <c r="AQ32" s="106"/>
      <c r="AR32" s="106"/>
      <c r="AS32" s="110"/>
      <c r="AT32" s="110"/>
      <c r="AU32" s="111"/>
      <c r="AV32" s="112" t="s">
        <v>54</v>
      </c>
      <c r="AW32" s="110"/>
      <c r="AX32" s="138">
        <v>32</v>
      </c>
    </row>
    <row r="33" spans="1:50" ht="21" x14ac:dyDescent="0.25">
      <c r="A33" s="138">
        <v>33</v>
      </c>
      <c r="B33" s="94"/>
      <c r="C33" s="95" t="s">
        <v>51</v>
      </c>
      <c r="D33" s="95" t="s">
        <v>47</v>
      </c>
      <c r="E33" s="95" t="s">
        <v>456</v>
      </c>
      <c r="F33" s="95" t="s">
        <v>55</v>
      </c>
      <c r="G33" s="97">
        <v>4</v>
      </c>
      <c r="H33" s="97">
        <v>6</v>
      </c>
      <c r="I33" s="97">
        <v>2025</v>
      </c>
      <c r="J33" s="97">
        <v>343</v>
      </c>
      <c r="K33" s="97" t="s">
        <v>457</v>
      </c>
      <c r="L33" s="98" t="s">
        <v>458</v>
      </c>
      <c r="M33" s="97">
        <v>1</v>
      </c>
      <c r="N33" s="97"/>
      <c r="O33" s="98"/>
      <c r="P33" s="99"/>
      <c r="Q33" s="99"/>
      <c r="R33" s="99"/>
      <c r="S33" s="98" t="s">
        <v>116</v>
      </c>
      <c r="T33" s="174">
        <v>363</v>
      </c>
      <c r="U33" s="94">
        <v>240</v>
      </c>
      <c r="V33" s="100"/>
      <c r="W33" s="100"/>
      <c r="X33" s="100"/>
      <c r="Y33" s="100"/>
      <c r="Z33" s="101" t="s">
        <v>3</v>
      </c>
      <c r="AA33" s="100" t="s">
        <v>58</v>
      </c>
      <c r="AB33" s="100"/>
      <c r="AC33" s="100"/>
      <c r="AD33" s="100"/>
      <c r="AE33" s="102">
        <v>21</v>
      </c>
      <c r="AF33" s="103">
        <v>57</v>
      </c>
      <c r="AG33" s="103">
        <v>40</v>
      </c>
      <c r="AH33" s="104">
        <v>48</v>
      </c>
      <c r="AI33" s="102">
        <v>3.8</v>
      </c>
      <c r="AJ33" s="105"/>
      <c r="AK33" s="105">
        <v>0</v>
      </c>
      <c r="AL33" s="113"/>
      <c r="AM33" s="106"/>
      <c r="AN33" s="114"/>
      <c r="AO33" s="108"/>
      <c r="AP33" s="108"/>
      <c r="AQ33" s="108"/>
      <c r="AR33" s="109"/>
      <c r="AS33" s="110"/>
      <c r="AT33" s="110"/>
      <c r="AU33" s="111"/>
      <c r="AV33" s="112" t="s">
        <v>54</v>
      </c>
      <c r="AW33" s="110"/>
      <c r="AX33" s="138">
        <v>33</v>
      </c>
    </row>
    <row r="34" spans="1:50" ht="21" x14ac:dyDescent="0.25">
      <c r="A34" s="138">
        <v>34</v>
      </c>
      <c r="B34" s="94"/>
      <c r="C34" s="95" t="s">
        <v>51</v>
      </c>
      <c r="D34" s="95" t="s">
        <v>47</v>
      </c>
      <c r="E34" s="95" t="s">
        <v>456</v>
      </c>
      <c r="F34" s="95" t="s">
        <v>55</v>
      </c>
      <c r="G34" s="97">
        <v>4</v>
      </c>
      <c r="H34" s="97">
        <v>6</v>
      </c>
      <c r="I34" s="97">
        <v>2025</v>
      </c>
      <c r="J34" s="97">
        <v>343</v>
      </c>
      <c r="K34" s="97" t="s">
        <v>457</v>
      </c>
      <c r="L34" s="98" t="s">
        <v>458</v>
      </c>
      <c r="M34" s="97">
        <v>1</v>
      </c>
      <c r="N34" s="97"/>
      <c r="O34" s="98"/>
      <c r="P34" s="99"/>
      <c r="Q34" s="99"/>
      <c r="R34" s="99"/>
      <c r="S34" s="98" t="s">
        <v>168</v>
      </c>
      <c r="T34" s="174">
        <v>364</v>
      </c>
      <c r="U34" s="94">
        <v>2807</v>
      </c>
      <c r="V34" s="100"/>
      <c r="W34" s="100"/>
      <c r="X34" s="100"/>
      <c r="Y34" s="100"/>
      <c r="Z34" s="101" t="s">
        <v>169</v>
      </c>
      <c r="AA34" s="100" t="s">
        <v>118</v>
      </c>
      <c r="AB34" s="100"/>
      <c r="AC34" s="100"/>
      <c r="AD34" s="100"/>
      <c r="AE34" s="102">
        <v>15.1</v>
      </c>
      <c r="AF34" s="103">
        <v>77</v>
      </c>
      <c r="AG34" s="103">
        <v>64</v>
      </c>
      <c r="AH34" s="104">
        <v>70</v>
      </c>
      <c r="AI34" s="102">
        <v>5.81</v>
      </c>
      <c r="AJ34" s="105"/>
      <c r="AK34" s="105">
        <v>0</v>
      </c>
      <c r="AL34" s="106">
        <v>3</v>
      </c>
      <c r="AM34" s="106">
        <v>9</v>
      </c>
      <c r="AN34" s="107">
        <f>SUM(AI26:AI34)</f>
        <v>45.6</v>
      </c>
      <c r="AO34" s="106"/>
      <c r="AP34" s="106"/>
      <c r="AQ34" s="108"/>
      <c r="AR34" s="109"/>
      <c r="AS34" s="110"/>
      <c r="AT34" s="110"/>
      <c r="AU34" s="111"/>
      <c r="AV34" s="112" t="s">
        <v>54</v>
      </c>
      <c r="AW34" s="110"/>
      <c r="AX34" s="138">
        <v>34</v>
      </c>
    </row>
    <row r="35" spans="1:50" ht="21" x14ac:dyDescent="0.25">
      <c r="A35" s="138">
        <v>35</v>
      </c>
      <c r="B35" s="94">
        <v>4</v>
      </c>
      <c r="C35" s="95" t="s">
        <v>51</v>
      </c>
      <c r="D35" s="95" t="s">
        <v>47</v>
      </c>
      <c r="E35" s="95" t="s">
        <v>48</v>
      </c>
      <c r="F35" s="95" t="s">
        <v>55</v>
      </c>
      <c r="G35" s="97">
        <v>4</v>
      </c>
      <c r="H35" s="97">
        <v>6</v>
      </c>
      <c r="I35" s="97">
        <v>2025</v>
      </c>
      <c r="J35" s="97">
        <v>332</v>
      </c>
      <c r="K35" s="97" t="s">
        <v>459</v>
      </c>
      <c r="L35" s="98" t="s">
        <v>460</v>
      </c>
      <c r="M35" s="97">
        <v>1</v>
      </c>
      <c r="N35" s="97"/>
      <c r="O35" s="98"/>
      <c r="P35" s="99"/>
      <c r="Q35" s="99"/>
      <c r="R35" s="99"/>
      <c r="S35" s="98" t="s">
        <v>428</v>
      </c>
      <c r="T35" s="174">
        <v>365</v>
      </c>
      <c r="U35" s="94">
        <v>3712</v>
      </c>
      <c r="V35" s="100"/>
      <c r="W35" s="100"/>
      <c r="X35" s="100"/>
      <c r="Y35" s="100"/>
      <c r="Z35" s="101" t="s">
        <v>0</v>
      </c>
      <c r="AA35" s="100" t="s">
        <v>58</v>
      </c>
      <c r="AB35" s="100"/>
      <c r="AC35" s="100"/>
      <c r="AD35" s="100"/>
      <c r="AE35" s="121">
        <v>16.899999999999999</v>
      </c>
      <c r="AF35" s="103">
        <v>73</v>
      </c>
      <c r="AG35" s="103">
        <v>69</v>
      </c>
      <c r="AH35" s="104">
        <v>71</v>
      </c>
      <c r="AI35" s="102">
        <v>6.69</v>
      </c>
      <c r="AJ35" s="105"/>
      <c r="AK35" s="105">
        <v>0</v>
      </c>
      <c r="AL35" s="113"/>
      <c r="AM35" s="106"/>
      <c r="AN35" s="114"/>
      <c r="AO35" s="108"/>
      <c r="AP35" s="108"/>
      <c r="AQ35" s="108"/>
      <c r="AR35" s="109"/>
      <c r="AS35" s="110"/>
      <c r="AT35" s="110"/>
      <c r="AU35" s="111"/>
      <c r="AV35" s="112" t="s">
        <v>54</v>
      </c>
      <c r="AW35" s="110"/>
      <c r="AX35" s="138">
        <v>35</v>
      </c>
    </row>
    <row r="36" spans="1:50" ht="21" x14ac:dyDescent="0.25">
      <c r="A36" s="138">
        <v>36</v>
      </c>
      <c r="B36" s="94"/>
      <c r="C36" s="95" t="s">
        <v>51</v>
      </c>
      <c r="D36" s="95" t="s">
        <v>47</v>
      </c>
      <c r="E36" s="95" t="s">
        <v>48</v>
      </c>
      <c r="F36" s="95" t="s">
        <v>55</v>
      </c>
      <c r="G36" s="97">
        <v>4</v>
      </c>
      <c r="H36" s="97">
        <v>6</v>
      </c>
      <c r="I36" s="97">
        <v>2025</v>
      </c>
      <c r="J36" s="97">
        <v>332</v>
      </c>
      <c r="K36" s="97" t="s">
        <v>459</v>
      </c>
      <c r="L36" s="98" t="s">
        <v>460</v>
      </c>
      <c r="M36" s="97">
        <v>1</v>
      </c>
      <c r="N36" s="97"/>
      <c r="O36" s="98"/>
      <c r="P36" s="99"/>
      <c r="Q36" s="99"/>
      <c r="R36" s="99"/>
      <c r="S36" s="98" t="s">
        <v>276</v>
      </c>
      <c r="T36" s="174">
        <v>366</v>
      </c>
      <c r="U36" s="94">
        <v>3054</v>
      </c>
      <c r="V36" s="100"/>
      <c r="W36" s="100"/>
      <c r="X36" s="100"/>
      <c r="Y36" s="100"/>
      <c r="Z36" s="101" t="s">
        <v>0</v>
      </c>
      <c r="AA36" s="100" t="s">
        <v>58</v>
      </c>
      <c r="AB36" s="100"/>
      <c r="AC36" s="100"/>
      <c r="AD36" s="100"/>
      <c r="AE36" s="102">
        <v>16.8</v>
      </c>
      <c r="AF36" s="103">
        <v>58</v>
      </c>
      <c r="AG36" s="103">
        <v>51</v>
      </c>
      <c r="AH36" s="104">
        <v>54</v>
      </c>
      <c r="AI36" s="102">
        <v>3.85</v>
      </c>
      <c r="AJ36" s="105"/>
      <c r="AK36" s="105">
        <v>0</v>
      </c>
      <c r="AL36" s="113"/>
      <c r="AM36" s="113"/>
      <c r="AN36" s="114"/>
      <c r="AO36" s="108"/>
      <c r="AP36" s="108"/>
      <c r="AQ36" s="108"/>
      <c r="AR36" s="109"/>
      <c r="AS36" s="110"/>
      <c r="AT36" s="110"/>
      <c r="AU36" s="111"/>
      <c r="AV36" s="112" t="s">
        <v>54</v>
      </c>
      <c r="AW36" s="110"/>
      <c r="AX36" s="138">
        <v>36</v>
      </c>
    </row>
    <row r="37" spans="1:50" ht="21" x14ac:dyDescent="0.25">
      <c r="A37" s="138">
        <v>37</v>
      </c>
      <c r="B37" s="94"/>
      <c r="C37" s="95" t="s">
        <v>51</v>
      </c>
      <c r="D37" s="95" t="s">
        <v>47</v>
      </c>
      <c r="E37" s="95" t="s">
        <v>48</v>
      </c>
      <c r="F37" s="95" t="s">
        <v>55</v>
      </c>
      <c r="G37" s="97">
        <v>4</v>
      </c>
      <c r="H37" s="97">
        <v>6</v>
      </c>
      <c r="I37" s="97">
        <v>2025</v>
      </c>
      <c r="J37" s="97">
        <v>332</v>
      </c>
      <c r="K37" s="97" t="s">
        <v>459</v>
      </c>
      <c r="L37" s="98" t="s">
        <v>460</v>
      </c>
      <c r="M37" s="97">
        <v>1</v>
      </c>
      <c r="N37" s="97"/>
      <c r="O37" s="98"/>
      <c r="P37" s="99"/>
      <c r="Q37" s="99"/>
      <c r="R37" s="99"/>
      <c r="S37" s="116" t="s">
        <v>60</v>
      </c>
      <c r="T37" s="174">
        <v>367</v>
      </c>
      <c r="U37" s="175">
        <v>182</v>
      </c>
      <c r="V37" s="100"/>
      <c r="W37" s="117"/>
      <c r="X37" s="117"/>
      <c r="Y37" s="117"/>
      <c r="Z37" s="106" t="s">
        <v>3</v>
      </c>
      <c r="AA37" s="117" t="s">
        <v>58</v>
      </c>
      <c r="AB37" s="117"/>
      <c r="AC37" s="117"/>
      <c r="AD37" s="117"/>
      <c r="AE37" s="118">
        <v>20.399999999999999</v>
      </c>
      <c r="AF37" s="112">
        <v>55</v>
      </c>
      <c r="AG37" s="112">
        <v>42</v>
      </c>
      <c r="AH37" s="113">
        <v>48</v>
      </c>
      <c r="AI37" s="119">
        <v>3.69</v>
      </c>
      <c r="AJ37" s="120"/>
      <c r="AK37" s="120">
        <v>0</v>
      </c>
      <c r="AL37" s="106"/>
      <c r="AM37" s="106"/>
      <c r="AN37" s="107"/>
      <c r="AO37" s="106"/>
      <c r="AP37" s="106"/>
      <c r="AQ37" s="108"/>
      <c r="AR37" s="109"/>
      <c r="AS37" s="110"/>
      <c r="AT37" s="110"/>
      <c r="AU37" s="110"/>
      <c r="AV37" s="112" t="s">
        <v>54</v>
      </c>
      <c r="AW37" s="110"/>
      <c r="AX37" s="138">
        <v>37</v>
      </c>
    </row>
    <row r="38" spans="1:50" ht="21" x14ac:dyDescent="0.25">
      <c r="A38" s="138">
        <v>38</v>
      </c>
      <c r="B38" s="94"/>
      <c r="C38" s="95" t="s">
        <v>51</v>
      </c>
      <c r="D38" s="95" t="s">
        <v>47</v>
      </c>
      <c r="E38" s="95" t="s">
        <v>48</v>
      </c>
      <c r="F38" s="95" t="s">
        <v>55</v>
      </c>
      <c r="G38" s="97">
        <v>4</v>
      </c>
      <c r="H38" s="97">
        <v>6</v>
      </c>
      <c r="I38" s="97">
        <v>2025</v>
      </c>
      <c r="J38" s="97">
        <v>332</v>
      </c>
      <c r="K38" s="97" t="s">
        <v>459</v>
      </c>
      <c r="L38" s="98" t="s">
        <v>460</v>
      </c>
      <c r="M38" s="97">
        <v>1</v>
      </c>
      <c r="N38" s="97"/>
      <c r="O38" s="98"/>
      <c r="P38" s="99"/>
      <c r="Q38" s="99"/>
      <c r="R38" s="99"/>
      <c r="S38" s="98" t="s">
        <v>272</v>
      </c>
      <c r="T38" s="174">
        <v>368</v>
      </c>
      <c r="U38" s="94">
        <v>3050</v>
      </c>
      <c r="V38" s="100"/>
      <c r="W38" s="100"/>
      <c r="X38" s="100"/>
      <c r="Y38" s="100"/>
      <c r="Z38" s="101" t="s">
        <v>0</v>
      </c>
      <c r="AA38" s="100" t="s">
        <v>58</v>
      </c>
      <c r="AB38" s="100"/>
      <c r="AC38" s="100"/>
      <c r="AD38" s="100"/>
      <c r="AE38" s="102">
        <v>15.3</v>
      </c>
      <c r="AF38" s="103">
        <v>113</v>
      </c>
      <c r="AG38" s="103">
        <v>92</v>
      </c>
      <c r="AH38" s="104">
        <v>102</v>
      </c>
      <c r="AI38" s="102">
        <v>11.83</v>
      </c>
      <c r="AJ38" s="105">
        <v>21</v>
      </c>
      <c r="AK38" s="105">
        <v>5.4</v>
      </c>
      <c r="AL38" s="113"/>
      <c r="AM38" s="113"/>
      <c r="AN38" s="115"/>
      <c r="AO38" s="113"/>
      <c r="AP38" s="113"/>
      <c r="AQ38" s="108"/>
      <c r="AR38" s="109"/>
      <c r="AS38" s="110"/>
      <c r="AT38" s="110"/>
      <c r="AU38" s="111"/>
      <c r="AV38" s="112" t="s">
        <v>54</v>
      </c>
      <c r="AW38" s="110"/>
      <c r="AX38" s="138">
        <v>38</v>
      </c>
    </row>
    <row r="39" spans="1:50" ht="21" x14ac:dyDescent="0.25">
      <c r="A39" s="138">
        <v>39</v>
      </c>
      <c r="B39" s="94"/>
      <c r="C39" s="95" t="s">
        <v>51</v>
      </c>
      <c r="D39" s="95" t="s">
        <v>47</v>
      </c>
      <c r="E39" s="95" t="s">
        <v>48</v>
      </c>
      <c r="F39" s="95" t="s">
        <v>55</v>
      </c>
      <c r="G39" s="97">
        <v>4</v>
      </c>
      <c r="H39" s="97">
        <v>6</v>
      </c>
      <c r="I39" s="97">
        <v>2025</v>
      </c>
      <c r="J39" s="97">
        <v>332</v>
      </c>
      <c r="K39" s="97" t="s">
        <v>459</v>
      </c>
      <c r="L39" s="98" t="s">
        <v>460</v>
      </c>
      <c r="M39" s="97">
        <v>1</v>
      </c>
      <c r="N39" s="97"/>
      <c r="O39" s="98"/>
      <c r="P39" s="99"/>
      <c r="Q39" s="99"/>
      <c r="R39" s="99"/>
      <c r="S39" s="116" t="s">
        <v>117</v>
      </c>
      <c r="T39" s="174">
        <v>369</v>
      </c>
      <c r="U39" s="175">
        <v>241</v>
      </c>
      <c r="V39" s="100"/>
      <c r="W39" s="117"/>
      <c r="X39" s="117"/>
      <c r="Y39" s="117"/>
      <c r="Z39" s="106" t="s">
        <v>9</v>
      </c>
      <c r="AA39" s="117" t="s">
        <v>118</v>
      </c>
      <c r="AB39" s="117"/>
      <c r="AC39" s="117"/>
      <c r="AD39" s="117"/>
      <c r="AE39" s="119">
        <v>19.7</v>
      </c>
      <c r="AF39" s="112">
        <v>69</v>
      </c>
      <c r="AG39" s="112">
        <v>46</v>
      </c>
      <c r="AH39" s="113">
        <v>57</v>
      </c>
      <c r="AI39" s="119">
        <v>5.03</v>
      </c>
      <c r="AJ39" s="120"/>
      <c r="AK39" s="120">
        <v>0</v>
      </c>
      <c r="AL39" s="113"/>
      <c r="AM39" s="106"/>
      <c r="AN39" s="114"/>
      <c r="AO39" s="108"/>
      <c r="AP39" s="108"/>
      <c r="AQ39" s="108"/>
      <c r="AR39" s="109"/>
      <c r="AS39" s="110"/>
      <c r="AT39" s="110"/>
      <c r="AU39" s="110"/>
      <c r="AV39" s="112" t="s">
        <v>54</v>
      </c>
      <c r="AW39" s="110"/>
      <c r="AX39" s="138">
        <v>39</v>
      </c>
    </row>
    <row r="40" spans="1:50" ht="21" x14ac:dyDescent="0.25">
      <c r="A40" s="138">
        <v>40</v>
      </c>
      <c r="B40" s="94"/>
      <c r="C40" s="95" t="s">
        <v>51</v>
      </c>
      <c r="D40" s="95" t="s">
        <v>47</v>
      </c>
      <c r="E40" s="95" t="s">
        <v>48</v>
      </c>
      <c r="F40" s="95" t="s">
        <v>55</v>
      </c>
      <c r="G40" s="97">
        <v>4</v>
      </c>
      <c r="H40" s="97">
        <v>6</v>
      </c>
      <c r="I40" s="97">
        <v>2025</v>
      </c>
      <c r="J40" s="97">
        <v>332</v>
      </c>
      <c r="K40" s="97" t="s">
        <v>459</v>
      </c>
      <c r="L40" s="98" t="s">
        <v>460</v>
      </c>
      <c r="M40" s="97">
        <v>1</v>
      </c>
      <c r="N40" s="97"/>
      <c r="O40" s="98"/>
      <c r="P40" s="99"/>
      <c r="Q40" s="99"/>
      <c r="R40" s="99"/>
      <c r="S40" s="98" t="s">
        <v>289</v>
      </c>
      <c r="T40" s="174">
        <v>370</v>
      </c>
      <c r="U40" s="94">
        <v>3210</v>
      </c>
      <c r="V40" s="100"/>
      <c r="W40" s="100"/>
      <c r="X40" s="100"/>
      <c r="Y40" s="100"/>
      <c r="Z40" s="101" t="s">
        <v>0</v>
      </c>
      <c r="AA40" s="100" t="s">
        <v>58</v>
      </c>
      <c r="AB40" s="100"/>
      <c r="AC40" s="100"/>
      <c r="AD40" s="100"/>
      <c r="AE40" s="102">
        <v>10.7</v>
      </c>
      <c r="AF40" s="103">
        <v>57</v>
      </c>
      <c r="AG40" s="103">
        <v>43</v>
      </c>
      <c r="AH40" s="104">
        <v>50</v>
      </c>
      <c r="AI40" s="102">
        <v>2.1</v>
      </c>
      <c r="AJ40" s="105"/>
      <c r="AK40" s="105">
        <v>0</v>
      </c>
      <c r="AL40" s="113"/>
      <c r="AM40" s="113"/>
      <c r="AN40" s="114"/>
      <c r="AO40" s="108"/>
      <c r="AP40" s="108"/>
      <c r="AQ40" s="108"/>
      <c r="AR40" s="109"/>
      <c r="AS40" s="110"/>
      <c r="AT40" s="110"/>
      <c r="AU40" s="111"/>
      <c r="AV40" s="112" t="s">
        <v>54</v>
      </c>
      <c r="AW40" s="110"/>
      <c r="AX40" s="138">
        <v>40</v>
      </c>
    </row>
    <row r="41" spans="1:50" ht="21" x14ac:dyDescent="0.25">
      <c r="A41" s="138">
        <v>41</v>
      </c>
      <c r="B41" s="94"/>
      <c r="C41" s="95" t="s">
        <v>51</v>
      </c>
      <c r="D41" s="95" t="s">
        <v>47</v>
      </c>
      <c r="E41" s="95" t="s">
        <v>48</v>
      </c>
      <c r="F41" s="95" t="s">
        <v>55</v>
      </c>
      <c r="G41" s="97">
        <v>4</v>
      </c>
      <c r="H41" s="97">
        <v>6</v>
      </c>
      <c r="I41" s="97">
        <v>2025</v>
      </c>
      <c r="J41" s="97">
        <v>332</v>
      </c>
      <c r="K41" s="97" t="s">
        <v>459</v>
      </c>
      <c r="L41" s="98" t="s">
        <v>460</v>
      </c>
      <c r="M41" s="97">
        <v>1</v>
      </c>
      <c r="N41" s="97"/>
      <c r="O41" s="98"/>
      <c r="P41" s="99"/>
      <c r="Q41" s="99"/>
      <c r="R41" s="99"/>
      <c r="S41" s="98" t="s">
        <v>430</v>
      </c>
      <c r="T41" s="174">
        <v>371</v>
      </c>
      <c r="U41" s="94">
        <v>3714</v>
      </c>
      <c r="V41" s="100"/>
      <c r="W41" s="100"/>
      <c r="X41" s="100"/>
      <c r="Y41" s="100"/>
      <c r="Z41" s="101" t="s">
        <v>0</v>
      </c>
      <c r="AA41" s="100" t="s">
        <v>58</v>
      </c>
      <c r="AB41" s="100"/>
      <c r="AC41" s="100"/>
      <c r="AD41" s="100"/>
      <c r="AE41" s="121">
        <v>14.3</v>
      </c>
      <c r="AF41" s="103">
        <v>64</v>
      </c>
      <c r="AG41" s="103">
        <v>50</v>
      </c>
      <c r="AH41" s="104">
        <v>57</v>
      </c>
      <c r="AI41" s="121">
        <v>3.65</v>
      </c>
      <c r="AJ41" s="103"/>
      <c r="AK41" s="103">
        <v>0</v>
      </c>
      <c r="AL41" s="113"/>
      <c r="AM41" s="106"/>
      <c r="AN41" s="114"/>
      <c r="AO41" s="108"/>
      <c r="AP41" s="108"/>
      <c r="AQ41" s="108"/>
      <c r="AR41" s="109"/>
      <c r="AS41" s="110"/>
      <c r="AT41" s="110"/>
      <c r="AU41" s="111"/>
      <c r="AV41" s="112" t="s">
        <v>54</v>
      </c>
      <c r="AW41" s="110"/>
      <c r="AX41" s="138">
        <v>41</v>
      </c>
    </row>
    <row r="42" spans="1:50" ht="21" x14ac:dyDescent="0.25">
      <c r="A42" s="138">
        <v>42</v>
      </c>
      <c r="B42" s="94"/>
      <c r="C42" s="95" t="s">
        <v>51</v>
      </c>
      <c r="D42" s="95" t="s">
        <v>47</v>
      </c>
      <c r="E42" s="95" t="s">
        <v>48</v>
      </c>
      <c r="F42" s="95" t="s">
        <v>55</v>
      </c>
      <c r="G42" s="97">
        <v>4</v>
      </c>
      <c r="H42" s="97">
        <v>6</v>
      </c>
      <c r="I42" s="97">
        <v>2025</v>
      </c>
      <c r="J42" s="97">
        <v>332</v>
      </c>
      <c r="K42" s="97" t="s">
        <v>459</v>
      </c>
      <c r="L42" s="98" t="s">
        <v>460</v>
      </c>
      <c r="M42" s="97">
        <v>1</v>
      </c>
      <c r="N42" s="97"/>
      <c r="O42" s="98"/>
      <c r="P42" s="99"/>
      <c r="Q42" s="99"/>
      <c r="R42" s="99"/>
      <c r="S42" s="98" t="s">
        <v>420</v>
      </c>
      <c r="T42" s="174">
        <v>372</v>
      </c>
      <c r="U42" s="94">
        <v>3698</v>
      </c>
      <c r="V42" s="100"/>
      <c r="W42" s="100"/>
      <c r="X42" s="100"/>
      <c r="Y42" s="100"/>
      <c r="Z42" s="101" t="s">
        <v>0</v>
      </c>
      <c r="AA42" s="100" t="s">
        <v>58</v>
      </c>
      <c r="AB42" s="100"/>
      <c r="AC42" s="100"/>
      <c r="AD42" s="100"/>
      <c r="AE42" s="102">
        <v>17.8</v>
      </c>
      <c r="AF42" s="103">
        <v>98</v>
      </c>
      <c r="AG42" s="103">
        <v>63</v>
      </c>
      <c r="AH42" s="104">
        <v>80</v>
      </c>
      <c r="AI42" s="102">
        <v>8.9499999999999993</v>
      </c>
      <c r="AJ42" s="105"/>
      <c r="AK42" s="105">
        <v>0</v>
      </c>
      <c r="AL42" s="113"/>
      <c r="AM42" s="106"/>
      <c r="AN42" s="114"/>
      <c r="AO42" s="108"/>
      <c r="AP42" s="108"/>
      <c r="AQ42" s="108"/>
      <c r="AR42" s="109"/>
      <c r="AS42" s="110"/>
      <c r="AT42" s="110"/>
      <c r="AU42" s="111"/>
      <c r="AV42" s="112" t="s">
        <v>54</v>
      </c>
      <c r="AW42" s="110"/>
      <c r="AX42" s="138">
        <v>42</v>
      </c>
    </row>
    <row r="43" spans="1:50" ht="21" x14ac:dyDescent="0.25">
      <c r="A43" s="138">
        <v>43</v>
      </c>
      <c r="B43" s="94"/>
      <c r="C43" s="95" t="s">
        <v>51</v>
      </c>
      <c r="D43" s="95" t="s">
        <v>47</v>
      </c>
      <c r="E43" s="95" t="s">
        <v>48</v>
      </c>
      <c r="F43" s="95" t="s">
        <v>55</v>
      </c>
      <c r="G43" s="97">
        <v>4</v>
      </c>
      <c r="H43" s="97">
        <v>6</v>
      </c>
      <c r="I43" s="97">
        <v>2025</v>
      </c>
      <c r="J43" s="97">
        <v>332</v>
      </c>
      <c r="K43" s="97" t="s">
        <v>459</v>
      </c>
      <c r="L43" s="98" t="s">
        <v>460</v>
      </c>
      <c r="M43" s="97">
        <v>1</v>
      </c>
      <c r="N43" s="97"/>
      <c r="O43" s="98"/>
      <c r="P43" s="99"/>
      <c r="Q43" s="99"/>
      <c r="R43" s="99"/>
      <c r="S43" s="98" t="s">
        <v>188</v>
      </c>
      <c r="T43" s="174">
        <v>373</v>
      </c>
      <c r="U43" s="94">
        <v>2830</v>
      </c>
      <c r="V43" s="100"/>
      <c r="W43" s="100"/>
      <c r="X43" s="100"/>
      <c r="Y43" s="100"/>
      <c r="Z43" s="101" t="s">
        <v>2</v>
      </c>
      <c r="AA43" s="100" t="s">
        <v>58</v>
      </c>
      <c r="AB43" s="100"/>
      <c r="AC43" s="100"/>
      <c r="AD43" s="100"/>
      <c r="AE43" s="102">
        <v>11.1</v>
      </c>
      <c r="AF43" s="103">
        <v>54</v>
      </c>
      <c r="AG43" s="103">
        <v>42</v>
      </c>
      <c r="AH43" s="104">
        <v>48</v>
      </c>
      <c r="AI43" s="102">
        <v>2.0099999999999998</v>
      </c>
      <c r="AJ43" s="105"/>
      <c r="AK43" s="105">
        <v>0</v>
      </c>
      <c r="AL43" s="113">
        <v>4</v>
      </c>
      <c r="AM43" s="113">
        <v>9</v>
      </c>
      <c r="AN43" s="114">
        <f>SUM(AI35:AI43)</f>
        <v>47.800000000000004</v>
      </c>
      <c r="AO43" s="108"/>
      <c r="AP43" s="108"/>
      <c r="AQ43" s="108"/>
      <c r="AR43" s="109"/>
      <c r="AS43" s="110"/>
      <c r="AT43" s="110"/>
      <c r="AU43" s="111"/>
      <c r="AV43" s="112" t="s">
        <v>54</v>
      </c>
      <c r="AW43" s="110"/>
      <c r="AX43" s="138">
        <v>43</v>
      </c>
    </row>
    <row r="44" spans="1:50" ht="21" x14ac:dyDescent="0.25">
      <c r="A44" s="138">
        <v>44</v>
      </c>
      <c r="B44" s="94">
        <v>5</v>
      </c>
      <c r="C44" s="95" t="s">
        <v>51</v>
      </c>
      <c r="D44" s="95" t="s">
        <v>47</v>
      </c>
      <c r="E44" s="95" t="s">
        <v>456</v>
      </c>
      <c r="F44" s="95" t="s">
        <v>55</v>
      </c>
      <c r="G44" s="97">
        <v>4</v>
      </c>
      <c r="H44" s="97">
        <v>6</v>
      </c>
      <c r="I44" s="97">
        <v>2025</v>
      </c>
      <c r="J44" s="97">
        <v>339</v>
      </c>
      <c r="K44" s="97" t="s">
        <v>461</v>
      </c>
      <c r="L44" s="98" t="s">
        <v>462</v>
      </c>
      <c r="M44" s="95">
        <v>1</v>
      </c>
      <c r="N44" s="97"/>
      <c r="O44" s="98"/>
      <c r="P44" s="99"/>
      <c r="Q44" s="99"/>
      <c r="R44" s="99"/>
      <c r="S44" s="98" t="s">
        <v>294</v>
      </c>
      <c r="T44" s="174">
        <v>374</v>
      </c>
      <c r="U44" s="94">
        <v>3215</v>
      </c>
      <c r="V44" s="100"/>
      <c r="W44" s="100"/>
      <c r="X44" s="100"/>
      <c r="Y44" s="100"/>
      <c r="Z44" s="101" t="s">
        <v>3</v>
      </c>
      <c r="AA44" s="100" t="s">
        <v>58</v>
      </c>
      <c r="AB44" s="100"/>
      <c r="AC44" s="100"/>
      <c r="AD44" s="100"/>
      <c r="AE44" s="102">
        <v>13.8</v>
      </c>
      <c r="AF44" s="103">
        <v>54</v>
      </c>
      <c r="AG44" s="103">
        <v>40</v>
      </c>
      <c r="AH44" s="104">
        <v>47</v>
      </c>
      <c r="AI44" s="102">
        <v>2.39</v>
      </c>
      <c r="AJ44" s="105"/>
      <c r="AK44" s="105">
        <v>0</v>
      </c>
      <c r="AL44" s="113"/>
      <c r="AM44" s="113"/>
      <c r="AN44" s="115"/>
      <c r="AO44" s="113"/>
      <c r="AP44" s="113"/>
      <c r="AQ44" s="108"/>
      <c r="AR44" s="109"/>
      <c r="AS44" s="110"/>
      <c r="AT44" s="110"/>
      <c r="AU44" s="111"/>
      <c r="AV44" s="112" t="s">
        <v>54</v>
      </c>
      <c r="AW44" s="110"/>
      <c r="AX44" s="138">
        <v>44</v>
      </c>
    </row>
    <row r="45" spans="1:50" ht="21" x14ac:dyDescent="0.25">
      <c r="A45" s="138">
        <v>45</v>
      </c>
      <c r="B45" s="94"/>
      <c r="C45" s="95" t="s">
        <v>51</v>
      </c>
      <c r="D45" s="95" t="s">
        <v>47</v>
      </c>
      <c r="E45" s="95" t="s">
        <v>456</v>
      </c>
      <c r="F45" s="95" t="s">
        <v>55</v>
      </c>
      <c r="G45" s="97">
        <v>4</v>
      </c>
      <c r="H45" s="97">
        <v>6</v>
      </c>
      <c r="I45" s="97">
        <v>2025</v>
      </c>
      <c r="J45" s="97">
        <v>339</v>
      </c>
      <c r="K45" s="97" t="s">
        <v>461</v>
      </c>
      <c r="L45" s="98" t="s">
        <v>462</v>
      </c>
      <c r="M45" s="95">
        <v>1</v>
      </c>
      <c r="N45" s="97"/>
      <c r="O45" s="98"/>
      <c r="P45" s="99"/>
      <c r="Q45" s="99"/>
      <c r="R45" s="99"/>
      <c r="S45" s="116" t="s">
        <v>71</v>
      </c>
      <c r="T45" s="174">
        <v>375</v>
      </c>
      <c r="U45" s="175">
        <v>195</v>
      </c>
      <c r="V45" s="100"/>
      <c r="W45" s="117"/>
      <c r="X45" s="117"/>
      <c r="Y45" s="117"/>
      <c r="Z45" s="106" t="s">
        <v>2</v>
      </c>
      <c r="AA45" s="117" t="s">
        <v>58</v>
      </c>
      <c r="AB45" s="117"/>
      <c r="AC45" s="117"/>
      <c r="AD45" s="117"/>
      <c r="AE45" s="118">
        <v>20.2</v>
      </c>
      <c r="AF45" s="112">
        <v>68</v>
      </c>
      <c r="AG45" s="112">
        <v>50</v>
      </c>
      <c r="AH45" s="113">
        <v>59</v>
      </c>
      <c r="AI45" s="119">
        <v>5.52</v>
      </c>
      <c r="AJ45" s="120"/>
      <c r="AK45" s="120">
        <v>0</v>
      </c>
      <c r="AL45" s="106"/>
      <c r="AM45" s="106"/>
      <c r="AN45" s="107"/>
      <c r="AO45" s="106"/>
      <c r="AP45" s="106"/>
      <c r="AQ45" s="108"/>
      <c r="AR45" s="109"/>
      <c r="AS45" s="110"/>
      <c r="AT45" s="110"/>
      <c r="AU45" s="110"/>
      <c r="AV45" s="112" t="s">
        <v>54</v>
      </c>
      <c r="AW45" s="110"/>
      <c r="AX45" s="138">
        <v>45</v>
      </c>
    </row>
    <row r="46" spans="1:50" ht="21" x14ac:dyDescent="0.25">
      <c r="A46" s="138">
        <v>46</v>
      </c>
      <c r="B46" s="94"/>
      <c r="C46" s="95" t="s">
        <v>51</v>
      </c>
      <c r="D46" s="95" t="s">
        <v>47</v>
      </c>
      <c r="E46" s="95" t="s">
        <v>456</v>
      </c>
      <c r="F46" s="95" t="s">
        <v>55</v>
      </c>
      <c r="G46" s="97">
        <v>4</v>
      </c>
      <c r="H46" s="97">
        <v>6</v>
      </c>
      <c r="I46" s="97">
        <v>2025</v>
      </c>
      <c r="J46" s="97">
        <v>339</v>
      </c>
      <c r="K46" s="97" t="s">
        <v>461</v>
      </c>
      <c r="L46" s="98" t="s">
        <v>462</v>
      </c>
      <c r="M46" s="95">
        <v>1</v>
      </c>
      <c r="N46" s="97"/>
      <c r="O46" s="98"/>
      <c r="P46" s="99"/>
      <c r="Q46" s="99"/>
      <c r="R46" s="99"/>
      <c r="S46" s="116" t="s">
        <v>192</v>
      </c>
      <c r="T46" s="174">
        <v>376</v>
      </c>
      <c r="U46" s="175">
        <v>2834</v>
      </c>
      <c r="V46" s="100"/>
      <c r="W46" s="117"/>
      <c r="X46" s="117"/>
      <c r="Y46" s="117"/>
      <c r="Z46" s="106" t="s">
        <v>3</v>
      </c>
      <c r="AA46" s="117" t="s">
        <v>58</v>
      </c>
      <c r="AB46" s="117"/>
      <c r="AC46" s="117"/>
      <c r="AD46" s="117"/>
      <c r="AE46" s="119">
        <v>13</v>
      </c>
      <c r="AF46" s="112">
        <v>86</v>
      </c>
      <c r="AG46" s="112">
        <v>60</v>
      </c>
      <c r="AH46" s="113">
        <v>73</v>
      </c>
      <c r="AI46" s="119">
        <v>5.44</v>
      </c>
      <c r="AJ46" s="120"/>
      <c r="AK46" s="120">
        <v>0</v>
      </c>
      <c r="AL46" s="106"/>
      <c r="AM46" s="106"/>
      <c r="AN46" s="107"/>
      <c r="AO46" s="106"/>
      <c r="AP46" s="106"/>
      <c r="AQ46" s="108"/>
      <c r="AR46" s="109"/>
      <c r="AS46" s="110"/>
      <c r="AT46" s="110"/>
      <c r="AU46" s="110"/>
      <c r="AV46" s="112" t="s">
        <v>54</v>
      </c>
      <c r="AW46" s="110"/>
      <c r="AX46" s="138">
        <v>46</v>
      </c>
    </row>
    <row r="47" spans="1:50" ht="21" x14ac:dyDescent="0.25">
      <c r="A47" s="138">
        <v>355</v>
      </c>
      <c r="B47" s="94"/>
      <c r="C47" s="95" t="s">
        <v>51</v>
      </c>
      <c r="D47" s="95" t="s">
        <v>47</v>
      </c>
      <c r="E47" s="95" t="s">
        <v>456</v>
      </c>
      <c r="F47" s="95" t="s">
        <v>55</v>
      </c>
      <c r="G47" s="97">
        <v>4</v>
      </c>
      <c r="H47" s="97">
        <v>6</v>
      </c>
      <c r="I47" s="97">
        <v>2025</v>
      </c>
      <c r="J47" s="97">
        <v>339</v>
      </c>
      <c r="K47" s="97" t="s">
        <v>461</v>
      </c>
      <c r="L47" s="98" t="s">
        <v>462</v>
      </c>
      <c r="M47" s="95">
        <v>1</v>
      </c>
      <c r="N47" s="97"/>
      <c r="O47" s="98"/>
      <c r="P47" s="99"/>
      <c r="Q47" s="99"/>
      <c r="R47" s="99"/>
      <c r="S47" s="116" t="s">
        <v>145</v>
      </c>
      <c r="T47" s="174">
        <v>377</v>
      </c>
      <c r="U47" s="175">
        <v>342</v>
      </c>
      <c r="V47" s="100"/>
      <c r="W47" s="117"/>
      <c r="X47" s="117"/>
      <c r="Y47" s="117"/>
      <c r="Z47" s="106" t="s">
        <v>0</v>
      </c>
      <c r="AA47" s="117" t="s">
        <v>58</v>
      </c>
      <c r="AB47" s="117"/>
      <c r="AC47" s="117"/>
      <c r="AD47" s="117"/>
      <c r="AE47" s="119">
        <v>20</v>
      </c>
      <c r="AF47" s="112">
        <v>83</v>
      </c>
      <c r="AG47" s="112">
        <v>64</v>
      </c>
      <c r="AH47" s="113">
        <v>73</v>
      </c>
      <c r="AI47" s="119">
        <v>7.57</v>
      </c>
      <c r="AJ47" s="120">
        <v>20</v>
      </c>
      <c r="AK47" s="120">
        <v>9.6</v>
      </c>
      <c r="AL47" s="106"/>
      <c r="AM47" s="106"/>
      <c r="AN47" s="107"/>
      <c r="AO47" s="106"/>
      <c r="AP47" s="106"/>
      <c r="AQ47" s="108"/>
      <c r="AR47" s="109"/>
      <c r="AS47" s="110"/>
      <c r="AT47" s="110"/>
      <c r="AU47" s="110"/>
      <c r="AV47" s="112" t="s">
        <v>54</v>
      </c>
      <c r="AW47" s="110"/>
      <c r="AX47" s="138">
        <v>299</v>
      </c>
    </row>
    <row r="48" spans="1:50" ht="21" x14ac:dyDescent="0.25">
      <c r="A48" s="138">
        <v>48</v>
      </c>
      <c r="B48" s="94"/>
      <c r="C48" s="95" t="s">
        <v>51</v>
      </c>
      <c r="D48" s="95" t="s">
        <v>47</v>
      </c>
      <c r="E48" s="95" t="s">
        <v>456</v>
      </c>
      <c r="F48" s="95" t="s">
        <v>55</v>
      </c>
      <c r="G48" s="97">
        <v>4</v>
      </c>
      <c r="H48" s="97">
        <v>6</v>
      </c>
      <c r="I48" s="97">
        <v>2025</v>
      </c>
      <c r="J48" s="97">
        <v>339</v>
      </c>
      <c r="K48" s="97" t="s">
        <v>461</v>
      </c>
      <c r="L48" s="98" t="s">
        <v>462</v>
      </c>
      <c r="M48" s="95">
        <v>1</v>
      </c>
      <c r="N48" s="97"/>
      <c r="O48" s="98"/>
      <c r="P48" s="99"/>
      <c r="Q48" s="99"/>
      <c r="R48" s="99"/>
      <c r="S48" s="98" t="s">
        <v>115</v>
      </c>
      <c r="T48" s="174">
        <v>378</v>
      </c>
      <c r="U48" s="94">
        <v>239</v>
      </c>
      <c r="V48" s="100"/>
      <c r="W48" s="100"/>
      <c r="X48" s="100"/>
      <c r="Y48" s="100"/>
      <c r="Z48" s="101" t="s">
        <v>3</v>
      </c>
      <c r="AA48" s="100" t="s">
        <v>58</v>
      </c>
      <c r="AB48" s="100"/>
      <c r="AC48" s="100"/>
      <c r="AD48" s="100"/>
      <c r="AE48" s="121">
        <v>20.3</v>
      </c>
      <c r="AF48" s="103">
        <v>56</v>
      </c>
      <c r="AG48" s="103">
        <v>41</v>
      </c>
      <c r="AH48" s="104">
        <v>48</v>
      </c>
      <c r="AI48" s="102">
        <v>3.67</v>
      </c>
      <c r="AJ48" s="105"/>
      <c r="AK48" s="105">
        <v>0</v>
      </c>
      <c r="AL48" s="113"/>
      <c r="AM48" s="106"/>
      <c r="AN48" s="114"/>
      <c r="AO48" s="108"/>
      <c r="AP48" s="108"/>
      <c r="AQ48" s="108"/>
      <c r="AR48" s="109"/>
      <c r="AS48" s="110"/>
      <c r="AT48" s="110"/>
      <c r="AU48" s="111"/>
      <c r="AV48" s="112" t="s">
        <v>54</v>
      </c>
      <c r="AW48" s="110"/>
      <c r="AX48" s="138">
        <v>48</v>
      </c>
    </row>
    <row r="49" spans="1:50" ht="21" x14ac:dyDescent="0.25">
      <c r="A49" s="138">
        <v>49</v>
      </c>
      <c r="B49" s="94"/>
      <c r="C49" s="95" t="s">
        <v>51</v>
      </c>
      <c r="D49" s="95" t="s">
        <v>47</v>
      </c>
      <c r="E49" s="95" t="s">
        <v>456</v>
      </c>
      <c r="F49" s="95" t="s">
        <v>55</v>
      </c>
      <c r="G49" s="97">
        <v>4</v>
      </c>
      <c r="H49" s="97">
        <v>6</v>
      </c>
      <c r="I49" s="97">
        <v>2025</v>
      </c>
      <c r="J49" s="97">
        <v>339</v>
      </c>
      <c r="K49" s="97" t="s">
        <v>461</v>
      </c>
      <c r="L49" s="98" t="s">
        <v>462</v>
      </c>
      <c r="M49" s="95">
        <v>1</v>
      </c>
      <c r="N49" s="97"/>
      <c r="O49" s="98"/>
      <c r="P49" s="99"/>
      <c r="Q49" s="99"/>
      <c r="R49" s="99"/>
      <c r="S49" s="98" t="s">
        <v>295</v>
      </c>
      <c r="T49" s="174">
        <v>379</v>
      </c>
      <c r="U49" s="94">
        <v>3216</v>
      </c>
      <c r="V49" s="100"/>
      <c r="W49" s="100"/>
      <c r="X49" s="100"/>
      <c r="Y49" s="100"/>
      <c r="Z49" s="101" t="s">
        <v>3</v>
      </c>
      <c r="AA49" s="100" t="s">
        <v>58</v>
      </c>
      <c r="AB49" s="100"/>
      <c r="AC49" s="100"/>
      <c r="AD49" s="100"/>
      <c r="AE49" s="102">
        <v>10.5</v>
      </c>
      <c r="AF49" s="103">
        <v>56</v>
      </c>
      <c r="AG49" s="103">
        <v>47</v>
      </c>
      <c r="AH49" s="104">
        <v>51</v>
      </c>
      <c r="AI49" s="102">
        <v>2.14</v>
      </c>
      <c r="AJ49" s="105"/>
      <c r="AK49" s="105">
        <v>0</v>
      </c>
      <c r="AL49" s="113"/>
      <c r="AM49" s="113"/>
      <c r="AN49" s="114"/>
      <c r="AO49" s="108"/>
      <c r="AP49" s="108"/>
      <c r="AQ49" s="108"/>
      <c r="AR49" s="109"/>
      <c r="AS49" s="110"/>
      <c r="AT49" s="110"/>
      <c r="AU49" s="111"/>
      <c r="AV49" s="112" t="s">
        <v>54</v>
      </c>
      <c r="AW49" s="110"/>
      <c r="AX49" s="138">
        <v>49</v>
      </c>
    </row>
    <row r="50" spans="1:50" ht="21" x14ac:dyDescent="0.25">
      <c r="A50" s="138">
        <v>50</v>
      </c>
      <c r="B50" s="94"/>
      <c r="C50" s="95" t="s">
        <v>51</v>
      </c>
      <c r="D50" s="95" t="s">
        <v>47</v>
      </c>
      <c r="E50" s="95" t="s">
        <v>456</v>
      </c>
      <c r="F50" s="95" t="s">
        <v>55</v>
      </c>
      <c r="G50" s="97">
        <v>4</v>
      </c>
      <c r="H50" s="97">
        <v>6</v>
      </c>
      <c r="I50" s="97">
        <v>2025</v>
      </c>
      <c r="J50" s="97">
        <v>339</v>
      </c>
      <c r="K50" s="97" t="s">
        <v>461</v>
      </c>
      <c r="L50" s="98" t="s">
        <v>462</v>
      </c>
      <c r="M50" s="95">
        <v>1</v>
      </c>
      <c r="N50" s="97"/>
      <c r="O50" s="98"/>
      <c r="P50" s="99"/>
      <c r="Q50" s="99"/>
      <c r="R50" s="99"/>
      <c r="S50" s="98" t="s">
        <v>128</v>
      </c>
      <c r="T50" s="174">
        <v>380</v>
      </c>
      <c r="U50" s="94">
        <v>251</v>
      </c>
      <c r="V50" s="100"/>
      <c r="W50" s="100"/>
      <c r="X50" s="100"/>
      <c r="Y50" s="100"/>
      <c r="Z50" s="101" t="s">
        <v>2</v>
      </c>
      <c r="AA50" s="100" t="s">
        <v>58</v>
      </c>
      <c r="AB50" s="100"/>
      <c r="AC50" s="100"/>
      <c r="AD50" s="100"/>
      <c r="AE50" s="102">
        <v>21</v>
      </c>
      <c r="AF50" s="103">
        <v>67</v>
      </c>
      <c r="AG50" s="103">
        <v>45</v>
      </c>
      <c r="AH50" s="104">
        <v>56</v>
      </c>
      <c r="AI50" s="102">
        <v>5.17</v>
      </c>
      <c r="AJ50" s="105"/>
      <c r="AK50" s="105">
        <v>0</v>
      </c>
      <c r="AL50" s="113"/>
      <c r="AM50" s="106"/>
      <c r="AN50" s="114"/>
      <c r="AO50" s="108"/>
      <c r="AP50" s="108"/>
      <c r="AQ50" s="108"/>
      <c r="AR50" s="109"/>
      <c r="AS50" s="110"/>
      <c r="AT50" s="110"/>
      <c r="AU50" s="111"/>
      <c r="AV50" s="112" t="s">
        <v>54</v>
      </c>
      <c r="AW50" s="110"/>
      <c r="AX50" s="138">
        <v>50</v>
      </c>
    </row>
    <row r="51" spans="1:50" ht="21" x14ac:dyDescent="0.25">
      <c r="A51" s="138">
        <v>51</v>
      </c>
      <c r="B51" s="94"/>
      <c r="C51" s="95" t="s">
        <v>51</v>
      </c>
      <c r="D51" s="95" t="s">
        <v>47</v>
      </c>
      <c r="E51" s="95" t="s">
        <v>456</v>
      </c>
      <c r="F51" s="95" t="s">
        <v>55</v>
      </c>
      <c r="G51" s="97">
        <v>4</v>
      </c>
      <c r="H51" s="97">
        <v>6</v>
      </c>
      <c r="I51" s="97">
        <v>2025</v>
      </c>
      <c r="J51" s="97">
        <v>339</v>
      </c>
      <c r="K51" s="97" t="s">
        <v>461</v>
      </c>
      <c r="L51" s="98" t="s">
        <v>462</v>
      </c>
      <c r="M51" s="95">
        <v>1</v>
      </c>
      <c r="N51" s="97"/>
      <c r="O51" s="98"/>
      <c r="P51" s="99"/>
      <c r="Q51" s="99"/>
      <c r="R51" s="99"/>
      <c r="S51" s="98" t="s">
        <v>273</v>
      </c>
      <c r="T51" s="174">
        <v>381</v>
      </c>
      <c r="U51" s="94">
        <v>3051</v>
      </c>
      <c r="V51" s="100"/>
      <c r="W51" s="100"/>
      <c r="X51" s="100"/>
      <c r="Y51" s="100"/>
      <c r="Z51" s="101" t="s">
        <v>0</v>
      </c>
      <c r="AA51" s="100" t="s">
        <v>58</v>
      </c>
      <c r="AB51" s="100"/>
      <c r="AC51" s="100"/>
      <c r="AD51" s="100"/>
      <c r="AE51" s="102">
        <v>14.9</v>
      </c>
      <c r="AF51" s="103">
        <v>92</v>
      </c>
      <c r="AG51" s="103">
        <v>82</v>
      </c>
      <c r="AH51" s="104">
        <v>87</v>
      </c>
      <c r="AI51" s="102">
        <v>8.86</v>
      </c>
      <c r="AJ51" s="105"/>
      <c r="AK51" s="105">
        <v>0</v>
      </c>
      <c r="AL51" s="113"/>
      <c r="AM51" s="113"/>
      <c r="AN51" s="114"/>
      <c r="AO51" s="108"/>
      <c r="AP51" s="108"/>
      <c r="AQ51" s="108"/>
      <c r="AR51" s="109"/>
      <c r="AS51" s="110"/>
      <c r="AT51" s="110"/>
      <c r="AU51" s="111"/>
      <c r="AV51" s="112" t="s">
        <v>54</v>
      </c>
      <c r="AW51" s="110"/>
      <c r="AX51" s="138">
        <v>51</v>
      </c>
    </row>
    <row r="52" spans="1:50" ht="21" x14ac:dyDescent="0.25">
      <c r="A52" s="138">
        <v>52</v>
      </c>
      <c r="B52" s="94"/>
      <c r="C52" s="95" t="s">
        <v>51</v>
      </c>
      <c r="D52" s="95" t="s">
        <v>47</v>
      </c>
      <c r="E52" s="95" t="s">
        <v>456</v>
      </c>
      <c r="F52" s="95" t="s">
        <v>55</v>
      </c>
      <c r="G52" s="97">
        <v>4</v>
      </c>
      <c r="H52" s="97">
        <v>6</v>
      </c>
      <c r="I52" s="97">
        <v>2025</v>
      </c>
      <c r="J52" s="97">
        <v>339</v>
      </c>
      <c r="K52" s="97" t="s">
        <v>461</v>
      </c>
      <c r="L52" s="98" t="s">
        <v>462</v>
      </c>
      <c r="M52" s="95">
        <v>1</v>
      </c>
      <c r="N52" s="97"/>
      <c r="O52" s="98"/>
      <c r="P52" s="99"/>
      <c r="Q52" s="99"/>
      <c r="R52" s="99"/>
      <c r="S52" s="116" t="s">
        <v>72</v>
      </c>
      <c r="T52" s="174">
        <v>382</v>
      </c>
      <c r="U52" s="175">
        <v>196</v>
      </c>
      <c r="V52" s="100"/>
      <c r="W52" s="117"/>
      <c r="X52" s="117"/>
      <c r="Y52" s="117"/>
      <c r="Z52" s="106" t="s">
        <v>0</v>
      </c>
      <c r="AA52" s="117" t="s">
        <v>58</v>
      </c>
      <c r="AB52" s="117"/>
      <c r="AC52" s="117"/>
      <c r="AD52" s="117"/>
      <c r="AE52" s="118">
        <v>17.3</v>
      </c>
      <c r="AF52" s="112">
        <v>80</v>
      </c>
      <c r="AG52" s="112">
        <v>40</v>
      </c>
      <c r="AH52" s="113">
        <v>60</v>
      </c>
      <c r="AI52" s="119">
        <v>4.6399999999999997</v>
      </c>
      <c r="AJ52" s="120">
        <v>12</v>
      </c>
      <c r="AK52" s="120">
        <v>5.0999999999999996</v>
      </c>
      <c r="AL52" s="106">
        <v>5</v>
      </c>
      <c r="AM52" s="106">
        <v>9</v>
      </c>
      <c r="AN52" s="107">
        <f>SUM(AI44:AI52)</f>
        <v>45.400000000000006</v>
      </c>
      <c r="AO52" s="106"/>
      <c r="AP52" s="106"/>
      <c r="AQ52" s="108"/>
      <c r="AR52" s="109"/>
      <c r="AS52" s="110"/>
      <c r="AT52" s="110"/>
      <c r="AU52" s="110"/>
      <c r="AV52" s="112" t="s">
        <v>54</v>
      </c>
      <c r="AW52" s="110"/>
      <c r="AX52" s="138">
        <v>52</v>
      </c>
    </row>
    <row r="53" spans="1:50" ht="21" x14ac:dyDescent="0.25">
      <c r="A53" s="138">
        <v>53</v>
      </c>
      <c r="B53" s="94">
        <v>6</v>
      </c>
      <c r="C53" s="95" t="s">
        <v>51</v>
      </c>
      <c r="D53" s="95" t="s">
        <v>47</v>
      </c>
      <c r="E53" s="95" t="s">
        <v>456</v>
      </c>
      <c r="F53" s="95" t="s">
        <v>55</v>
      </c>
      <c r="G53" s="97">
        <v>4</v>
      </c>
      <c r="H53" s="97">
        <v>6</v>
      </c>
      <c r="I53" s="97">
        <v>2025</v>
      </c>
      <c r="J53" s="97">
        <v>338</v>
      </c>
      <c r="K53" s="97" t="s">
        <v>463</v>
      </c>
      <c r="L53" s="98" t="s">
        <v>464</v>
      </c>
      <c r="M53" s="95">
        <v>1</v>
      </c>
      <c r="N53" s="97"/>
      <c r="O53" s="98"/>
      <c r="P53" s="99"/>
      <c r="Q53" s="99"/>
      <c r="R53" s="99"/>
      <c r="S53" s="98" t="s">
        <v>158</v>
      </c>
      <c r="T53" s="174">
        <v>383</v>
      </c>
      <c r="U53" s="94">
        <v>366</v>
      </c>
      <c r="V53" s="100"/>
      <c r="W53" s="100"/>
      <c r="X53" s="100"/>
      <c r="Y53" s="100"/>
      <c r="Z53" s="101" t="s">
        <v>4</v>
      </c>
      <c r="AA53" s="100" t="s">
        <v>58</v>
      </c>
      <c r="AB53" s="100"/>
      <c r="AC53" s="100"/>
      <c r="AD53" s="100"/>
      <c r="AE53" s="102">
        <v>15.3</v>
      </c>
      <c r="AF53" s="103">
        <v>81</v>
      </c>
      <c r="AG53" s="103">
        <v>73</v>
      </c>
      <c r="AH53" s="104">
        <v>77</v>
      </c>
      <c r="AI53" s="102">
        <v>6.9</v>
      </c>
      <c r="AJ53" s="105">
        <v>12</v>
      </c>
      <c r="AK53" s="105">
        <v>3.1</v>
      </c>
      <c r="AL53" s="113"/>
      <c r="AM53" s="106"/>
      <c r="AN53" s="114"/>
      <c r="AO53" s="108"/>
      <c r="AP53" s="108"/>
      <c r="AQ53" s="108"/>
      <c r="AR53" s="109"/>
      <c r="AS53" s="110"/>
      <c r="AT53" s="110"/>
      <c r="AU53" s="111"/>
      <c r="AV53" s="112" t="s">
        <v>54</v>
      </c>
      <c r="AW53" s="110"/>
      <c r="AX53" s="138">
        <v>53</v>
      </c>
    </row>
    <row r="54" spans="1:50" ht="21" x14ac:dyDescent="0.25">
      <c r="A54" s="138">
        <v>54</v>
      </c>
      <c r="B54" s="94"/>
      <c r="C54" s="95" t="s">
        <v>51</v>
      </c>
      <c r="D54" s="95" t="s">
        <v>47</v>
      </c>
      <c r="E54" s="95" t="s">
        <v>456</v>
      </c>
      <c r="F54" s="95" t="s">
        <v>55</v>
      </c>
      <c r="G54" s="97">
        <v>4</v>
      </c>
      <c r="H54" s="97">
        <v>6</v>
      </c>
      <c r="I54" s="97">
        <v>2025</v>
      </c>
      <c r="J54" s="97">
        <v>338</v>
      </c>
      <c r="K54" s="97" t="s">
        <v>463</v>
      </c>
      <c r="L54" s="98" t="s">
        <v>464</v>
      </c>
      <c r="M54" s="95">
        <v>1</v>
      </c>
      <c r="N54" s="97"/>
      <c r="O54" s="95"/>
      <c r="P54" s="99"/>
      <c r="Q54" s="99"/>
      <c r="R54" s="99"/>
      <c r="S54" s="95" t="s">
        <v>234</v>
      </c>
      <c r="T54" s="174">
        <v>384</v>
      </c>
      <c r="U54" s="94">
        <v>2919</v>
      </c>
      <c r="V54" s="100"/>
      <c r="W54" s="100"/>
      <c r="X54" s="100"/>
      <c r="Y54" s="100"/>
      <c r="Z54" s="122" t="s">
        <v>6</v>
      </c>
      <c r="AA54" s="100" t="s">
        <v>58</v>
      </c>
      <c r="AB54" s="100"/>
      <c r="AC54" s="100"/>
      <c r="AD54" s="100"/>
      <c r="AE54" s="102">
        <v>12.7</v>
      </c>
      <c r="AF54" s="105">
        <v>56</v>
      </c>
      <c r="AG54" s="105">
        <v>46</v>
      </c>
      <c r="AH54" s="127">
        <v>51</v>
      </c>
      <c r="AI54" s="102">
        <v>2.59</v>
      </c>
      <c r="AJ54" s="105">
        <v>13</v>
      </c>
      <c r="AK54" s="105">
        <v>7.4</v>
      </c>
      <c r="AL54" s="108"/>
      <c r="AM54" s="108"/>
      <c r="AN54" s="114"/>
      <c r="AO54" s="108"/>
      <c r="AP54" s="108"/>
      <c r="AQ54" s="108"/>
      <c r="AR54" s="109"/>
      <c r="AS54" s="128"/>
      <c r="AT54" s="128"/>
      <c r="AU54" s="125"/>
      <c r="AV54" s="112" t="s">
        <v>54</v>
      </c>
      <c r="AW54" s="128"/>
      <c r="AX54" s="138">
        <v>54</v>
      </c>
    </row>
    <row r="55" spans="1:50" ht="21" x14ac:dyDescent="0.25">
      <c r="A55" s="138">
        <v>55</v>
      </c>
      <c r="B55" s="94"/>
      <c r="C55" s="95" t="s">
        <v>51</v>
      </c>
      <c r="D55" s="95" t="s">
        <v>47</v>
      </c>
      <c r="E55" s="95" t="s">
        <v>456</v>
      </c>
      <c r="F55" s="95" t="s">
        <v>55</v>
      </c>
      <c r="G55" s="97">
        <v>4</v>
      </c>
      <c r="H55" s="97">
        <v>6</v>
      </c>
      <c r="I55" s="97">
        <v>2025</v>
      </c>
      <c r="J55" s="97">
        <v>338</v>
      </c>
      <c r="K55" s="97" t="s">
        <v>463</v>
      </c>
      <c r="L55" s="98" t="s">
        <v>464</v>
      </c>
      <c r="M55" s="95">
        <v>1</v>
      </c>
      <c r="N55" s="97"/>
      <c r="O55" s="95"/>
      <c r="P55" s="99"/>
      <c r="Q55" s="99"/>
      <c r="R55" s="99"/>
      <c r="S55" s="129" t="s">
        <v>196</v>
      </c>
      <c r="T55" s="174">
        <v>385</v>
      </c>
      <c r="U55" s="175">
        <v>2853</v>
      </c>
      <c r="V55" s="100"/>
      <c r="W55" s="117"/>
      <c r="X55" s="117"/>
      <c r="Y55" s="117"/>
      <c r="Z55" s="109" t="s">
        <v>2</v>
      </c>
      <c r="AA55" s="117" t="s">
        <v>58</v>
      </c>
      <c r="AB55" s="117"/>
      <c r="AC55" s="117"/>
      <c r="AD55" s="117"/>
      <c r="AE55" s="119">
        <v>10.5</v>
      </c>
      <c r="AF55" s="120">
        <v>66</v>
      </c>
      <c r="AG55" s="120">
        <v>53</v>
      </c>
      <c r="AH55" s="108">
        <v>59</v>
      </c>
      <c r="AI55" s="119">
        <v>2.87</v>
      </c>
      <c r="AJ55" s="120"/>
      <c r="AK55" s="120">
        <v>0</v>
      </c>
      <c r="AL55" s="109"/>
      <c r="AM55" s="109"/>
      <c r="AN55" s="130"/>
      <c r="AO55" s="109"/>
      <c r="AP55" s="109"/>
      <c r="AQ55" s="108"/>
      <c r="AR55" s="109"/>
      <c r="AS55" s="128"/>
      <c r="AT55" s="128"/>
      <c r="AU55" s="128"/>
      <c r="AV55" s="112" t="s">
        <v>54</v>
      </c>
      <c r="AW55" s="128"/>
      <c r="AX55" s="138">
        <v>55</v>
      </c>
    </row>
    <row r="56" spans="1:50" ht="21" x14ac:dyDescent="0.25">
      <c r="A56" s="138">
        <v>56</v>
      </c>
      <c r="B56" s="94"/>
      <c r="C56" s="95" t="s">
        <v>51</v>
      </c>
      <c r="D56" s="95" t="s">
        <v>47</v>
      </c>
      <c r="E56" s="95" t="s">
        <v>456</v>
      </c>
      <c r="F56" s="95" t="s">
        <v>55</v>
      </c>
      <c r="G56" s="97">
        <v>4</v>
      </c>
      <c r="H56" s="97">
        <v>6</v>
      </c>
      <c r="I56" s="97">
        <v>2025</v>
      </c>
      <c r="J56" s="97">
        <v>338</v>
      </c>
      <c r="K56" s="97" t="s">
        <v>463</v>
      </c>
      <c r="L56" s="98" t="s">
        <v>464</v>
      </c>
      <c r="M56" s="95">
        <v>1</v>
      </c>
      <c r="N56" s="97"/>
      <c r="O56" s="98"/>
      <c r="P56" s="99"/>
      <c r="Q56" s="99"/>
      <c r="R56" s="99"/>
      <c r="S56" s="116" t="s">
        <v>120</v>
      </c>
      <c r="T56" s="174">
        <v>386</v>
      </c>
      <c r="U56" s="175">
        <v>243</v>
      </c>
      <c r="V56" s="100"/>
      <c r="W56" s="117"/>
      <c r="X56" s="117"/>
      <c r="Y56" s="117"/>
      <c r="Z56" s="106" t="s">
        <v>3</v>
      </c>
      <c r="AA56" s="117" t="s">
        <v>58</v>
      </c>
      <c r="AB56" s="117"/>
      <c r="AC56" s="117"/>
      <c r="AD56" s="117"/>
      <c r="AE56" s="118">
        <v>21</v>
      </c>
      <c r="AF56" s="112">
        <v>55</v>
      </c>
      <c r="AG56" s="112">
        <v>37</v>
      </c>
      <c r="AH56" s="113">
        <v>46</v>
      </c>
      <c r="AI56" s="119">
        <v>3.49</v>
      </c>
      <c r="AJ56" s="120"/>
      <c r="AK56" s="120">
        <v>0</v>
      </c>
      <c r="AL56" s="113"/>
      <c r="AM56" s="106"/>
      <c r="AN56" s="114"/>
      <c r="AO56" s="108"/>
      <c r="AP56" s="108"/>
      <c r="AQ56" s="108"/>
      <c r="AR56" s="109"/>
      <c r="AS56" s="110"/>
      <c r="AT56" s="110"/>
      <c r="AU56" s="110"/>
      <c r="AV56" s="112" t="s">
        <v>54</v>
      </c>
      <c r="AW56" s="110"/>
      <c r="AX56" s="138">
        <v>56</v>
      </c>
    </row>
    <row r="57" spans="1:50" ht="21" x14ac:dyDescent="0.25">
      <c r="A57" s="138">
        <v>57</v>
      </c>
      <c r="B57" s="94"/>
      <c r="C57" s="95" t="s">
        <v>51</v>
      </c>
      <c r="D57" s="95" t="s">
        <v>47</v>
      </c>
      <c r="E57" s="95" t="s">
        <v>456</v>
      </c>
      <c r="F57" s="95" t="s">
        <v>55</v>
      </c>
      <c r="G57" s="97">
        <v>4</v>
      </c>
      <c r="H57" s="97">
        <v>6</v>
      </c>
      <c r="I57" s="97">
        <v>2025</v>
      </c>
      <c r="J57" s="97">
        <v>338</v>
      </c>
      <c r="K57" s="97" t="s">
        <v>463</v>
      </c>
      <c r="L57" s="98" t="s">
        <v>464</v>
      </c>
      <c r="M57" s="95">
        <v>1</v>
      </c>
      <c r="N57" s="97"/>
      <c r="O57" s="98"/>
      <c r="P57" s="99"/>
      <c r="Q57" s="99"/>
      <c r="R57" s="99"/>
      <c r="S57" s="98" t="s">
        <v>359</v>
      </c>
      <c r="T57" s="174">
        <v>387</v>
      </c>
      <c r="U57" s="94">
        <v>3450</v>
      </c>
      <c r="V57" s="100"/>
      <c r="W57" s="100"/>
      <c r="X57" s="100"/>
      <c r="Y57" s="100"/>
      <c r="Z57" s="101" t="s">
        <v>0</v>
      </c>
      <c r="AA57" s="100" t="s">
        <v>58</v>
      </c>
      <c r="AB57" s="100"/>
      <c r="AC57" s="100"/>
      <c r="AD57" s="100"/>
      <c r="AE57" s="102">
        <v>14.2</v>
      </c>
      <c r="AF57" s="103">
        <v>72</v>
      </c>
      <c r="AG57" s="103">
        <v>68</v>
      </c>
      <c r="AH57" s="104">
        <v>70</v>
      </c>
      <c r="AI57" s="102">
        <v>5.46</v>
      </c>
      <c r="AJ57" s="105"/>
      <c r="AK57" s="105">
        <v>0</v>
      </c>
      <c r="AL57" s="113"/>
      <c r="AM57" s="106"/>
      <c r="AN57" s="114"/>
      <c r="AO57" s="108"/>
      <c r="AP57" s="108"/>
      <c r="AQ57" s="106"/>
      <c r="AR57" s="106"/>
      <c r="AS57" s="110"/>
      <c r="AT57" s="110"/>
      <c r="AU57" s="111"/>
      <c r="AV57" s="112" t="s">
        <v>54</v>
      </c>
      <c r="AW57" s="110"/>
      <c r="AX57" s="138">
        <v>57</v>
      </c>
    </row>
    <row r="58" spans="1:50" ht="21" x14ac:dyDescent="0.25">
      <c r="A58" s="138">
        <v>58</v>
      </c>
      <c r="B58" s="94"/>
      <c r="C58" s="95" t="s">
        <v>51</v>
      </c>
      <c r="D58" s="95" t="s">
        <v>47</v>
      </c>
      <c r="E58" s="95" t="s">
        <v>456</v>
      </c>
      <c r="F58" s="95" t="s">
        <v>55</v>
      </c>
      <c r="G58" s="97">
        <v>4</v>
      </c>
      <c r="H58" s="97">
        <v>6</v>
      </c>
      <c r="I58" s="97">
        <v>2025</v>
      </c>
      <c r="J58" s="97">
        <v>338</v>
      </c>
      <c r="K58" s="97" t="s">
        <v>463</v>
      </c>
      <c r="L58" s="98" t="s">
        <v>464</v>
      </c>
      <c r="M58" s="95">
        <v>1</v>
      </c>
      <c r="N58" s="97"/>
      <c r="O58" s="98"/>
      <c r="P58" s="99"/>
      <c r="Q58" s="99"/>
      <c r="R58" s="99"/>
      <c r="S58" s="98" t="s">
        <v>112</v>
      </c>
      <c r="T58" s="174">
        <v>388</v>
      </c>
      <c r="U58" s="94">
        <v>236</v>
      </c>
      <c r="V58" s="100"/>
      <c r="W58" s="100"/>
      <c r="X58" s="100"/>
      <c r="Y58" s="100"/>
      <c r="Z58" s="101" t="s">
        <v>2</v>
      </c>
      <c r="AA58" s="100" t="s">
        <v>58</v>
      </c>
      <c r="AB58" s="100"/>
      <c r="AC58" s="100"/>
      <c r="AD58" s="100"/>
      <c r="AE58" s="102">
        <v>21</v>
      </c>
      <c r="AF58" s="103">
        <v>86</v>
      </c>
      <c r="AG58" s="103">
        <v>65</v>
      </c>
      <c r="AH58" s="104">
        <v>75</v>
      </c>
      <c r="AI58" s="102">
        <v>9.2799999999999994</v>
      </c>
      <c r="AJ58" s="105"/>
      <c r="AK58" s="105">
        <v>0</v>
      </c>
      <c r="AL58" s="113"/>
      <c r="AM58" s="113"/>
      <c r="AN58" s="114"/>
      <c r="AO58" s="108"/>
      <c r="AP58" s="108"/>
      <c r="AQ58" s="108"/>
      <c r="AR58" s="109"/>
      <c r="AS58" s="110"/>
      <c r="AT58" s="110"/>
      <c r="AU58" s="111"/>
      <c r="AV58" s="112" t="s">
        <v>54</v>
      </c>
      <c r="AW58" s="110"/>
      <c r="AX58" s="138">
        <v>58</v>
      </c>
    </row>
    <row r="59" spans="1:50" ht="21" x14ac:dyDescent="0.25">
      <c r="A59" s="138">
        <v>59</v>
      </c>
      <c r="B59" s="94"/>
      <c r="C59" s="95" t="s">
        <v>51</v>
      </c>
      <c r="D59" s="95" t="s">
        <v>47</v>
      </c>
      <c r="E59" s="95" t="s">
        <v>456</v>
      </c>
      <c r="F59" s="95" t="s">
        <v>55</v>
      </c>
      <c r="G59" s="97">
        <v>4</v>
      </c>
      <c r="H59" s="97">
        <v>6</v>
      </c>
      <c r="I59" s="97">
        <v>2025</v>
      </c>
      <c r="J59" s="97">
        <v>338</v>
      </c>
      <c r="K59" s="97" t="s">
        <v>463</v>
      </c>
      <c r="L59" s="98" t="s">
        <v>464</v>
      </c>
      <c r="M59" s="95">
        <v>1</v>
      </c>
      <c r="N59" s="97"/>
      <c r="O59" s="98"/>
      <c r="P59" s="99"/>
      <c r="Q59" s="99"/>
      <c r="R59" s="99"/>
      <c r="S59" s="116" t="s">
        <v>293</v>
      </c>
      <c r="T59" s="174">
        <v>389</v>
      </c>
      <c r="U59" s="175">
        <v>3214</v>
      </c>
      <c r="V59" s="100"/>
      <c r="W59" s="117"/>
      <c r="X59" s="117"/>
      <c r="Y59" s="117"/>
      <c r="Z59" s="106" t="s">
        <v>0</v>
      </c>
      <c r="AA59" s="117" t="s">
        <v>58</v>
      </c>
      <c r="AB59" s="117"/>
      <c r="AC59" s="117"/>
      <c r="AD59" s="117"/>
      <c r="AE59" s="119">
        <v>14.9</v>
      </c>
      <c r="AF59" s="112">
        <v>80</v>
      </c>
      <c r="AG59" s="112">
        <v>66</v>
      </c>
      <c r="AH59" s="113">
        <v>73</v>
      </c>
      <c r="AI59" s="118">
        <v>6.24</v>
      </c>
      <c r="AJ59" s="112"/>
      <c r="AK59" s="112">
        <v>0</v>
      </c>
      <c r="AL59" s="113"/>
      <c r="AM59" s="106"/>
      <c r="AN59" s="131"/>
      <c r="AO59" s="108"/>
      <c r="AP59" s="108"/>
      <c r="AQ59" s="108"/>
      <c r="AR59" s="109"/>
      <c r="AS59" s="110"/>
      <c r="AT59" s="110"/>
      <c r="AU59" s="110"/>
      <c r="AV59" s="112" t="s">
        <v>54</v>
      </c>
      <c r="AW59" s="110"/>
      <c r="AX59" s="138">
        <v>59</v>
      </c>
    </row>
    <row r="60" spans="1:50" ht="21" x14ac:dyDescent="0.25">
      <c r="A60" s="138">
        <v>60</v>
      </c>
      <c r="B60" s="94"/>
      <c r="C60" s="95" t="s">
        <v>51</v>
      </c>
      <c r="D60" s="95" t="s">
        <v>47</v>
      </c>
      <c r="E60" s="95" t="s">
        <v>456</v>
      </c>
      <c r="F60" s="95" t="s">
        <v>55</v>
      </c>
      <c r="G60" s="97">
        <v>4</v>
      </c>
      <c r="H60" s="97">
        <v>6</v>
      </c>
      <c r="I60" s="97">
        <v>2025</v>
      </c>
      <c r="J60" s="97">
        <v>338</v>
      </c>
      <c r="K60" s="97" t="s">
        <v>463</v>
      </c>
      <c r="L60" s="98" t="s">
        <v>464</v>
      </c>
      <c r="M60" s="95">
        <v>1</v>
      </c>
      <c r="N60" s="97"/>
      <c r="O60" s="98"/>
      <c r="P60" s="99"/>
      <c r="Q60" s="99"/>
      <c r="R60" s="99"/>
      <c r="S60" s="98" t="s">
        <v>63</v>
      </c>
      <c r="T60" s="174">
        <v>390</v>
      </c>
      <c r="U60" s="94">
        <v>186</v>
      </c>
      <c r="V60" s="100"/>
      <c r="W60" s="100"/>
      <c r="X60" s="100"/>
      <c r="Y60" s="100"/>
      <c r="Z60" s="101" t="s">
        <v>0</v>
      </c>
      <c r="AA60" s="100" t="s">
        <v>58</v>
      </c>
      <c r="AB60" s="100"/>
      <c r="AC60" s="100"/>
      <c r="AD60" s="100"/>
      <c r="AE60" s="121">
        <v>18.100000000000001</v>
      </c>
      <c r="AF60" s="103">
        <v>60</v>
      </c>
      <c r="AG60" s="103">
        <v>47</v>
      </c>
      <c r="AH60" s="104">
        <v>53</v>
      </c>
      <c r="AI60" s="102">
        <v>3.99</v>
      </c>
      <c r="AJ60" s="105"/>
      <c r="AK60" s="105">
        <v>0</v>
      </c>
      <c r="AL60" s="113">
        <v>6</v>
      </c>
      <c r="AM60" s="106">
        <f>COUNT(AI53:AI60)</f>
        <v>8</v>
      </c>
      <c r="AN60" s="114">
        <f>SUM(AI53:AI60)</f>
        <v>40.82</v>
      </c>
      <c r="AO60" s="108"/>
      <c r="AP60" s="108"/>
      <c r="AQ60" s="108"/>
      <c r="AR60" s="109"/>
      <c r="AS60" s="110"/>
      <c r="AT60" s="110"/>
      <c r="AU60" s="111"/>
      <c r="AV60" s="112" t="s">
        <v>54</v>
      </c>
      <c r="AW60" s="110"/>
      <c r="AX60" s="138">
        <v>60</v>
      </c>
    </row>
    <row r="61" spans="1:50" ht="21" x14ac:dyDescent="0.25">
      <c r="A61" s="138">
        <v>61</v>
      </c>
      <c r="B61" s="94">
        <v>7</v>
      </c>
      <c r="C61" s="95" t="s">
        <v>51</v>
      </c>
      <c r="D61" s="95" t="s">
        <v>47</v>
      </c>
      <c r="E61" s="95" t="s">
        <v>48</v>
      </c>
      <c r="F61" s="95" t="s">
        <v>55</v>
      </c>
      <c r="G61" s="97">
        <v>4</v>
      </c>
      <c r="H61" s="97">
        <v>6</v>
      </c>
      <c r="I61" s="97">
        <v>2025</v>
      </c>
      <c r="J61" s="97">
        <v>342</v>
      </c>
      <c r="K61" s="97" t="s">
        <v>466</v>
      </c>
      <c r="L61" s="98" t="s">
        <v>465</v>
      </c>
      <c r="M61" s="97">
        <v>1</v>
      </c>
      <c r="N61" s="97"/>
      <c r="O61" s="98"/>
      <c r="P61" s="99"/>
      <c r="Q61" s="99"/>
      <c r="R61" s="99"/>
      <c r="S61" s="116" t="s">
        <v>69</v>
      </c>
      <c r="T61" s="174">
        <v>391</v>
      </c>
      <c r="U61" s="175">
        <v>193</v>
      </c>
      <c r="V61" s="100"/>
      <c r="W61" s="117"/>
      <c r="X61" s="117"/>
      <c r="Y61" s="117"/>
      <c r="Z61" s="101" t="s">
        <v>0</v>
      </c>
      <c r="AA61" s="100" t="s">
        <v>58</v>
      </c>
      <c r="AB61" s="100"/>
      <c r="AC61" s="100"/>
      <c r="AD61" s="117"/>
      <c r="AE61" s="118">
        <v>18.100000000000001</v>
      </c>
      <c r="AF61" s="112">
        <v>51</v>
      </c>
      <c r="AG61" s="112">
        <v>39</v>
      </c>
      <c r="AH61" s="113">
        <v>45</v>
      </c>
      <c r="AI61" s="119">
        <v>2.88</v>
      </c>
      <c r="AJ61" s="120"/>
      <c r="AK61" s="120">
        <v>0</v>
      </c>
      <c r="AL61" s="113"/>
      <c r="AM61" s="106"/>
      <c r="AN61" s="114"/>
      <c r="AO61" s="108"/>
      <c r="AP61" s="108"/>
      <c r="AQ61" s="106"/>
      <c r="AR61" s="106"/>
      <c r="AS61" s="110"/>
      <c r="AT61" s="110"/>
      <c r="AU61" s="110"/>
      <c r="AV61" s="112" t="s">
        <v>54</v>
      </c>
      <c r="AW61" s="110"/>
      <c r="AX61" s="138">
        <v>61</v>
      </c>
    </row>
    <row r="62" spans="1:50" ht="21" x14ac:dyDescent="0.25">
      <c r="A62" s="138">
        <v>62</v>
      </c>
      <c r="B62" s="94"/>
      <c r="C62" s="95" t="s">
        <v>51</v>
      </c>
      <c r="D62" s="95" t="s">
        <v>47</v>
      </c>
      <c r="E62" s="95" t="s">
        <v>48</v>
      </c>
      <c r="F62" s="95" t="s">
        <v>55</v>
      </c>
      <c r="G62" s="97">
        <v>4</v>
      </c>
      <c r="H62" s="97">
        <v>6</v>
      </c>
      <c r="I62" s="97">
        <v>2025</v>
      </c>
      <c r="J62" s="97">
        <v>342</v>
      </c>
      <c r="K62" s="97" t="s">
        <v>466</v>
      </c>
      <c r="L62" s="98" t="s">
        <v>465</v>
      </c>
      <c r="M62" s="97">
        <v>1</v>
      </c>
      <c r="N62" s="97"/>
      <c r="O62" s="98"/>
      <c r="P62" s="99"/>
      <c r="Q62" s="99"/>
      <c r="R62" s="99"/>
      <c r="S62" s="116" t="s">
        <v>266</v>
      </c>
      <c r="T62" s="174">
        <v>392</v>
      </c>
      <c r="U62" s="175">
        <v>3042</v>
      </c>
      <c r="V62" s="100"/>
      <c r="W62" s="117"/>
      <c r="X62" s="117"/>
      <c r="Y62" s="117"/>
      <c r="Z62" s="106" t="s">
        <v>3</v>
      </c>
      <c r="AA62" s="117" t="s">
        <v>58</v>
      </c>
      <c r="AB62" s="117"/>
      <c r="AC62" s="117"/>
      <c r="AD62" s="117"/>
      <c r="AE62" s="118">
        <v>12.4</v>
      </c>
      <c r="AF62" s="112">
        <v>76</v>
      </c>
      <c r="AG62" s="112">
        <v>63</v>
      </c>
      <c r="AH62" s="113">
        <v>69</v>
      </c>
      <c r="AI62" s="119">
        <v>4.6399999999999997</v>
      </c>
      <c r="AJ62" s="120"/>
      <c r="AK62" s="120">
        <v>0</v>
      </c>
      <c r="AL62" s="113"/>
      <c r="AM62" s="113"/>
      <c r="AN62" s="115"/>
      <c r="AO62" s="113"/>
      <c r="AP62" s="113"/>
      <c r="AQ62" s="108"/>
      <c r="AR62" s="109"/>
      <c r="AS62" s="110"/>
      <c r="AT62" s="110"/>
      <c r="AU62" s="110"/>
      <c r="AV62" s="112" t="s">
        <v>54</v>
      </c>
      <c r="AW62" s="110"/>
      <c r="AX62" s="138">
        <v>62</v>
      </c>
    </row>
    <row r="63" spans="1:50" ht="21" x14ac:dyDescent="0.25">
      <c r="A63" s="138">
        <v>63</v>
      </c>
      <c r="B63" s="94"/>
      <c r="C63" s="95" t="s">
        <v>51</v>
      </c>
      <c r="D63" s="95" t="s">
        <v>47</v>
      </c>
      <c r="E63" s="95" t="s">
        <v>48</v>
      </c>
      <c r="F63" s="95" t="s">
        <v>55</v>
      </c>
      <c r="G63" s="97">
        <v>4</v>
      </c>
      <c r="H63" s="97">
        <v>6</v>
      </c>
      <c r="I63" s="97">
        <v>2025</v>
      </c>
      <c r="J63" s="97">
        <v>342</v>
      </c>
      <c r="K63" s="97" t="s">
        <v>466</v>
      </c>
      <c r="L63" s="98" t="s">
        <v>465</v>
      </c>
      <c r="M63" s="97">
        <v>1</v>
      </c>
      <c r="N63" s="97"/>
      <c r="O63" s="98"/>
      <c r="P63" s="99"/>
      <c r="Q63" s="99"/>
      <c r="R63" s="99"/>
      <c r="S63" s="116" t="s">
        <v>68</v>
      </c>
      <c r="T63" s="174">
        <v>393</v>
      </c>
      <c r="U63" s="175">
        <v>192</v>
      </c>
      <c r="V63" s="100"/>
      <c r="W63" s="117"/>
      <c r="X63" s="117"/>
      <c r="Y63" s="117"/>
      <c r="Z63" s="101" t="s">
        <v>0</v>
      </c>
      <c r="AA63" s="100" t="s">
        <v>58</v>
      </c>
      <c r="AB63" s="100"/>
      <c r="AC63" s="100"/>
      <c r="AD63" s="117"/>
      <c r="AE63" s="118">
        <v>17</v>
      </c>
      <c r="AF63" s="112">
        <v>62</v>
      </c>
      <c r="AG63" s="112">
        <v>50</v>
      </c>
      <c r="AH63" s="113">
        <v>56</v>
      </c>
      <c r="AI63" s="119">
        <v>4.1900000000000004</v>
      </c>
      <c r="AJ63" s="120"/>
      <c r="AK63" s="120">
        <v>0</v>
      </c>
      <c r="AL63" s="113"/>
      <c r="AM63" s="106"/>
      <c r="AN63" s="114"/>
      <c r="AO63" s="108"/>
      <c r="AP63" s="108"/>
      <c r="AQ63" s="106"/>
      <c r="AR63" s="106"/>
      <c r="AS63" s="110"/>
      <c r="AT63" s="110"/>
      <c r="AU63" s="110"/>
      <c r="AV63" s="112" t="s">
        <v>54</v>
      </c>
      <c r="AW63" s="110"/>
      <c r="AX63" s="138">
        <v>63</v>
      </c>
    </row>
    <row r="64" spans="1:50" ht="21" x14ac:dyDescent="0.25">
      <c r="A64" s="138">
        <v>64</v>
      </c>
      <c r="B64" s="94"/>
      <c r="C64" s="95" t="s">
        <v>51</v>
      </c>
      <c r="D64" s="95" t="s">
        <v>47</v>
      </c>
      <c r="E64" s="95" t="s">
        <v>48</v>
      </c>
      <c r="F64" s="95" t="s">
        <v>55</v>
      </c>
      <c r="G64" s="97">
        <v>4</v>
      </c>
      <c r="H64" s="97">
        <v>6</v>
      </c>
      <c r="I64" s="97">
        <v>2025</v>
      </c>
      <c r="J64" s="97">
        <v>342</v>
      </c>
      <c r="K64" s="97" t="s">
        <v>466</v>
      </c>
      <c r="L64" s="98" t="s">
        <v>465</v>
      </c>
      <c r="M64" s="97">
        <v>1</v>
      </c>
      <c r="N64" s="97"/>
      <c r="O64" s="98"/>
      <c r="P64" s="99"/>
      <c r="Q64" s="99"/>
      <c r="R64" s="99"/>
      <c r="S64" s="116" t="s">
        <v>259</v>
      </c>
      <c r="T64" s="174">
        <v>394</v>
      </c>
      <c r="U64" s="175">
        <v>3035</v>
      </c>
      <c r="V64" s="100"/>
      <c r="W64" s="117"/>
      <c r="X64" s="117"/>
      <c r="Y64" s="117"/>
      <c r="Z64" s="106" t="s">
        <v>0</v>
      </c>
      <c r="AA64" s="117" t="s">
        <v>58</v>
      </c>
      <c r="AB64" s="117"/>
      <c r="AC64" s="117"/>
      <c r="AD64" s="117"/>
      <c r="AE64" s="118">
        <v>15.3</v>
      </c>
      <c r="AF64" s="112">
        <v>78</v>
      </c>
      <c r="AG64" s="112">
        <v>58</v>
      </c>
      <c r="AH64" s="113">
        <v>68</v>
      </c>
      <c r="AI64" s="119">
        <v>5.1100000000000003</v>
      </c>
      <c r="AJ64" s="120">
        <v>17</v>
      </c>
      <c r="AK64" s="120">
        <v>8</v>
      </c>
      <c r="AL64" s="113"/>
      <c r="AM64" s="113"/>
      <c r="AN64" s="115"/>
      <c r="AO64" s="113"/>
      <c r="AP64" s="113"/>
      <c r="AQ64" s="108"/>
      <c r="AR64" s="109"/>
      <c r="AS64" s="110"/>
      <c r="AT64" s="110"/>
      <c r="AU64" s="110"/>
      <c r="AV64" s="112" t="s">
        <v>54</v>
      </c>
      <c r="AW64" s="110"/>
      <c r="AX64" s="138">
        <v>64</v>
      </c>
    </row>
    <row r="65" spans="1:50" ht="21" x14ac:dyDescent="0.25">
      <c r="A65" s="138">
        <v>65</v>
      </c>
      <c r="B65" s="94"/>
      <c r="C65" s="95" t="s">
        <v>51</v>
      </c>
      <c r="D65" s="95" t="s">
        <v>47</v>
      </c>
      <c r="E65" s="95" t="s">
        <v>48</v>
      </c>
      <c r="F65" s="95" t="s">
        <v>55</v>
      </c>
      <c r="G65" s="97">
        <v>4</v>
      </c>
      <c r="H65" s="97">
        <v>6</v>
      </c>
      <c r="I65" s="97">
        <v>2025</v>
      </c>
      <c r="J65" s="97">
        <v>342</v>
      </c>
      <c r="K65" s="97" t="s">
        <v>466</v>
      </c>
      <c r="L65" s="98" t="s">
        <v>465</v>
      </c>
      <c r="M65" s="97">
        <v>1</v>
      </c>
      <c r="N65" s="97"/>
      <c r="O65" s="98"/>
      <c r="P65" s="99"/>
      <c r="Q65" s="99"/>
      <c r="R65" s="99"/>
      <c r="S65" s="98" t="s">
        <v>434</v>
      </c>
      <c r="T65" s="174">
        <v>395</v>
      </c>
      <c r="U65" s="94">
        <v>3722</v>
      </c>
      <c r="V65" s="100"/>
      <c r="W65" s="100"/>
      <c r="X65" s="100"/>
      <c r="Y65" s="100"/>
      <c r="Z65" s="101" t="s">
        <v>169</v>
      </c>
      <c r="AA65" s="100" t="s">
        <v>118</v>
      </c>
      <c r="AB65" s="100"/>
      <c r="AC65" s="100"/>
      <c r="AD65" s="100"/>
      <c r="AE65" s="121">
        <v>15.3</v>
      </c>
      <c r="AF65" s="103">
        <v>82</v>
      </c>
      <c r="AG65" s="103">
        <v>62</v>
      </c>
      <c r="AH65" s="104">
        <v>72</v>
      </c>
      <c r="AI65" s="121">
        <v>6.23</v>
      </c>
      <c r="AJ65" s="103"/>
      <c r="AK65" s="103">
        <v>0</v>
      </c>
      <c r="AL65" s="113"/>
      <c r="AM65" s="106"/>
      <c r="AN65" s="114"/>
      <c r="AO65" s="108"/>
      <c r="AP65" s="108"/>
      <c r="AQ65" s="108"/>
      <c r="AR65" s="109"/>
      <c r="AS65" s="110"/>
      <c r="AT65" s="110"/>
      <c r="AU65" s="111"/>
      <c r="AV65" s="112" t="s">
        <v>54</v>
      </c>
      <c r="AW65" s="110"/>
      <c r="AX65" s="138">
        <v>65</v>
      </c>
    </row>
    <row r="66" spans="1:50" ht="21" x14ac:dyDescent="0.25">
      <c r="A66" s="138">
        <v>66</v>
      </c>
      <c r="B66" s="94"/>
      <c r="C66" s="95" t="s">
        <v>51</v>
      </c>
      <c r="D66" s="95" t="s">
        <v>47</v>
      </c>
      <c r="E66" s="95" t="s">
        <v>48</v>
      </c>
      <c r="F66" s="95" t="s">
        <v>55</v>
      </c>
      <c r="G66" s="97">
        <v>4</v>
      </c>
      <c r="H66" s="97">
        <v>6</v>
      </c>
      <c r="I66" s="97">
        <v>2025</v>
      </c>
      <c r="J66" s="97">
        <v>342</v>
      </c>
      <c r="K66" s="97" t="s">
        <v>466</v>
      </c>
      <c r="L66" s="98" t="s">
        <v>465</v>
      </c>
      <c r="M66" s="97">
        <v>1</v>
      </c>
      <c r="N66" s="97"/>
      <c r="O66" s="98"/>
      <c r="P66" s="99"/>
      <c r="Q66" s="99"/>
      <c r="R66" s="99"/>
      <c r="S66" s="98" t="s">
        <v>361</v>
      </c>
      <c r="T66" s="174">
        <v>396</v>
      </c>
      <c r="U66" s="94">
        <v>3452</v>
      </c>
      <c r="V66" s="100"/>
      <c r="W66" s="100"/>
      <c r="X66" s="100"/>
      <c r="Y66" s="100"/>
      <c r="Z66" s="101" t="s">
        <v>0</v>
      </c>
      <c r="AA66" s="100" t="s">
        <v>58</v>
      </c>
      <c r="AB66" s="100"/>
      <c r="AC66" s="100"/>
      <c r="AD66" s="100"/>
      <c r="AE66" s="102">
        <v>11.8</v>
      </c>
      <c r="AF66" s="103">
        <v>68</v>
      </c>
      <c r="AG66" s="103">
        <v>60</v>
      </c>
      <c r="AH66" s="104">
        <v>64</v>
      </c>
      <c r="AI66" s="102">
        <v>3.8</v>
      </c>
      <c r="AJ66" s="105"/>
      <c r="AK66" s="105">
        <v>0</v>
      </c>
      <c r="AL66" s="113"/>
      <c r="AM66" s="106"/>
      <c r="AN66" s="114"/>
      <c r="AO66" s="108"/>
      <c r="AP66" s="108"/>
      <c r="AQ66" s="108"/>
      <c r="AR66" s="109"/>
      <c r="AS66" s="110"/>
      <c r="AT66" s="110"/>
      <c r="AU66" s="111"/>
      <c r="AV66" s="112" t="s">
        <v>54</v>
      </c>
      <c r="AW66" s="110"/>
      <c r="AX66" s="138">
        <v>66</v>
      </c>
    </row>
    <row r="67" spans="1:50" ht="21" x14ac:dyDescent="0.25">
      <c r="A67" s="138">
        <v>67</v>
      </c>
      <c r="B67" s="94"/>
      <c r="C67" s="95" t="s">
        <v>51</v>
      </c>
      <c r="D67" s="95" t="s">
        <v>47</v>
      </c>
      <c r="E67" s="95" t="s">
        <v>48</v>
      </c>
      <c r="F67" s="95" t="s">
        <v>55</v>
      </c>
      <c r="G67" s="97">
        <v>4</v>
      </c>
      <c r="H67" s="97">
        <v>6</v>
      </c>
      <c r="I67" s="97">
        <v>2025</v>
      </c>
      <c r="J67" s="97">
        <v>342</v>
      </c>
      <c r="K67" s="97" t="s">
        <v>466</v>
      </c>
      <c r="L67" s="98" t="s">
        <v>465</v>
      </c>
      <c r="M67" s="97">
        <v>1</v>
      </c>
      <c r="N67" s="97"/>
      <c r="O67" s="98"/>
      <c r="P67" s="99"/>
      <c r="Q67" s="99"/>
      <c r="R67" s="99"/>
      <c r="S67" s="98" t="s">
        <v>164</v>
      </c>
      <c r="T67" s="174">
        <v>397</v>
      </c>
      <c r="U67" s="94">
        <v>2803</v>
      </c>
      <c r="V67" s="100"/>
      <c r="W67" s="100"/>
      <c r="X67" s="100"/>
      <c r="Y67" s="100"/>
      <c r="Z67" s="101" t="s">
        <v>0</v>
      </c>
      <c r="AA67" s="100" t="s">
        <v>58</v>
      </c>
      <c r="AB67" s="100"/>
      <c r="AC67" s="100"/>
      <c r="AD67" s="100"/>
      <c r="AE67" s="102">
        <v>17.2</v>
      </c>
      <c r="AF67" s="103">
        <v>83</v>
      </c>
      <c r="AG67" s="103">
        <v>64</v>
      </c>
      <c r="AH67" s="104">
        <v>73</v>
      </c>
      <c r="AI67" s="102">
        <v>7.2</v>
      </c>
      <c r="AJ67" s="105"/>
      <c r="AK67" s="105">
        <v>0</v>
      </c>
      <c r="AL67" s="113"/>
      <c r="AM67" s="113"/>
      <c r="AN67" s="114"/>
      <c r="AO67" s="108"/>
      <c r="AP67" s="108"/>
      <c r="AQ67" s="108"/>
      <c r="AR67" s="109"/>
      <c r="AS67" s="110"/>
      <c r="AT67" s="110"/>
      <c r="AU67" s="111"/>
      <c r="AV67" s="112" t="s">
        <v>54</v>
      </c>
      <c r="AW67" s="110"/>
      <c r="AX67" s="138">
        <v>67</v>
      </c>
    </row>
    <row r="68" spans="1:50" ht="21" x14ac:dyDescent="0.25">
      <c r="A68" s="138">
        <v>68</v>
      </c>
      <c r="B68" s="94"/>
      <c r="C68" s="95" t="s">
        <v>51</v>
      </c>
      <c r="D68" s="95" t="s">
        <v>47</v>
      </c>
      <c r="E68" s="95" t="s">
        <v>48</v>
      </c>
      <c r="F68" s="95" t="s">
        <v>55</v>
      </c>
      <c r="G68" s="97">
        <v>4</v>
      </c>
      <c r="H68" s="97">
        <v>6</v>
      </c>
      <c r="I68" s="97">
        <v>2025</v>
      </c>
      <c r="J68" s="97">
        <v>342</v>
      </c>
      <c r="K68" s="97" t="s">
        <v>466</v>
      </c>
      <c r="L68" s="98" t="s">
        <v>465</v>
      </c>
      <c r="M68" s="97">
        <v>1</v>
      </c>
      <c r="N68" s="97"/>
      <c r="O68" s="98"/>
      <c r="P68" s="99"/>
      <c r="Q68" s="99"/>
      <c r="R68" s="99"/>
      <c r="S68" s="116" t="s">
        <v>269</v>
      </c>
      <c r="T68" s="174">
        <v>398</v>
      </c>
      <c r="U68" s="175">
        <v>3046</v>
      </c>
      <c r="V68" s="100"/>
      <c r="W68" s="117"/>
      <c r="X68" s="117"/>
      <c r="Y68" s="117"/>
      <c r="Z68" s="101" t="s">
        <v>0</v>
      </c>
      <c r="AA68" s="100" t="s">
        <v>58</v>
      </c>
      <c r="AB68" s="100"/>
      <c r="AC68" s="100"/>
      <c r="AD68" s="117"/>
      <c r="AE68" s="118">
        <v>10.1</v>
      </c>
      <c r="AF68" s="112">
        <v>82</v>
      </c>
      <c r="AG68" s="112">
        <v>74</v>
      </c>
      <c r="AH68" s="113">
        <v>78</v>
      </c>
      <c r="AI68" s="119">
        <v>4.83</v>
      </c>
      <c r="AJ68" s="120"/>
      <c r="AK68" s="120">
        <v>0</v>
      </c>
      <c r="AL68" s="113"/>
      <c r="AM68" s="113"/>
      <c r="AN68" s="115"/>
      <c r="AO68" s="113"/>
      <c r="AP68" s="113"/>
      <c r="AQ68" s="108"/>
      <c r="AR68" s="109"/>
      <c r="AS68" s="110"/>
      <c r="AT68" s="110"/>
      <c r="AU68" s="110"/>
      <c r="AV68" s="112" t="s">
        <v>54</v>
      </c>
      <c r="AW68" s="110"/>
      <c r="AX68" s="138">
        <v>68</v>
      </c>
    </row>
    <row r="69" spans="1:50" ht="21" x14ac:dyDescent="0.25">
      <c r="A69" s="138">
        <v>69</v>
      </c>
      <c r="B69" s="94"/>
      <c r="C69" s="95" t="s">
        <v>51</v>
      </c>
      <c r="D69" s="95" t="s">
        <v>47</v>
      </c>
      <c r="E69" s="95" t="s">
        <v>48</v>
      </c>
      <c r="F69" s="95" t="s">
        <v>55</v>
      </c>
      <c r="G69" s="97">
        <v>4</v>
      </c>
      <c r="H69" s="97">
        <v>6</v>
      </c>
      <c r="I69" s="97">
        <v>2025</v>
      </c>
      <c r="J69" s="97">
        <v>342</v>
      </c>
      <c r="K69" s="97" t="s">
        <v>466</v>
      </c>
      <c r="L69" s="98" t="s">
        <v>465</v>
      </c>
      <c r="M69" s="97">
        <v>1</v>
      </c>
      <c r="N69" s="97"/>
      <c r="O69" s="98"/>
      <c r="P69" s="99"/>
      <c r="Q69" s="99"/>
      <c r="R69" s="99"/>
      <c r="S69" s="98" t="s">
        <v>218</v>
      </c>
      <c r="T69" s="174">
        <v>399</v>
      </c>
      <c r="U69" s="94">
        <v>2903</v>
      </c>
      <c r="V69" s="100"/>
      <c r="W69" s="100"/>
      <c r="X69" s="100"/>
      <c r="Y69" s="100"/>
      <c r="Z69" s="101" t="s">
        <v>0</v>
      </c>
      <c r="AA69" s="100" t="s">
        <v>58</v>
      </c>
      <c r="AB69" s="100"/>
      <c r="AC69" s="100"/>
      <c r="AD69" s="100"/>
      <c r="AE69" s="102">
        <v>14.6</v>
      </c>
      <c r="AF69" s="103">
        <v>64</v>
      </c>
      <c r="AG69" s="103">
        <v>56</v>
      </c>
      <c r="AH69" s="104">
        <v>60</v>
      </c>
      <c r="AI69" s="102">
        <v>4.13</v>
      </c>
      <c r="AJ69" s="105"/>
      <c r="AK69" s="105">
        <v>0</v>
      </c>
      <c r="AL69" s="113"/>
      <c r="AM69" s="113"/>
      <c r="AN69" s="114"/>
      <c r="AO69" s="108"/>
      <c r="AP69" s="108"/>
      <c r="AQ69" s="108"/>
      <c r="AR69" s="109"/>
      <c r="AS69" s="110"/>
      <c r="AT69" s="110"/>
      <c r="AU69" s="111"/>
      <c r="AV69" s="112" t="s">
        <v>54</v>
      </c>
      <c r="AW69" s="110"/>
      <c r="AX69" s="138">
        <v>69</v>
      </c>
    </row>
    <row r="70" spans="1:50" ht="21" x14ac:dyDescent="0.25">
      <c r="A70" s="138">
        <v>70</v>
      </c>
      <c r="B70" s="94"/>
      <c r="C70" s="95" t="s">
        <v>51</v>
      </c>
      <c r="D70" s="95" t="s">
        <v>47</v>
      </c>
      <c r="E70" s="95" t="s">
        <v>48</v>
      </c>
      <c r="F70" s="95" t="s">
        <v>55</v>
      </c>
      <c r="G70" s="97">
        <v>4</v>
      </c>
      <c r="H70" s="97">
        <v>6</v>
      </c>
      <c r="I70" s="97">
        <v>2025</v>
      </c>
      <c r="J70" s="97">
        <v>342</v>
      </c>
      <c r="K70" s="97" t="s">
        <v>466</v>
      </c>
      <c r="L70" s="98" t="s">
        <v>465</v>
      </c>
      <c r="M70" s="97">
        <v>1</v>
      </c>
      <c r="N70" s="97"/>
      <c r="O70" s="98"/>
      <c r="P70" s="99"/>
      <c r="Q70" s="99"/>
      <c r="R70" s="99"/>
      <c r="S70" s="116" t="s">
        <v>376</v>
      </c>
      <c r="T70" s="174">
        <v>400</v>
      </c>
      <c r="U70" s="175">
        <v>3467</v>
      </c>
      <c r="V70" s="100"/>
      <c r="W70" s="117"/>
      <c r="X70" s="117"/>
      <c r="Y70" s="117"/>
      <c r="Z70" s="106" t="s">
        <v>0</v>
      </c>
      <c r="AA70" s="117" t="s">
        <v>58</v>
      </c>
      <c r="AB70" s="117"/>
      <c r="AC70" s="117"/>
      <c r="AD70" s="117"/>
      <c r="AE70" s="119">
        <v>14.1</v>
      </c>
      <c r="AF70" s="112">
        <v>60</v>
      </c>
      <c r="AG70" s="112">
        <v>48</v>
      </c>
      <c r="AH70" s="113">
        <v>54</v>
      </c>
      <c r="AI70" s="118">
        <v>3.23</v>
      </c>
      <c r="AJ70" s="112"/>
      <c r="AK70" s="112">
        <v>0</v>
      </c>
      <c r="AL70" s="113">
        <v>7</v>
      </c>
      <c r="AM70" s="106">
        <f>COUNT(AI61:AI70)</f>
        <v>10</v>
      </c>
      <c r="AN70" s="131">
        <f>SUM(AI61:AI70)</f>
        <v>46.24</v>
      </c>
      <c r="AO70" s="108"/>
      <c r="AP70" s="108"/>
      <c r="AQ70" s="108"/>
      <c r="AR70" s="109"/>
      <c r="AS70" s="110"/>
      <c r="AT70" s="110"/>
      <c r="AU70" s="110"/>
      <c r="AV70" s="112" t="s">
        <v>54</v>
      </c>
      <c r="AW70" s="110"/>
      <c r="AX70" s="138">
        <v>70</v>
      </c>
    </row>
    <row r="71" spans="1:50" ht="21" x14ac:dyDescent="0.25">
      <c r="A71" s="138">
        <v>71</v>
      </c>
      <c r="B71" s="94">
        <v>8</v>
      </c>
      <c r="C71" s="95" t="s">
        <v>467</v>
      </c>
      <c r="D71" s="95" t="s">
        <v>47</v>
      </c>
      <c r="E71" s="95" t="s">
        <v>456</v>
      </c>
      <c r="F71" s="95" t="s">
        <v>55</v>
      </c>
      <c r="G71" s="97">
        <v>4</v>
      </c>
      <c r="H71" s="97">
        <v>6</v>
      </c>
      <c r="I71" s="97">
        <v>2025</v>
      </c>
      <c r="J71" s="97">
        <v>336</v>
      </c>
      <c r="K71" s="97" t="s">
        <v>468</v>
      </c>
      <c r="L71" s="98" t="s">
        <v>469</v>
      </c>
      <c r="M71" s="95">
        <v>1</v>
      </c>
      <c r="N71" s="97"/>
      <c r="O71" s="98"/>
      <c r="P71" s="99"/>
      <c r="Q71" s="99"/>
      <c r="R71" s="99"/>
      <c r="S71" s="98" t="s">
        <v>357</v>
      </c>
      <c r="T71" s="174">
        <v>401</v>
      </c>
      <c r="U71" s="94">
        <v>3448</v>
      </c>
      <c r="V71" s="100"/>
      <c r="W71" s="100"/>
      <c r="X71" s="100"/>
      <c r="Y71" s="100"/>
      <c r="Z71" s="101" t="s">
        <v>0</v>
      </c>
      <c r="AA71" s="100" t="s">
        <v>58</v>
      </c>
      <c r="AB71" s="100"/>
      <c r="AC71" s="100"/>
      <c r="AD71" s="100"/>
      <c r="AE71" s="102">
        <v>21</v>
      </c>
      <c r="AF71" s="103">
        <v>76</v>
      </c>
      <c r="AG71" s="103">
        <v>55</v>
      </c>
      <c r="AH71" s="104">
        <v>65</v>
      </c>
      <c r="AI71" s="102">
        <v>6.97</v>
      </c>
      <c r="AJ71" s="105"/>
      <c r="AK71" s="105">
        <v>0</v>
      </c>
      <c r="AL71" s="113"/>
      <c r="AM71" s="106"/>
      <c r="AN71" s="114"/>
      <c r="AO71" s="108"/>
      <c r="AP71" s="108"/>
      <c r="AQ71" s="108"/>
      <c r="AR71" s="109"/>
      <c r="AS71" s="110"/>
      <c r="AT71" s="110"/>
      <c r="AU71" s="111"/>
      <c r="AV71" s="112" t="s">
        <v>54</v>
      </c>
      <c r="AW71" s="110"/>
      <c r="AX71" s="138">
        <v>71</v>
      </c>
    </row>
    <row r="72" spans="1:50" ht="21" x14ac:dyDescent="0.25">
      <c r="A72" s="138">
        <v>72</v>
      </c>
      <c r="B72" s="94"/>
      <c r="C72" s="95" t="s">
        <v>467</v>
      </c>
      <c r="D72" s="95" t="s">
        <v>47</v>
      </c>
      <c r="E72" s="95" t="s">
        <v>456</v>
      </c>
      <c r="F72" s="95" t="s">
        <v>55</v>
      </c>
      <c r="G72" s="97">
        <v>4</v>
      </c>
      <c r="H72" s="97">
        <v>6</v>
      </c>
      <c r="I72" s="97">
        <v>2025</v>
      </c>
      <c r="J72" s="97">
        <v>336</v>
      </c>
      <c r="K72" s="97" t="s">
        <v>468</v>
      </c>
      <c r="L72" s="98" t="s">
        <v>469</v>
      </c>
      <c r="M72" s="95">
        <v>1</v>
      </c>
      <c r="N72" s="97"/>
      <c r="O72" s="98"/>
      <c r="P72" s="99"/>
      <c r="Q72" s="99"/>
      <c r="R72" s="99"/>
      <c r="S72" s="98" t="s">
        <v>385</v>
      </c>
      <c r="T72" s="174">
        <v>402</v>
      </c>
      <c r="U72" s="94">
        <v>3476</v>
      </c>
      <c r="V72" s="100"/>
      <c r="W72" s="100"/>
      <c r="X72" s="100"/>
      <c r="Y72" s="100"/>
      <c r="Z72" s="101" t="s">
        <v>0</v>
      </c>
      <c r="AA72" s="100" t="s">
        <v>58</v>
      </c>
      <c r="AB72" s="100"/>
      <c r="AC72" s="100"/>
      <c r="AD72" s="100"/>
      <c r="AE72" s="102">
        <v>10.3</v>
      </c>
      <c r="AF72" s="103">
        <v>55</v>
      </c>
      <c r="AG72" s="103">
        <v>48</v>
      </c>
      <c r="AH72" s="104">
        <v>51</v>
      </c>
      <c r="AI72" s="102">
        <v>1.87</v>
      </c>
      <c r="AJ72" s="105">
        <v>15</v>
      </c>
      <c r="AK72" s="105">
        <v>11</v>
      </c>
      <c r="AL72" s="113"/>
      <c r="AM72" s="106"/>
      <c r="AN72" s="114"/>
      <c r="AO72" s="108"/>
      <c r="AP72" s="108"/>
      <c r="AQ72" s="106"/>
      <c r="AR72" s="106"/>
      <c r="AS72" s="110"/>
      <c r="AT72" s="110"/>
      <c r="AU72" s="111"/>
      <c r="AV72" s="112" t="s">
        <v>54</v>
      </c>
      <c r="AW72" s="110"/>
      <c r="AX72" s="138">
        <v>72</v>
      </c>
    </row>
    <row r="73" spans="1:50" ht="21" x14ac:dyDescent="0.25">
      <c r="A73" s="138">
        <v>73</v>
      </c>
      <c r="B73" s="94"/>
      <c r="C73" s="95" t="s">
        <v>467</v>
      </c>
      <c r="D73" s="95" t="s">
        <v>47</v>
      </c>
      <c r="E73" s="95" t="s">
        <v>456</v>
      </c>
      <c r="F73" s="95" t="s">
        <v>55</v>
      </c>
      <c r="G73" s="97">
        <v>4</v>
      </c>
      <c r="H73" s="97">
        <v>6</v>
      </c>
      <c r="I73" s="97">
        <v>2025</v>
      </c>
      <c r="J73" s="97">
        <v>336</v>
      </c>
      <c r="K73" s="97" t="s">
        <v>468</v>
      </c>
      <c r="L73" s="98" t="s">
        <v>469</v>
      </c>
      <c r="M73" s="95">
        <v>1</v>
      </c>
      <c r="N73" s="97"/>
      <c r="O73" s="98"/>
      <c r="P73" s="99"/>
      <c r="Q73" s="99"/>
      <c r="R73" s="99"/>
      <c r="S73" s="116" t="s">
        <v>267</v>
      </c>
      <c r="T73" s="174">
        <v>403</v>
      </c>
      <c r="U73" s="175">
        <v>3043</v>
      </c>
      <c r="V73" s="100"/>
      <c r="W73" s="117"/>
      <c r="X73" s="117"/>
      <c r="Y73" s="117"/>
      <c r="Z73" s="106" t="s">
        <v>2</v>
      </c>
      <c r="AA73" s="117" t="s">
        <v>58</v>
      </c>
      <c r="AB73" s="117"/>
      <c r="AC73" s="117"/>
      <c r="AD73" s="117"/>
      <c r="AE73" s="118">
        <v>16.8</v>
      </c>
      <c r="AF73" s="112">
        <v>115</v>
      </c>
      <c r="AG73" s="112">
        <v>85</v>
      </c>
      <c r="AH73" s="113">
        <v>100</v>
      </c>
      <c r="AI73" s="119">
        <v>13.19</v>
      </c>
      <c r="AJ73" s="120"/>
      <c r="AK73" s="120">
        <v>0</v>
      </c>
      <c r="AL73" s="113"/>
      <c r="AM73" s="113"/>
      <c r="AN73" s="115"/>
      <c r="AO73" s="113"/>
      <c r="AP73" s="113"/>
      <c r="AQ73" s="108"/>
      <c r="AR73" s="109"/>
      <c r="AS73" s="110"/>
      <c r="AT73" s="110"/>
      <c r="AU73" s="110"/>
      <c r="AV73" s="112" t="s">
        <v>54</v>
      </c>
      <c r="AW73" s="110"/>
      <c r="AX73" s="138">
        <v>73</v>
      </c>
    </row>
    <row r="74" spans="1:50" ht="21" x14ac:dyDescent="0.25">
      <c r="A74" s="138">
        <v>74</v>
      </c>
      <c r="B74" s="94"/>
      <c r="C74" s="95" t="s">
        <v>467</v>
      </c>
      <c r="D74" s="95" t="s">
        <v>47</v>
      </c>
      <c r="E74" s="95" t="s">
        <v>456</v>
      </c>
      <c r="F74" s="95" t="s">
        <v>55</v>
      </c>
      <c r="G74" s="97">
        <v>4</v>
      </c>
      <c r="H74" s="97">
        <v>6</v>
      </c>
      <c r="I74" s="97">
        <v>2025</v>
      </c>
      <c r="J74" s="97">
        <v>336</v>
      </c>
      <c r="K74" s="97" t="s">
        <v>468</v>
      </c>
      <c r="L74" s="98" t="s">
        <v>469</v>
      </c>
      <c r="M74" s="95">
        <v>1</v>
      </c>
      <c r="N74" s="97"/>
      <c r="O74" s="95"/>
      <c r="P74" s="99"/>
      <c r="Q74" s="99"/>
      <c r="R74" s="99"/>
      <c r="S74" s="95" t="s">
        <v>391</v>
      </c>
      <c r="T74" s="174">
        <v>404</v>
      </c>
      <c r="U74" s="94">
        <v>3482</v>
      </c>
      <c r="V74" s="100"/>
      <c r="W74" s="100"/>
      <c r="X74" s="100"/>
      <c r="Y74" s="100"/>
      <c r="Z74" s="122" t="s">
        <v>0</v>
      </c>
      <c r="AA74" s="100" t="s">
        <v>58</v>
      </c>
      <c r="AB74" s="123"/>
      <c r="AC74" s="123"/>
      <c r="AD74" s="123"/>
      <c r="AE74" s="132">
        <v>11.6</v>
      </c>
      <c r="AF74" s="105">
        <v>66</v>
      </c>
      <c r="AG74" s="105">
        <v>55</v>
      </c>
      <c r="AH74" s="127">
        <v>60</v>
      </c>
      <c r="AI74" s="132">
        <v>3.28</v>
      </c>
      <c r="AJ74" s="105"/>
      <c r="AK74" s="126">
        <v>0</v>
      </c>
      <c r="AL74" s="122"/>
      <c r="AM74" s="122"/>
      <c r="AN74" s="124"/>
      <c r="AO74" s="122"/>
      <c r="AP74" s="122"/>
      <c r="AQ74" s="122"/>
      <c r="AR74" s="122"/>
      <c r="AS74" s="125"/>
      <c r="AT74" s="125"/>
      <c r="AU74" s="125"/>
      <c r="AV74" s="120" t="s">
        <v>54</v>
      </c>
      <c r="AW74" s="125"/>
      <c r="AX74" s="138">
        <v>74</v>
      </c>
    </row>
    <row r="75" spans="1:50" ht="21" x14ac:dyDescent="0.25">
      <c r="A75" s="138">
        <v>75</v>
      </c>
      <c r="B75" s="94"/>
      <c r="C75" s="95" t="s">
        <v>467</v>
      </c>
      <c r="D75" s="95" t="s">
        <v>47</v>
      </c>
      <c r="E75" s="95" t="s">
        <v>456</v>
      </c>
      <c r="F75" s="95" t="s">
        <v>55</v>
      </c>
      <c r="G75" s="97">
        <v>4</v>
      </c>
      <c r="H75" s="97">
        <v>6</v>
      </c>
      <c r="I75" s="97">
        <v>2025</v>
      </c>
      <c r="J75" s="97">
        <v>336</v>
      </c>
      <c r="K75" s="97" t="s">
        <v>468</v>
      </c>
      <c r="L75" s="98" t="s">
        <v>469</v>
      </c>
      <c r="M75" s="95">
        <v>1</v>
      </c>
      <c r="N75" s="97"/>
      <c r="O75" s="95"/>
      <c r="P75" s="99"/>
      <c r="Q75" s="99"/>
      <c r="R75" s="99"/>
      <c r="S75" s="95" t="s">
        <v>392</v>
      </c>
      <c r="T75" s="174">
        <v>405</v>
      </c>
      <c r="U75" s="94">
        <v>3483</v>
      </c>
      <c r="V75" s="100"/>
      <c r="W75" s="100"/>
      <c r="X75" s="100"/>
      <c r="Y75" s="100"/>
      <c r="Z75" s="122" t="s">
        <v>0</v>
      </c>
      <c r="AA75" s="100" t="s">
        <v>58</v>
      </c>
      <c r="AB75" s="123"/>
      <c r="AC75" s="123"/>
      <c r="AD75" s="123"/>
      <c r="AE75" s="132">
        <v>14.6</v>
      </c>
      <c r="AF75" s="105">
        <v>63</v>
      </c>
      <c r="AG75" s="105">
        <v>51</v>
      </c>
      <c r="AH75" s="127">
        <v>57</v>
      </c>
      <c r="AI75" s="132">
        <v>3.73</v>
      </c>
      <c r="AJ75" s="105"/>
      <c r="AK75" s="126">
        <v>0</v>
      </c>
      <c r="AL75" s="122"/>
      <c r="AM75" s="122"/>
      <c r="AN75" s="124"/>
      <c r="AO75" s="122"/>
      <c r="AP75" s="122"/>
      <c r="AQ75" s="122"/>
      <c r="AR75" s="122"/>
      <c r="AS75" s="125"/>
      <c r="AT75" s="125"/>
      <c r="AU75" s="125"/>
      <c r="AV75" s="120" t="s">
        <v>54</v>
      </c>
      <c r="AW75" s="125"/>
      <c r="AX75" s="138">
        <v>75</v>
      </c>
    </row>
    <row r="76" spans="1:50" ht="21" x14ac:dyDescent="0.25">
      <c r="A76" s="138">
        <v>76</v>
      </c>
      <c r="B76" s="94"/>
      <c r="C76" s="95" t="s">
        <v>467</v>
      </c>
      <c r="D76" s="95" t="s">
        <v>47</v>
      </c>
      <c r="E76" s="95" t="s">
        <v>456</v>
      </c>
      <c r="F76" s="95" t="s">
        <v>55</v>
      </c>
      <c r="G76" s="97">
        <v>4</v>
      </c>
      <c r="H76" s="97">
        <v>6</v>
      </c>
      <c r="I76" s="97">
        <v>2025</v>
      </c>
      <c r="J76" s="97">
        <v>336</v>
      </c>
      <c r="K76" s="97" t="s">
        <v>468</v>
      </c>
      <c r="L76" s="98" t="s">
        <v>469</v>
      </c>
      <c r="M76" s="95">
        <v>1</v>
      </c>
      <c r="N76" s="97"/>
      <c r="O76" s="98"/>
      <c r="P76" s="99"/>
      <c r="Q76" s="99"/>
      <c r="R76" s="99"/>
      <c r="S76" s="98" t="s">
        <v>365</v>
      </c>
      <c r="T76" s="174">
        <v>406</v>
      </c>
      <c r="U76" s="94">
        <v>3456</v>
      </c>
      <c r="V76" s="100"/>
      <c r="W76" s="100"/>
      <c r="X76" s="100"/>
      <c r="Y76" s="100"/>
      <c r="Z76" s="101" t="s">
        <v>0</v>
      </c>
      <c r="AA76" s="100" t="s">
        <v>58</v>
      </c>
      <c r="AB76" s="100"/>
      <c r="AC76" s="100"/>
      <c r="AD76" s="100"/>
      <c r="AE76" s="102">
        <v>21.5</v>
      </c>
      <c r="AF76" s="103">
        <v>55</v>
      </c>
      <c r="AG76" s="103">
        <v>41</v>
      </c>
      <c r="AH76" s="104">
        <v>48</v>
      </c>
      <c r="AI76" s="102">
        <v>3.89</v>
      </c>
      <c r="AJ76" s="105"/>
      <c r="AK76" s="105">
        <v>0</v>
      </c>
      <c r="AL76" s="113"/>
      <c r="AM76" s="106"/>
      <c r="AN76" s="114"/>
      <c r="AO76" s="108"/>
      <c r="AP76" s="108"/>
      <c r="AQ76" s="108"/>
      <c r="AR76" s="109"/>
      <c r="AS76" s="110"/>
      <c r="AT76" s="110"/>
      <c r="AU76" s="111"/>
      <c r="AV76" s="112" t="s">
        <v>54</v>
      </c>
      <c r="AW76" s="110"/>
      <c r="AX76" s="138">
        <v>76</v>
      </c>
    </row>
    <row r="77" spans="1:50" ht="21" x14ac:dyDescent="0.25">
      <c r="A77" s="138">
        <v>77</v>
      </c>
      <c r="B77" s="94"/>
      <c r="C77" s="95" t="s">
        <v>467</v>
      </c>
      <c r="D77" s="95" t="s">
        <v>47</v>
      </c>
      <c r="E77" s="95" t="s">
        <v>456</v>
      </c>
      <c r="F77" s="95" t="s">
        <v>55</v>
      </c>
      <c r="G77" s="97">
        <v>4</v>
      </c>
      <c r="H77" s="97">
        <v>6</v>
      </c>
      <c r="I77" s="97">
        <v>2025</v>
      </c>
      <c r="J77" s="97">
        <v>336</v>
      </c>
      <c r="K77" s="97" t="s">
        <v>468</v>
      </c>
      <c r="L77" s="98" t="s">
        <v>469</v>
      </c>
      <c r="M77" s="95">
        <v>1</v>
      </c>
      <c r="N77" s="97"/>
      <c r="O77" s="95"/>
      <c r="P77" s="99"/>
      <c r="Q77" s="99"/>
      <c r="R77" s="99"/>
      <c r="S77" s="129" t="s">
        <v>353</v>
      </c>
      <c r="T77" s="174">
        <v>407</v>
      </c>
      <c r="U77" s="175">
        <v>3444</v>
      </c>
      <c r="V77" s="100"/>
      <c r="W77" s="117"/>
      <c r="X77" s="117"/>
      <c r="Y77" s="117"/>
      <c r="Z77" s="109" t="s">
        <v>0</v>
      </c>
      <c r="AA77" s="117" t="s">
        <v>58</v>
      </c>
      <c r="AB77" s="117"/>
      <c r="AC77" s="117"/>
      <c r="AD77" s="117"/>
      <c r="AE77" s="119">
        <v>21.1</v>
      </c>
      <c r="AF77" s="120">
        <v>65</v>
      </c>
      <c r="AG77" s="120">
        <v>44</v>
      </c>
      <c r="AH77" s="108">
        <v>54</v>
      </c>
      <c r="AI77" s="119">
        <v>4.83</v>
      </c>
      <c r="AJ77" s="120"/>
      <c r="AK77" s="120">
        <v>0</v>
      </c>
      <c r="AL77" s="108"/>
      <c r="AM77" s="109"/>
      <c r="AN77" s="114"/>
      <c r="AO77" s="108"/>
      <c r="AP77" s="108"/>
      <c r="AQ77" s="108"/>
      <c r="AR77" s="109"/>
      <c r="AS77" s="128"/>
      <c r="AT77" s="128"/>
      <c r="AU77" s="128"/>
      <c r="AV77" s="120" t="s">
        <v>54</v>
      </c>
      <c r="AW77" s="128"/>
      <c r="AX77" s="138">
        <v>77</v>
      </c>
    </row>
    <row r="78" spans="1:50" ht="21" x14ac:dyDescent="0.25">
      <c r="A78" s="138">
        <v>78</v>
      </c>
      <c r="B78" s="94"/>
      <c r="C78" s="95" t="s">
        <v>467</v>
      </c>
      <c r="D78" s="95" t="s">
        <v>47</v>
      </c>
      <c r="E78" s="95" t="s">
        <v>456</v>
      </c>
      <c r="F78" s="95" t="s">
        <v>55</v>
      </c>
      <c r="G78" s="97">
        <v>4</v>
      </c>
      <c r="H78" s="97">
        <v>6</v>
      </c>
      <c r="I78" s="97">
        <v>2025</v>
      </c>
      <c r="J78" s="97">
        <v>336</v>
      </c>
      <c r="K78" s="97" t="s">
        <v>468</v>
      </c>
      <c r="L78" s="98" t="s">
        <v>469</v>
      </c>
      <c r="M78" s="95">
        <v>1</v>
      </c>
      <c r="N78" s="122"/>
      <c r="O78" s="133"/>
      <c r="P78" s="134"/>
      <c r="Q78" s="134"/>
      <c r="R78" s="134"/>
      <c r="S78" s="133" t="s">
        <v>404</v>
      </c>
      <c r="T78" s="174">
        <v>408</v>
      </c>
      <c r="U78" s="94">
        <v>3496</v>
      </c>
      <c r="V78" s="100"/>
      <c r="W78" s="100"/>
      <c r="X78" s="100"/>
      <c r="Y78" s="100"/>
      <c r="Z78" s="122" t="s">
        <v>0</v>
      </c>
      <c r="AA78" s="100" t="s">
        <v>58</v>
      </c>
      <c r="AB78" s="100"/>
      <c r="AC78" s="100"/>
      <c r="AD78" s="100"/>
      <c r="AE78" s="102">
        <v>16</v>
      </c>
      <c r="AF78" s="127">
        <v>58</v>
      </c>
      <c r="AG78" s="127">
        <v>47</v>
      </c>
      <c r="AH78" s="127">
        <v>52</v>
      </c>
      <c r="AI78" s="102">
        <v>3.4</v>
      </c>
      <c r="AJ78" s="127"/>
      <c r="AK78" s="127">
        <v>0</v>
      </c>
      <c r="AL78" s="108"/>
      <c r="AM78" s="108"/>
      <c r="AN78" s="114"/>
      <c r="AO78" s="108"/>
      <c r="AP78" s="108"/>
      <c r="AQ78" s="108"/>
      <c r="AR78" s="109"/>
      <c r="AS78" s="109"/>
      <c r="AT78" s="109"/>
      <c r="AU78" s="122"/>
      <c r="AV78" s="120" t="s">
        <v>54</v>
      </c>
      <c r="AW78" s="109"/>
      <c r="AX78" s="138">
        <v>78</v>
      </c>
    </row>
    <row r="79" spans="1:50" ht="21" x14ac:dyDescent="0.25">
      <c r="A79" s="138">
        <v>79</v>
      </c>
      <c r="B79" s="94"/>
      <c r="C79" s="95" t="s">
        <v>467</v>
      </c>
      <c r="D79" s="95" t="s">
        <v>47</v>
      </c>
      <c r="E79" s="95" t="s">
        <v>456</v>
      </c>
      <c r="F79" s="95" t="s">
        <v>55</v>
      </c>
      <c r="G79" s="97">
        <v>4</v>
      </c>
      <c r="H79" s="97">
        <v>6</v>
      </c>
      <c r="I79" s="97">
        <v>2025</v>
      </c>
      <c r="J79" s="97">
        <v>336</v>
      </c>
      <c r="K79" s="97" t="s">
        <v>468</v>
      </c>
      <c r="L79" s="98" t="s">
        <v>469</v>
      </c>
      <c r="M79" s="95">
        <v>1</v>
      </c>
      <c r="N79" s="97"/>
      <c r="O79" s="98"/>
      <c r="P79" s="99"/>
      <c r="Q79" s="99"/>
      <c r="R79" s="99"/>
      <c r="S79" s="116" t="s">
        <v>358</v>
      </c>
      <c r="T79" s="174">
        <v>409</v>
      </c>
      <c r="U79" s="175">
        <v>3449</v>
      </c>
      <c r="V79" s="100"/>
      <c r="W79" s="117"/>
      <c r="X79" s="117"/>
      <c r="Y79" s="117"/>
      <c r="Z79" s="106" t="s">
        <v>0</v>
      </c>
      <c r="AA79" s="117" t="s">
        <v>58</v>
      </c>
      <c r="AB79" s="117"/>
      <c r="AC79" s="117"/>
      <c r="AD79" s="117"/>
      <c r="AE79" s="119">
        <v>12.5</v>
      </c>
      <c r="AF79" s="112">
        <v>68</v>
      </c>
      <c r="AG79" s="112">
        <v>61</v>
      </c>
      <c r="AH79" s="113">
        <v>64</v>
      </c>
      <c r="AI79" s="119">
        <v>4.0199999999999996</v>
      </c>
      <c r="AJ79" s="105"/>
      <c r="AK79" s="120">
        <v>0</v>
      </c>
      <c r="AL79" s="113">
        <v>8</v>
      </c>
      <c r="AM79" s="106">
        <f>COUNT(AI71:AI79)</f>
        <v>9</v>
      </c>
      <c r="AN79" s="114">
        <f>SUM(AI71:AI79)</f>
        <v>45.179999999999993</v>
      </c>
      <c r="AO79" s="108"/>
      <c r="AP79" s="108"/>
      <c r="AQ79" s="108"/>
      <c r="AR79" s="109"/>
      <c r="AS79" s="110"/>
      <c r="AT79" s="110"/>
      <c r="AU79" s="110"/>
      <c r="AV79" s="112" t="s">
        <v>54</v>
      </c>
      <c r="AW79" s="110"/>
      <c r="AX79" s="138">
        <v>79</v>
      </c>
    </row>
    <row r="80" spans="1:50" ht="21" x14ac:dyDescent="0.25">
      <c r="A80" s="138">
        <v>80</v>
      </c>
      <c r="B80" s="94">
        <v>9</v>
      </c>
      <c r="C80" s="95" t="s">
        <v>467</v>
      </c>
      <c r="D80" s="95" t="s">
        <v>47</v>
      </c>
      <c r="E80" s="95" t="s">
        <v>456</v>
      </c>
      <c r="F80" s="95" t="s">
        <v>55</v>
      </c>
      <c r="G80" s="97">
        <v>4</v>
      </c>
      <c r="H80" s="97">
        <v>6</v>
      </c>
      <c r="I80" s="97">
        <v>2025</v>
      </c>
      <c r="J80" s="97">
        <v>331</v>
      </c>
      <c r="K80" s="97" t="s">
        <v>470</v>
      </c>
      <c r="L80" s="98" t="s">
        <v>471</v>
      </c>
      <c r="M80" s="95">
        <v>1</v>
      </c>
      <c r="N80" s="97"/>
      <c r="O80" s="98"/>
      <c r="P80" s="99"/>
      <c r="Q80" s="99"/>
      <c r="R80" s="99"/>
      <c r="S80" s="98" t="s">
        <v>375</v>
      </c>
      <c r="T80" s="174">
        <v>410</v>
      </c>
      <c r="U80" s="94">
        <v>3466</v>
      </c>
      <c r="V80" s="100"/>
      <c r="W80" s="100"/>
      <c r="X80" s="100"/>
      <c r="Y80" s="100"/>
      <c r="Z80" s="101" t="s">
        <v>0</v>
      </c>
      <c r="AA80" s="100" t="s">
        <v>58</v>
      </c>
      <c r="AB80" s="100"/>
      <c r="AC80" s="100"/>
      <c r="AD80" s="100"/>
      <c r="AE80" s="102">
        <v>13.7</v>
      </c>
      <c r="AF80" s="103">
        <v>48</v>
      </c>
      <c r="AG80" s="103">
        <v>42</v>
      </c>
      <c r="AH80" s="104">
        <v>45</v>
      </c>
      <c r="AI80" s="102">
        <v>1.73</v>
      </c>
      <c r="AJ80" s="105">
        <v>18</v>
      </c>
      <c r="AK80" s="105">
        <v>20.399999999999999</v>
      </c>
      <c r="AL80" s="113"/>
      <c r="AM80" s="106"/>
      <c r="AN80" s="114"/>
      <c r="AO80" s="108"/>
      <c r="AP80" s="108"/>
      <c r="AQ80" s="108"/>
      <c r="AR80" s="109"/>
      <c r="AS80" s="110"/>
      <c r="AT80" s="110"/>
      <c r="AU80" s="111"/>
      <c r="AV80" s="112" t="s">
        <v>54</v>
      </c>
      <c r="AW80" s="110"/>
      <c r="AX80" s="138">
        <v>80</v>
      </c>
    </row>
    <row r="81" spans="1:50" ht="21" x14ac:dyDescent="0.25">
      <c r="A81" s="138">
        <v>81</v>
      </c>
      <c r="B81" s="94"/>
      <c r="C81" s="95" t="s">
        <v>467</v>
      </c>
      <c r="D81" s="95" t="s">
        <v>47</v>
      </c>
      <c r="E81" s="95" t="s">
        <v>456</v>
      </c>
      <c r="F81" s="95" t="s">
        <v>55</v>
      </c>
      <c r="G81" s="97">
        <v>4</v>
      </c>
      <c r="H81" s="97">
        <v>6</v>
      </c>
      <c r="I81" s="97">
        <v>2025</v>
      </c>
      <c r="J81" s="97">
        <v>331</v>
      </c>
      <c r="K81" s="97" t="s">
        <v>470</v>
      </c>
      <c r="L81" s="98" t="s">
        <v>471</v>
      </c>
      <c r="M81" s="95">
        <v>1</v>
      </c>
      <c r="N81" s="97"/>
      <c r="O81" s="98"/>
      <c r="P81" s="99"/>
      <c r="Q81" s="99"/>
      <c r="R81" s="99"/>
      <c r="S81" s="98" t="s">
        <v>381</v>
      </c>
      <c r="T81" s="174">
        <v>411</v>
      </c>
      <c r="U81" s="94">
        <v>3472</v>
      </c>
      <c r="V81" s="100"/>
      <c r="W81" s="100"/>
      <c r="X81" s="100"/>
      <c r="Y81" s="100"/>
      <c r="Z81" s="101" t="s">
        <v>0</v>
      </c>
      <c r="AA81" s="100" t="s">
        <v>58</v>
      </c>
      <c r="AB81" s="100"/>
      <c r="AC81" s="100"/>
      <c r="AD81" s="100"/>
      <c r="AE81" s="121">
        <v>14.8</v>
      </c>
      <c r="AF81" s="103">
        <v>48</v>
      </c>
      <c r="AG81" s="103">
        <v>33</v>
      </c>
      <c r="AH81" s="104">
        <v>40</v>
      </c>
      <c r="AI81" s="121">
        <v>1.86</v>
      </c>
      <c r="AJ81" s="105"/>
      <c r="AK81" s="103">
        <v>0</v>
      </c>
      <c r="AL81" s="113"/>
      <c r="AM81" s="106"/>
      <c r="AN81" s="114"/>
      <c r="AO81" s="108"/>
      <c r="AP81" s="108"/>
      <c r="AQ81" s="108"/>
      <c r="AR81" s="109"/>
      <c r="AS81" s="110"/>
      <c r="AT81" s="110"/>
      <c r="AU81" s="111"/>
      <c r="AV81" s="112" t="s">
        <v>54</v>
      </c>
      <c r="AW81" s="110"/>
      <c r="AX81" s="138">
        <v>81</v>
      </c>
    </row>
    <row r="82" spans="1:50" ht="21" x14ac:dyDescent="0.25">
      <c r="A82" s="138">
        <v>82</v>
      </c>
      <c r="B82" s="94"/>
      <c r="C82" s="95" t="s">
        <v>467</v>
      </c>
      <c r="D82" s="95" t="s">
        <v>47</v>
      </c>
      <c r="E82" s="95" t="s">
        <v>456</v>
      </c>
      <c r="F82" s="95" t="s">
        <v>55</v>
      </c>
      <c r="G82" s="97">
        <v>4</v>
      </c>
      <c r="H82" s="97">
        <v>6</v>
      </c>
      <c r="I82" s="97">
        <v>2025</v>
      </c>
      <c r="J82" s="97">
        <v>331</v>
      </c>
      <c r="K82" s="97" t="s">
        <v>470</v>
      </c>
      <c r="L82" s="98" t="s">
        <v>471</v>
      </c>
      <c r="M82" s="95">
        <v>1</v>
      </c>
      <c r="N82" s="97"/>
      <c r="O82" s="98"/>
      <c r="P82" s="99"/>
      <c r="Q82" s="99"/>
      <c r="R82" s="99"/>
      <c r="S82" s="98" t="s">
        <v>371</v>
      </c>
      <c r="T82" s="174">
        <v>412</v>
      </c>
      <c r="U82" s="94">
        <v>3462</v>
      </c>
      <c r="V82" s="100"/>
      <c r="W82" s="100"/>
      <c r="X82" s="100"/>
      <c r="Y82" s="100"/>
      <c r="Z82" s="101" t="s">
        <v>0</v>
      </c>
      <c r="AA82" s="100" t="s">
        <v>58</v>
      </c>
      <c r="AB82" s="100"/>
      <c r="AC82" s="100"/>
      <c r="AD82" s="100"/>
      <c r="AE82" s="121">
        <v>13.8</v>
      </c>
      <c r="AF82" s="103">
        <v>75</v>
      </c>
      <c r="AG82" s="103">
        <v>65</v>
      </c>
      <c r="AH82" s="104">
        <v>70</v>
      </c>
      <c r="AI82" s="121">
        <v>5.31</v>
      </c>
      <c r="AJ82" s="103"/>
      <c r="AK82" s="103">
        <v>0</v>
      </c>
      <c r="AL82" s="113"/>
      <c r="AM82" s="106"/>
      <c r="AN82" s="114"/>
      <c r="AO82" s="108"/>
      <c r="AP82" s="108"/>
      <c r="AQ82" s="108"/>
      <c r="AR82" s="109"/>
      <c r="AS82" s="110"/>
      <c r="AT82" s="110"/>
      <c r="AU82" s="111"/>
      <c r="AV82" s="112" t="s">
        <v>54</v>
      </c>
      <c r="AW82" s="110"/>
      <c r="AX82" s="138">
        <v>82</v>
      </c>
    </row>
    <row r="83" spans="1:50" ht="21" x14ac:dyDescent="0.25">
      <c r="A83" s="138">
        <v>83</v>
      </c>
      <c r="B83" s="94"/>
      <c r="C83" s="95" t="s">
        <v>467</v>
      </c>
      <c r="D83" s="95" t="s">
        <v>47</v>
      </c>
      <c r="E83" s="95" t="s">
        <v>456</v>
      </c>
      <c r="F83" s="95" t="s">
        <v>55</v>
      </c>
      <c r="G83" s="97">
        <v>4</v>
      </c>
      <c r="H83" s="97">
        <v>6</v>
      </c>
      <c r="I83" s="97">
        <v>2025</v>
      </c>
      <c r="J83" s="97">
        <v>331</v>
      </c>
      <c r="K83" s="97" t="s">
        <v>470</v>
      </c>
      <c r="L83" s="98" t="s">
        <v>471</v>
      </c>
      <c r="M83" s="95">
        <v>1</v>
      </c>
      <c r="N83" s="97"/>
      <c r="O83" s="98"/>
      <c r="P83" s="99"/>
      <c r="Q83" s="99"/>
      <c r="R83" s="99"/>
      <c r="S83" s="98" t="s">
        <v>362</v>
      </c>
      <c r="T83" s="174">
        <v>413</v>
      </c>
      <c r="U83" s="94">
        <v>3453</v>
      </c>
      <c r="V83" s="100"/>
      <c r="W83" s="100"/>
      <c r="X83" s="100"/>
      <c r="Y83" s="100"/>
      <c r="Z83" s="101" t="s">
        <v>0</v>
      </c>
      <c r="AA83" s="100" t="s">
        <v>58</v>
      </c>
      <c r="AB83" s="100"/>
      <c r="AC83" s="100"/>
      <c r="AD83" s="100"/>
      <c r="AE83" s="102">
        <v>20.399999999999999</v>
      </c>
      <c r="AF83" s="103">
        <v>73</v>
      </c>
      <c r="AG83" s="103">
        <v>52</v>
      </c>
      <c r="AH83" s="104">
        <v>62</v>
      </c>
      <c r="AI83" s="102">
        <v>5.35</v>
      </c>
      <c r="AJ83" s="105">
        <v>20</v>
      </c>
      <c r="AK83" s="105">
        <v>13.2</v>
      </c>
      <c r="AL83" s="113"/>
      <c r="AM83" s="106"/>
      <c r="AN83" s="114"/>
      <c r="AO83" s="108"/>
      <c r="AP83" s="108"/>
      <c r="AQ83" s="108"/>
      <c r="AR83" s="109"/>
      <c r="AS83" s="110"/>
      <c r="AT83" s="110"/>
      <c r="AU83" s="111"/>
      <c r="AV83" s="112" t="s">
        <v>54</v>
      </c>
      <c r="AW83" s="110"/>
      <c r="AX83" s="138">
        <v>83</v>
      </c>
    </row>
    <row r="84" spans="1:50" ht="21" x14ac:dyDescent="0.25">
      <c r="A84" s="138">
        <v>84</v>
      </c>
      <c r="B84" s="94"/>
      <c r="C84" s="95" t="s">
        <v>467</v>
      </c>
      <c r="D84" s="95" t="s">
        <v>47</v>
      </c>
      <c r="E84" s="95" t="s">
        <v>456</v>
      </c>
      <c r="F84" s="95" t="s">
        <v>55</v>
      </c>
      <c r="G84" s="97">
        <v>4</v>
      </c>
      <c r="H84" s="97">
        <v>6</v>
      </c>
      <c r="I84" s="97">
        <v>2025</v>
      </c>
      <c r="J84" s="97">
        <v>331</v>
      </c>
      <c r="K84" s="97" t="s">
        <v>470</v>
      </c>
      <c r="L84" s="98" t="s">
        <v>471</v>
      </c>
      <c r="M84" s="95">
        <v>1</v>
      </c>
      <c r="N84" s="97"/>
      <c r="O84" s="95"/>
      <c r="P84" s="99"/>
      <c r="Q84" s="99"/>
      <c r="R84" s="99"/>
      <c r="S84" s="95" t="s">
        <v>393</v>
      </c>
      <c r="T84" s="174">
        <v>414</v>
      </c>
      <c r="U84" s="94">
        <v>3484</v>
      </c>
      <c r="V84" s="100"/>
      <c r="W84" s="100"/>
      <c r="X84" s="100"/>
      <c r="Y84" s="100"/>
      <c r="Z84" s="122" t="s">
        <v>5</v>
      </c>
      <c r="AA84" s="100" t="s">
        <v>58</v>
      </c>
      <c r="AB84" s="123"/>
      <c r="AC84" s="123"/>
      <c r="AD84" s="123"/>
      <c r="AE84" s="132">
        <v>19.3</v>
      </c>
      <c r="AF84" s="105">
        <v>86</v>
      </c>
      <c r="AG84" s="105">
        <v>56</v>
      </c>
      <c r="AH84" s="127">
        <v>71</v>
      </c>
      <c r="AI84" s="124">
        <v>7.64</v>
      </c>
      <c r="AJ84" s="128"/>
      <c r="AK84" s="126">
        <v>0</v>
      </c>
      <c r="AL84" s="122"/>
      <c r="AM84" s="122"/>
      <c r="AN84" s="124"/>
      <c r="AO84" s="122"/>
      <c r="AP84" s="122"/>
      <c r="AQ84" s="122"/>
      <c r="AR84" s="122"/>
      <c r="AS84" s="125"/>
      <c r="AT84" s="125"/>
      <c r="AU84" s="125"/>
      <c r="AV84" s="120" t="s">
        <v>54</v>
      </c>
      <c r="AW84" s="125"/>
      <c r="AX84" s="138">
        <v>84</v>
      </c>
    </row>
    <row r="85" spans="1:50" ht="21" x14ac:dyDescent="0.25">
      <c r="A85" s="138">
        <v>85</v>
      </c>
      <c r="B85" s="94"/>
      <c r="C85" s="95" t="s">
        <v>467</v>
      </c>
      <c r="D85" s="95" t="s">
        <v>47</v>
      </c>
      <c r="E85" s="95" t="s">
        <v>456</v>
      </c>
      <c r="F85" s="95" t="s">
        <v>55</v>
      </c>
      <c r="G85" s="97">
        <v>4</v>
      </c>
      <c r="H85" s="97">
        <v>6</v>
      </c>
      <c r="I85" s="97">
        <v>2025</v>
      </c>
      <c r="J85" s="97">
        <v>331</v>
      </c>
      <c r="K85" s="97" t="s">
        <v>470</v>
      </c>
      <c r="L85" s="98" t="s">
        <v>471</v>
      </c>
      <c r="M85" s="95">
        <v>1</v>
      </c>
      <c r="N85" s="97"/>
      <c r="O85" s="98"/>
      <c r="P85" s="99"/>
      <c r="Q85" s="99"/>
      <c r="R85" s="99"/>
      <c r="S85" s="116" t="s">
        <v>368</v>
      </c>
      <c r="T85" s="174">
        <v>415</v>
      </c>
      <c r="U85" s="175">
        <v>3459</v>
      </c>
      <c r="V85" s="100"/>
      <c r="W85" s="117"/>
      <c r="X85" s="117"/>
      <c r="Y85" s="117"/>
      <c r="Z85" s="106" t="s">
        <v>0</v>
      </c>
      <c r="AA85" s="117" t="s">
        <v>58</v>
      </c>
      <c r="AB85" s="117"/>
      <c r="AC85" s="117"/>
      <c r="AD85" s="117"/>
      <c r="AE85" s="119">
        <v>13.5</v>
      </c>
      <c r="AF85" s="112">
        <v>83</v>
      </c>
      <c r="AG85" s="112">
        <v>73</v>
      </c>
      <c r="AH85" s="113">
        <v>78</v>
      </c>
      <c r="AI85" s="118">
        <v>6.45</v>
      </c>
      <c r="AJ85" s="112"/>
      <c r="AK85" s="112">
        <v>0</v>
      </c>
      <c r="AL85" s="113"/>
      <c r="AM85" s="106"/>
      <c r="AN85" s="114"/>
      <c r="AO85" s="108"/>
      <c r="AP85" s="108"/>
      <c r="AQ85" s="113"/>
      <c r="AR85" s="106"/>
      <c r="AS85" s="110"/>
      <c r="AT85" s="110"/>
      <c r="AU85" s="110"/>
      <c r="AV85" s="112" t="s">
        <v>54</v>
      </c>
      <c r="AW85" s="110"/>
      <c r="AX85" s="138">
        <v>85</v>
      </c>
    </row>
    <row r="86" spans="1:50" ht="21" x14ac:dyDescent="0.25">
      <c r="A86" s="138">
        <v>86</v>
      </c>
      <c r="B86" s="94"/>
      <c r="C86" s="95" t="s">
        <v>467</v>
      </c>
      <c r="D86" s="95" t="s">
        <v>47</v>
      </c>
      <c r="E86" s="95" t="s">
        <v>456</v>
      </c>
      <c r="F86" s="95" t="s">
        <v>55</v>
      </c>
      <c r="G86" s="97">
        <v>4</v>
      </c>
      <c r="H86" s="97">
        <v>6</v>
      </c>
      <c r="I86" s="97">
        <v>2025</v>
      </c>
      <c r="J86" s="97">
        <v>331</v>
      </c>
      <c r="K86" s="97" t="s">
        <v>470</v>
      </c>
      <c r="L86" s="98" t="s">
        <v>471</v>
      </c>
      <c r="M86" s="95">
        <v>1</v>
      </c>
      <c r="N86" s="97"/>
      <c r="O86" s="98"/>
      <c r="P86" s="99"/>
      <c r="Q86" s="99"/>
      <c r="R86" s="99"/>
      <c r="S86" s="116" t="s">
        <v>380</v>
      </c>
      <c r="T86" s="174">
        <v>416</v>
      </c>
      <c r="U86" s="175">
        <v>3471</v>
      </c>
      <c r="V86" s="100"/>
      <c r="W86" s="117"/>
      <c r="X86" s="117"/>
      <c r="Y86" s="117"/>
      <c r="Z86" s="106" t="s">
        <v>0</v>
      </c>
      <c r="AA86" s="117" t="s">
        <v>58</v>
      </c>
      <c r="AB86" s="117"/>
      <c r="AC86" s="117"/>
      <c r="AD86" s="117"/>
      <c r="AE86" s="118">
        <v>21.5</v>
      </c>
      <c r="AF86" s="112">
        <v>62</v>
      </c>
      <c r="AG86" s="112">
        <v>41</v>
      </c>
      <c r="AH86" s="113">
        <v>51</v>
      </c>
      <c r="AI86" s="119">
        <v>4.3899999999999997</v>
      </c>
      <c r="AJ86" s="120"/>
      <c r="AK86" s="120">
        <v>0</v>
      </c>
      <c r="AL86" s="113"/>
      <c r="AM86" s="106"/>
      <c r="AN86" s="114"/>
      <c r="AO86" s="108"/>
      <c r="AP86" s="108"/>
      <c r="AQ86" s="113"/>
      <c r="AR86" s="106"/>
      <c r="AS86" s="110"/>
      <c r="AT86" s="110"/>
      <c r="AU86" s="110"/>
      <c r="AV86" s="112" t="s">
        <v>54</v>
      </c>
      <c r="AW86" s="110"/>
      <c r="AX86" s="138">
        <v>86</v>
      </c>
    </row>
    <row r="87" spans="1:50" ht="21" x14ac:dyDescent="0.25">
      <c r="A87" s="138">
        <v>87</v>
      </c>
      <c r="B87" s="94"/>
      <c r="C87" s="95" t="s">
        <v>467</v>
      </c>
      <c r="D87" s="95" t="s">
        <v>47</v>
      </c>
      <c r="E87" s="95" t="s">
        <v>456</v>
      </c>
      <c r="F87" s="95" t="s">
        <v>55</v>
      </c>
      <c r="G87" s="97">
        <v>4</v>
      </c>
      <c r="H87" s="97">
        <v>6</v>
      </c>
      <c r="I87" s="97">
        <v>2025</v>
      </c>
      <c r="J87" s="97">
        <v>331</v>
      </c>
      <c r="K87" s="97" t="s">
        <v>470</v>
      </c>
      <c r="L87" s="98" t="s">
        <v>471</v>
      </c>
      <c r="M87" s="95">
        <v>1</v>
      </c>
      <c r="N87" s="97"/>
      <c r="O87" s="98"/>
      <c r="P87" s="99"/>
      <c r="Q87" s="99"/>
      <c r="R87" s="99"/>
      <c r="S87" s="98" t="s">
        <v>245</v>
      </c>
      <c r="T87" s="174">
        <v>417</v>
      </c>
      <c r="U87" s="94">
        <v>3021</v>
      </c>
      <c r="V87" s="100"/>
      <c r="W87" s="100"/>
      <c r="X87" s="100"/>
      <c r="Y87" s="100"/>
      <c r="Z87" s="101" t="s">
        <v>6</v>
      </c>
      <c r="AA87" s="100" t="s">
        <v>58</v>
      </c>
      <c r="AB87" s="100"/>
      <c r="AC87" s="100"/>
      <c r="AD87" s="100"/>
      <c r="AE87" s="102">
        <v>19.3</v>
      </c>
      <c r="AF87" s="103">
        <v>55</v>
      </c>
      <c r="AG87" s="103">
        <v>36</v>
      </c>
      <c r="AH87" s="104">
        <v>45</v>
      </c>
      <c r="AI87" s="102">
        <v>3.07</v>
      </c>
      <c r="AJ87" s="105"/>
      <c r="AK87" s="105">
        <v>0</v>
      </c>
      <c r="AL87" s="113"/>
      <c r="AM87" s="113"/>
      <c r="AN87" s="115"/>
      <c r="AO87" s="113"/>
      <c r="AP87" s="113"/>
      <c r="AQ87" s="108"/>
      <c r="AR87" s="109"/>
      <c r="AS87" s="110"/>
      <c r="AT87" s="110"/>
      <c r="AU87" s="111"/>
      <c r="AV87" s="112" t="s">
        <v>54</v>
      </c>
      <c r="AW87" s="110"/>
      <c r="AX87" s="138">
        <v>87</v>
      </c>
    </row>
    <row r="88" spans="1:50" ht="21" x14ac:dyDescent="0.25">
      <c r="A88" s="138">
        <v>88</v>
      </c>
      <c r="B88" s="94"/>
      <c r="C88" s="95" t="s">
        <v>467</v>
      </c>
      <c r="D88" s="95" t="s">
        <v>47</v>
      </c>
      <c r="E88" s="95" t="s">
        <v>456</v>
      </c>
      <c r="F88" s="95" t="s">
        <v>55</v>
      </c>
      <c r="G88" s="97">
        <v>4</v>
      </c>
      <c r="H88" s="97">
        <v>6</v>
      </c>
      <c r="I88" s="97">
        <v>2025</v>
      </c>
      <c r="J88" s="97">
        <v>331</v>
      </c>
      <c r="K88" s="97" t="s">
        <v>470</v>
      </c>
      <c r="L88" s="98" t="s">
        <v>471</v>
      </c>
      <c r="M88" s="95">
        <v>1</v>
      </c>
      <c r="N88" s="97"/>
      <c r="O88" s="98"/>
      <c r="P88" s="99"/>
      <c r="Q88" s="99"/>
      <c r="R88" s="99"/>
      <c r="S88" s="98" t="s">
        <v>374</v>
      </c>
      <c r="T88" s="174">
        <v>418</v>
      </c>
      <c r="U88" s="94">
        <v>3465</v>
      </c>
      <c r="V88" s="100"/>
      <c r="W88" s="100"/>
      <c r="X88" s="100"/>
      <c r="Y88" s="100"/>
      <c r="Z88" s="101" t="s">
        <v>0</v>
      </c>
      <c r="AA88" s="100" t="s">
        <v>58</v>
      </c>
      <c r="AB88" s="100"/>
      <c r="AC88" s="100"/>
      <c r="AD88" s="100"/>
      <c r="AE88" s="102">
        <v>14.7</v>
      </c>
      <c r="AF88" s="103">
        <v>75</v>
      </c>
      <c r="AG88" s="103">
        <v>65</v>
      </c>
      <c r="AH88" s="104">
        <v>70</v>
      </c>
      <c r="AI88" s="102">
        <v>5.28</v>
      </c>
      <c r="AJ88" s="105">
        <v>16</v>
      </c>
      <c r="AK88" s="105">
        <v>6.7</v>
      </c>
      <c r="AL88" s="113">
        <v>9</v>
      </c>
      <c r="AM88" s="106">
        <f>COUNT(AI80:AI88)</f>
        <v>9</v>
      </c>
      <c r="AN88" s="114">
        <f>SUM(AI80:AI88)</f>
        <v>41.08</v>
      </c>
      <c r="AO88" s="108"/>
      <c r="AP88" s="108"/>
      <c r="AQ88" s="108"/>
      <c r="AR88" s="109"/>
      <c r="AS88" s="110"/>
      <c r="AT88" s="110"/>
      <c r="AU88" s="111"/>
      <c r="AV88" s="112" t="s">
        <v>54</v>
      </c>
      <c r="AW88" s="110"/>
      <c r="AX88" s="138">
        <v>88</v>
      </c>
    </row>
    <row r="89" spans="1:50" ht="21" x14ac:dyDescent="0.25">
      <c r="A89" s="138">
        <v>89</v>
      </c>
      <c r="B89" s="94">
        <v>10</v>
      </c>
      <c r="C89" s="95" t="s">
        <v>472</v>
      </c>
      <c r="D89" s="95" t="s">
        <v>47</v>
      </c>
      <c r="E89" s="95" t="s">
        <v>456</v>
      </c>
      <c r="F89" s="95" t="s">
        <v>55</v>
      </c>
      <c r="G89" s="97">
        <v>4</v>
      </c>
      <c r="H89" s="97">
        <v>6</v>
      </c>
      <c r="I89" s="97">
        <v>2025</v>
      </c>
      <c r="J89" s="97">
        <v>345</v>
      </c>
      <c r="K89" s="97" t="s">
        <v>56</v>
      </c>
      <c r="L89" s="98" t="s">
        <v>57</v>
      </c>
      <c r="M89" s="95">
        <v>2</v>
      </c>
      <c r="N89" s="97"/>
      <c r="O89" s="95"/>
      <c r="P89" s="99"/>
      <c r="Q89" s="99"/>
      <c r="R89" s="99"/>
      <c r="S89" s="129" t="s">
        <v>402</v>
      </c>
      <c r="T89" s="174">
        <v>419</v>
      </c>
      <c r="U89" s="175">
        <v>3494</v>
      </c>
      <c r="V89" s="100"/>
      <c r="W89" s="117"/>
      <c r="X89" s="117"/>
      <c r="Y89" s="117"/>
      <c r="Z89" s="109" t="s">
        <v>0</v>
      </c>
      <c r="AA89" s="117" t="s">
        <v>58</v>
      </c>
      <c r="AB89" s="117"/>
      <c r="AC89" s="117"/>
      <c r="AD89" s="117"/>
      <c r="AE89" s="119">
        <v>19.399999999999999</v>
      </c>
      <c r="AF89" s="120">
        <v>53</v>
      </c>
      <c r="AG89" s="120">
        <v>36</v>
      </c>
      <c r="AH89" s="108">
        <v>44</v>
      </c>
      <c r="AI89" s="119">
        <v>2.95</v>
      </c>
      <c r="AJ89" s="120"/>
      <c r="AK89" s="120">
        <v>0</v>
      </c>
      <c r="AL89" s="108"/>
      <c r="AM89" s="108"/>
      <c r="AN89" s="114"/>
      <c r="AO89" s="108"/>
      <c r="AP89" s="108"/>
      <c r="AQ89" s="108"/>
      <c r="AR89" s="109"/>
      <c r="AS89" s="128"/>
      <c r="AT89" s="128"/>
      <c r="AU89" s="128"/>
      <c r="AV89" s="120" t="s">
        <v>54</v>
      </c>
      <c r="AW89" s="128"/>
      <c r="AX89" s="138">
        <v>89</v>
      </c>
    </row>
    <row r="90" spans="1:50" ht="21" x14ac:dyDescent="0.25">
      <c r="A90" s="138">
        <v>90</v>
      </c>
      <c r="B90" s="94"/>
      <c r="C90" s="95" t="s">
        <v>472</v>
      </c>
      <c r="D90" s="95" t="s">
        <v>47</v>
      </c>
      <c r="E90" s="95" t="s">
        <v>456</v>
      </c>
      <c r="F90" s="95" t="s">
        <v>55</v>
      </c>
      <c r="G90" s="97">
        <v>4</v>
      </c>
      <c r="H90" s="97">
        <v>6</v>
      </c>
      <c r="I90" s="97">
        <v>2025</v>
      </c>
      <c r="J90" s="97">
        <v>345</v>
      </c>
      <c r="K90" s="97" t="s">
        <v>56</v>
      </c>
      <c r="L90" s="98" t="s">
        <v>57</v>
      </c>
      <c r="M90" s="95">
        <v>2</v>
      </c>
      <c r="N90" s="100"/>
      <c r="O90" s="133"/>
      <c r="P90" s="134"/>
      <c r="Q90" s="134"/>
      <c r="R90" s="134"/>
      <c r="S90" s="133" t="s">
        <v>406</v>
      </c>
      <c r="T90" s="174">
        <v>420</v>
      </c>
      <c r="U90" s="94">
        <v>3498</v>
      </c>
      <c r="V90" s="100"/>
      <c r="W90" s="100"/>
      <c r="X90" s="100"/>
      <c r="Y90" s="100"/>
      <c r="Z90" s="122" t="s">
        <v>4</v>
      </c>
      <c r="AA90" s="100" t="s">
        <v>58</v>
      </c>
      <c r="AB90" s="100"/>
      <c r="AC90" s="100"/>
      <c r="AD90" s="100"/>
      <c r="AE90" s="102">
        <v>18.100000000000001</v>
      </c>
      <c r="AF90" s="127">
        <v>65</v>
      </c>
      <c r="AG90" s="127">
        <v>47</v>
      </c>
      <c r="AH90" s="127">
        <v>56</v>
      </c>
      <c r="AI90" s="102">
        <v>4.46</v>
      </c>
      <c r="AJ90" s="127"/>
      <c r="AK90" s="127">
        <v>0</v>
      </c>
      <c r="AL90" s="108"/>
      <c r="AM90" s="108"/>
      <c r="AN90" s="114"/>
      <c r="AO90" s="108"/>
      <c r="AP90" s="108"/>
      <c r="AQ90" s="108"/>
      <c r="AR90" s="109"/>
      <c r="AS90" s="109"/>
      <c r="AT90" s="109"/>
      <c r="AU90" s="122"/>
      <c r="AV90" s="120" t="s">
        <v>54</v>
      </c>
      <c r="AW90" s="109"/>
      <c r="AX90" s="138">
        <v>90</v>
      </c>
    </row>
    <row r="91" spans="1:50" ht="21" x14ac:dyDescent="0.25">
      <c r="A91" s="138">
        <v>91</v>
      </c>
      <c r="B91" s="94"/>
      <c r="C91" s="95" t="s">
        <v>472</v>
      </c>
      <c r="D91" s="95" t="s">
        <v>47</v>
      </c>
      <c r="E91" s="95" t="s">
        <v>456</v>
      </c>
      <c r="F91" s="95" t="s">
        <v>55</v>
      </c>
      <c r="G91" s="97">
        <v>4</v>
      </c>
      <c r="H91" s="97">
        <v>6</v>
      </c>
      <c r="I91" s="97">
        <v>2025</v>
      </c>
      <c r="J91" s="97">
        <v>345</v>
      </c>
      <c r="K91" s="97" t="s">
        <v>56</v>
      </c>
      <c r="L91" s="98" t="s">
        <v>57</v>
      </c>
      <c r="M91" s="95">
        <v>2</v>
      </c>
      <c r="N91" s="97"/>
      <c r="O91" s="98"/>
      <c r="P91" s="99"/>
      <c r="Q91" s="99"/>
      <c r="R91" s="99"/>
      <c r="S91" s="98" t="s">
        <v>194</v>
      </c>
      <c r="T91" s="174">
        <v>421</v>
      </c>
      <c r="U91" s="94">
        <v>2837</v>
      </c>
      <c r="V91" s="100"/>
      <c r="W91" s="100"/>
      <c r="X91" s="100"/>
      <c r="Y91" s="100"/>
      <c r="Z91" s="101" t="s">
        <v>9</v>
      </c>
      <c r="AA91" s="100" t="s">
        <v>118</v>
      </c>
      <c r="AB91" s="100"/>
      <c r="AC91" s="100"/>
      <c r="AD91" s="100"/>
      <c r="AE91" s="121">
        <v>15.5</v>
      </c>
      <c r="AF91" s="103">
        <v>53</v>
      </c>
      <c r="AG91" s="103">
        <v>44</v>
      </c>
      <c r="AH91" s="104">
        <v>48</v>
      </c>
      <c r="AI91" s="102">
        <v>2.8</v>
      </c>
      <c r="AJ91" s="105"/>
      <c r="AK91" s="105">
        <v>0</v>
      </c>
      <c r="AL91" s="113"/>
      <c r="AM91" s="106"/>
      <c r="AN91" s="114"/>
      <c r="AO91" s="108"/>
      <c r="AP91" s="108"/>
      <c r="AQ91" s="108"/>
      <c r="AR91" s="109"/>
      <c r="AS91" s="110"/>
      <c r="AT91" s="110"/>
      <c r="AU91" s="111"/>
      <c r="AV91" s="112" t="s">
        <v>54</v>
      </c>
      <c r="AW91" s="110"/>
      <c r="AX91" s="138">
        <v>91</v>
      </c>
    </row>
    <row r="92" spans="1:50" ht="21" x14ac:dyDescent="0.25">
      <c r="A92" s="138">
        <v>92</v>
      </c>
      <c r="B92" s="94"/>
      <c r="C92" s="95" t="s">
        <v>472</v>
      </c>
      <c r="D92" s="95" t="s">
        <v>47</v>
      </c>
      <c r="E92" s="95" t="s">
        <v>456</v>
      </c>
      <c r="F92" s="95" t="s">
        <v>55</v>
      </c>
      <c r="G92" s="97">
        <v>4</v>
      </c>
      <c r="H92" s="97">
        <v>6</v>
      </c>
      <c r="I92" s="97">
        <v>2025</v>
      </c>
      <c r="J92" s="97">
        <v>345</v>
      </c>
      <c r="K92" s="97" t="s">
        <v>56</v>
      </c>
      <c r="L92" s="98" t="s">
        <v>57</v>
      </c>
      <c r="M92" s="95">
        <v>2</v>
      </c>
      <c r="N92" s="97"/>
      <c r="O92" s="95"/>
      <c r="P92" s="99"/>
      <c r="Q92" s="99"/>
      <c r="R92" s="99"/>
      <c r="S92" s="95" t="s">
        <v>400</v>
      </c>
      <c r="T92" s="174">
        <v>422</v>
      </c>
      <c r="U92" s="94">
        <v>3492</v>
      </c>
      <c r="V92" s="100"/>
      <c r="W92" s="100"/>
      <c r="X92" s="100"/>
      <c r="Y92" s="100"/>
      <c r="Z92" s="122" t="s">
        <v>0</v>
      </c>
      <c r="AA92" s="100" t="s">
        <v>58</v>
      </c>
      <c r="AB92" s="123"/>
      <c r="AC92" s="123"/>
      <c r="AD92" s="123"/>
      <c r="AE92" s="132">
        <v>21</v>
      </c>
      <c r="AF92" s="105">
        <v>55</v>
      </c>
      <c r="AG92" s="105">
        <v>41</v>
      </c>
      <c r="AH92" s="127">
        <v>48</v>
      </c>
      <c r="AI92" s="124">
        <v>3.8</v>
      </c>
      <c r="AJ92" s="128"/>
      <c r="AK92" s="126">
        <v>0</v>
      </c>
      <c r="AL92" s="122"/>
      <c r="AM92" s="122"/>
      <c r="AN92" s="124"/>
      <c r="AO92" s="122"/>
      <c r="AP92" s="122"/>
      <c r="AQ92" s="122"/>
      <c r="AR92" s="122"/>
      <c r="AS92" s="125"/>
      <c r="AT92" s="125"/>
      <c r="AU92" s="125"/>
      <c r="AV92" s="120" t="s">
        <v>54</v>
      </c>
      <c r="AW92" s="125"/>
      <c r="AX92" s="138">
        <v>92</v>
      </c>
    </row>
    <row r="93" spans="1:50" ht="21" x14ac:dyDescent="0.25">
      <c r="A93" s="138">
        <v>93</v>
      </c>
      <c r="B93" s="94"/>
      <c r="C93" s="95" t="s">
        <v>472</v>
      </c>
      <c r="D93" s="95" t="s">
        <v>47</v>
      </c>
      <c r="E93" s="95" t="s">
        <v>456</v>
      </c>
      <c r="F93" s="95" t="s">
        <v>55</v>
      </c>
      <c r="G93" s="97">
        <v>4</v>
      </c>
      <c r="H93" s="97">
        <v>6</v>
      </c>
      <c r="I93" s="97">
        <v>2025</v>
      </c>
      <c r="J93" s="97">
        <v>345</v>
      </c>
      <c r="K93" s="97" t="s">
        <v>56</v>
      </c>
      <c r="L93" s="98" t="s">
        <v>57</v>
      </c>
      <c r="M93" s="95">
        <v>2</v>
      </c>
      <c r="N93" s="97"/>
      <c r="O93" s="98"/>
      <c r="P93" s="99"/>
      <c r="Q93" s="99"/>
      <c r="R93" s="99"/>
      <c r="S93" s="116" t="s">
        <v>121</v>
      </c>
      <c r="T93" s="174">
        <v>423</v>
      </c>
      <c r="U93" s="175">
        <v>244</v>
      </c>
      <c r="V93" s="100"/>
      <c r="W93" s="117"/>
      <c r="X93" s="117"/>
      <c r="Y93" s="117"/>
      <c r="Z93" s="106" t="s">
        <v>0</v>
      </c>
      <c r="AA93" s="117" t="s">
        <v>58</v>
      </c>
      <c r="AB93" s="117"/>
      <c r="AC93" s="117"/>
      <c r="AD93" s="117"/>
      <c r="AE93" s="119">
        <v>18.899999999999999</v>
      </c>
      <c r="AF93" s="112">
        <v>71</v>
      </c>
      <c r="AG93" s="112">
        <v>50</v>
      </c>
      <c r="AH93" s="113">
        <v>60</v>
      </c>
      <c r="AI93" s="119">
        <v>5.34</v>
      </c>
      <c r="AJ93" s="120"/>
      <c r="AK93" s="120">
        <v>0</v>
      </c>
      <c r="AL93" s="113"/>
      <c r="AM93" s="106"/>
      <c r="AN93" s="114"/>
      <c r="AO93" s="108"/>
      <c r="AP93" s="108"/>
      <c r="AQ93" s="113"/>
      <c r="AR93" s="106"/>
      <c r="AS93" s="110"/>
      <c r="AT93" s="110"/>
      <c r="AU93" s="110"/>
      <c r="AV93" s="112" t="s">
        <v>54</v>
      </c>
      <c r="AW93" s="110"/>
      <c r="AX93" s="138">
        <v>93</v>
      </c>
    </row>
    <row r="94" spans="1:50" ht="21" x14ac:dyDescent="0.25">
      <c r="A94" s="138">
        <v>94</v>
      </c>
      <c r="B94" s="94"/>
      <c r="C94" s="95" t="s">
        <v>472</v>
      </c>
      <c r="D94" s="95" t="s">
        <v>47</v>
      </c>
      <c r="E94" s="95" t="s">
        <v>456</v>
      </c>
      <c r="F94" s="95" t="s">
        <v>55</v>
      </c>
      <c r="G94" s="97">
        <v>4</v>
      </c>
      <c r="H94" s="97">
        <v>6</v>
      </c>
      <c r="I94" s="97">
        <v>2025</v>
      </c>
      <c r="J94" s="97">
        <v>345</v>
      </c>
      <c r="K94" s="97" t="s">
        <v>56</v>
      </c>
      <c r="L94" s="98" t="s">
        <v>57</v>
      </c>
      <c r="M94" s="95">
        <v>2</v>
      </c>
      <c r="N94" s="97"/>
      <c r="O94" s="98"/>
      <c r="P94" s="99"/>
      <c r="Q94" s="99"/>
      <c r="R94" s="99"/>
      <c r="S94" s="98" t="s">
        <v>360</v>
      </c>
      <c r="T94" s="174">
        <v>424</v>
      </c>
      <c r="U94" s="94">
        <v>3451</v>
      </c>
      <c r="V94" s="100"/>
      <c r="W94" s="100"/>
      <c r="X94" s="100"/>
      <c r="Y94" s="100"/>
      <c r="Z94" s="101" t="s">
        <v>0</v>
      </c>
      <c r="AA94" s="100" t="s">
        <v>58</v>
      </c>
      <c r="AB94" s="100"/>
      <c r="AC94" s="100"/>
      <c r="AD94" s="100"/>
      <c r="AE94" s="102">
        <v>12.3</v>
      </c>
      <c r="AF94" s="103">
        <v>57</v>
      </c>
      <c r="AG94" s="103">
        <v>46</v>
      </c>
      <c r="AH94" s="104">
        <v>51</v>
      </c>
      <c r="AI94" s="102">
        <v>2.5099999999999998</v>
      </c>
      <c r="AJ94" s="105"/>
      <c r="AK94" s="105">
        <v>0</v>
      </c>
      <c r="AL94" s="113"/>
      <c r="AM94" s="106"/>
      <c r="AN94" s="114"/>
      <c r="AO94" s="108"/>
      <c r="AP94" s="108"/>
      <c r="AQ94" s="108"/>
      <c r="AR94" s="109"/>
      <c r="AS94" s="110"/>
      <c r="AT94" s="110"/>
      <c r="AU94" s="111"/>
      <c r="AV94" s="112" t="s">
        <v>54</v>
      </c>
      <c r="AW94" s="110"/>
      <c r="AX94" s="138">
        <v>94</v>
      </c>
    </row>
    <row r="95" spans="1:50" ht="21" x14ac:dyDescent="0.25">
      <c r="A95" s="138">
        <v>95</v>
      </c>
      <c r="B95" s="94"/>
      <c r="C95" s="95" t="s">
        <v>472</v>
      </c>
      <c r="D95" s="95" t="s">
        <v>47</v>
      </c>
      <c r="E95" s="95" t="s">
        <v>456</v>
      </c>
      <c r="F95" s="95" t="s">
        <v>55</v>
      </c>
      <c r="G95" s="97">
        <v>4</v>
      </c>
      <c r="H95" s="97">
        <v>6</v>
      </c>
      <c r="I95" s="97">
        <v>2025</v>
      </c>
      <c r="J95" s="97">
        <v>345</v>
      </c>
      <c r="K95" s="97" t="s">
        <v>56</v>
      </c>
      <c r="L95" s="98" t="s">
        <v>57</v>
      </c>
      <c r="M95" s="95">
        <v>2</v>
      </c>
      <c r="N95" s="97"/>
      <c r="O95" s="98"/>
      <c r="P95" s="99"/>
      <c r="Q95" s="99"/>
      <c r="R95" s="99"/>
      <c r="S95" s="98" t="s">
        <v>268</v>
      </c>
      <c r="T95" s="174">
        <v>425</v>
      </c>
      <c r="U95" s="94">
        <v>3044</v>
      </c>
      <c r="V95" s="100"/>
      <c r="W95" s="100"/>
      <c r="X95" s="100"/>
      <c r="Y95" s="100"/>
      <c r="Z95" s="101" t="s">
        <v>3</v>
      </c>
      <c r="AA95" s="100" t="s">
        <v>58</v>
      </c>
      <c r="AB95" s="100"/>
      <c r="AC95" s="100"/>
      <c r="AD95" s="100"/>
      <c r="AE95" s="102">
        <v>19.2</v>
      </c>
      <c r="AF95" s="103">
        <v>78</v>
      </c>
      <c r="AG95" s="103">
        <v>65</v>
      </c>
      <c r="AH95" s="104">
        <v>71</v>
      </c>
      <c r="AI95" s="102">
        <v>7.6</v>
      </c>
      <c r="AJ95" s="105"/>
      <c r="AK95" s="105"/>
      <c r="AL95" s="113"/>
      <c r="AM95" s="106"/>
      <c r="AN95" s="114"/>
      <c r="AO95" s="108"/>
      <c r="AP95" s="108"/>
      <c r="AQ95" s="108"/>
      <c r="AR95" s="109"/>
      <c r="AS95" s="110"/>
      <c r="AT95" s="110"/>
      <c r="AU95" s="111"/>
      <c r="AV95" s="112"/>
      <c r="AW95" s="110"/>
      <c r="AX95" s="138">
        <v>95</v>
      </c>
    </row>
    <row r="96" spans="1:50" ht="21" x14ac:dyDescent="0.25">
      <c r="A96" s="138">
        <v>96</v>
      </c>
      <c r="B96" s="94"/>
      <c r="C96" s="95" t="s">
        <v>472</v>
      </c>
      <c r="D96" s="95" t="s">
        <v>47</v>
      </c>
      <c r="E96" s="95" t="s">
        <v>456</v>
      </c>
      <c r="F96" s="95" t="s">
        <v>55</v>
      </c>
      <c r="G96" s="97">
        <v>4</v>
      </c>
      <c r="H96" s="97">
        <v>6</v>
      </c>
      <c r="I96" s="97">
        <v>2025</v>
      </c>
      <c r="J96" s="97">
        <v>345</v>
      </c>
      <c r="K96" s="97" t="s">
        <v>56</v>
      </c>
      <c r="L96" s="98" t="s">
        <v>57</v>
      </c>
      <c r="M96" s="95">
        <v>2</v>
      </c>
      <c r="N96" s="97"/>
      <c r="O96" s="98"/>
      <c r="P96" s="99"/>
      <c r="Q96" s="99"/>
      <c r="R96" s="99"/>
      <c r="S96" s="116" t="s">
        <v>251</v>
      </c>
      <c r="T96" s="174">
        <v>426</v>
      </c>
      <c r="U96" s="175">
        <v>3027</v>
      </c>
      <c r="V96" s="100"/>
      <c r="W96" s="117"/>
      <c r="X96" s="117"/>
      <c r="Y96" s="117"/>
      <c r="Z96" s="106" t="s">
        <v>2</v>
      </c>
      <c r="AA96" s="117" t="s">
        <v>58</v>
      </c>
      <c r="AB96" s="117"/>
      <c r="AC96" s="117"/>
      <c r="AD96" s="117"/>
      <c r="AE96" s="118">
        <v>16.399999999999999</v>
      </c>
      <c r="AF96" s="112">
        <v>54</v>
      </c>
      <c r="AG96" s="112">
        <v>44</v>
      </c>
      <c r="AH96" s="113">
        <v>49</v>
      </c>
      <c r="AI96" s="119">
        <v>3.09</v>
      </c>
      <c r="AJ96" s="120"/>
      <c r="AK96" s="120">
        <v>0</v>
      </c>
      <c r="AL96" s="113"/>
      <c r="AM96" s="113"/>
      <c r="AN96" s="114"/>
      <c r="AO96" s="108"/>
      <c r="AP96" s="108"/>
      <c r="AQ96" s="108"/>
      <c r="AR96" s="109"/>
      <c r="AS96" s="110"/>
      <c r="AT96" s="110"/>
      <c r="AU96" s="110"/>
      <c r="AV96" s="112" t="s">
        <v>54</v>
      </c>
      <c r="AW96" s="110"/>
      <c r="AX96" s="138">
        <v>96</v>
      </c>
    </row>
    <row r="97" spans="1:50" ht="21" x14ac:dyDescent="0.25">
      <c r="A97" s="138">
        <v>97</v>
      </c>
      <c r="B97" s="94"/>
      <c r="C97" s="95" t="s">
        <v>472</v>
      </c>
      <c r="D97" s="95" t="s">
        <v>47</v>
      </c>
      <c r="E97" s="95" t="s">
        <v>456</v>
      </c>
      <c r="F97" s="95" t="s">
        <v>55</v>
      </c>
      <c r="G97" s="97">
        <v>4</v>
      </c>
      <c r="H97" s="97">
        <v>6</v>
      </c>
      <c r="I97" s="97">
        <v>2025</v>
      </c>
      <c r="J97" s="97">
        <v>345</v>
      </c>
      <c r="K97" s="97" t="s">
        <v>56</v>
      </c>
      <c r="L97" s="98" t="s">
        <v>57</v>
      </c>
      <c r="M97" s="95">
        <v>2</v>
      </c>
      <c r="N97" s="97"/>
      <c r="O97" s="98"/>
      <c r="P97" s="99"/>
      <c r="Q97" s="99"/>
      <c r="R97" s="99"/>
      <c r="S97" s="116" t="s">
        <v>337</v>
      </c>
      <c r="T97" s="174">
        <v>427</v>
      </c>
      <c r="U97" s="175">
        <v>3427</v>
      </c>
      <c r="V97" s="100"/>
      <c r="W97" s="117"/>
      <c r="X97" s="117"/>
      <c r="Y97" s="117"/>
      <c r="Z97" s="106" t="s">
        <v>0</v>
      </c>
      <c r="AA97" s="117" t="s">
        <v>58</v>
      </c>
      <c r="AB97" s="117"/>
      <c r="AC97" s="117"/>
      <c r="AD97" s="117"/>
      <c r="AE97" s="119">
        <v>21.2</v>
      </c>
      <c r="AF97" s="112">
        <v>70</v>
      </c>
      <c r="AG97" s="112">
        <v>49</v>
      </c>
      <c r="AH97" s="113">
        <v>59</v>
      </c>
      <c r="AI97" s="118">
        <v>5.8</v>
      </c>
      <c r="AJ97" s="105"/>
      <c r="AK97" s="112">
        <v>0</v>
      </c>
      <c r="AL97" s="113"/>
      <c r="AM97" s="106"/>
      <c r="AN97" s="131"/>
      <c r="AO97" s="108"/>
      <c r="AP97" s="108"/>
      <c r="AQ97" s="106"/>
      <c r="AR97" s="106"/>
      <c r="AS97" s="110"/>
      <c r="AT97" s="110"/>
      <c r="AU97" s="110"/>
      <c r="AV97" s="112" t="s">
        <v>54</v>
      </c>
      <c r="AW97" s="110"/>
      <c r="AX97" s="138">
        <v>97</v>
      </c>
    </row>
    <row r="98" spans="1:50" ht="21" x14ac:dyDescent="0.25">
      <c r="A98" s="138">
        <v>98</v>
      </c>
      <c r="B98" s="94"/>
      <c r="C98" s="95" t="s">
        <v>472</v>
      </c>
      <c r="D98" s="95" t="s">
        <v>47</v>
      </c>
      <c r="E98" s="95" t="s">
        <v>456</v>
      </c>
      <c r="F98" s="95" t="s">
        <v>55</v>
      </c>
      <c r="G98" s="97">
        <v>4</v>
      </c>
      <c r="H98" s="97">
        <v>6</v>
      </c>
      <c r="I98" s="97">
        <v>2025</v>
      </c>
      <c r="J98" s="97">
        <v>345</v>
      </c>
      <c r="K98" s="97" t="s">
        <v>56</v>
      </c>
      <c r="L98" s="98" t="s">
        <v>57</v>
      </c>
      <c r="M98" s="95">
        <v>2</v>
      </c>
      <c r="N98" s="97"/>
      <c r="O98" s="98"/>
      <c r="P98" s="99"/>
      <c r="Q98" s="99"/>
      <c r="R98" s="99"/>
      <c r="S98" s="98" t="s">
        <v>387</v>
      </c>
      <c r="T98" s="174">
        <v>428</v>
      </c>
      <c r="U98" s="94">
        <v>3478</v>
      </c>
      <c r="V98" s="100"/>
      <c r="W98" s="100"/>
      <c r="X98" s="100"/>
      <c r="Y98" s="100"/>
      <c r="Z98" s="101" t="s">
        <v>0</v>
      </c>
      <c r="AA98" s="100" t="s">
        <v>58</v>
      </c>
      <c r="AB98" s="100"/>
      <c r="AC98" s="100"/>
      <c r="AD98" s="100"/>
      <c r="AE98" s="121">
        <v>19.7</v>
      </c>
      <c r="AF98" s="103">
        <v>80</v>
      </c>
      <c r="AG98" s="103">
        <v>55</v>
      </c>
      <c r="AH98" s="104">
        <v>67</v>
      </c>
      <c r="AI98" s="121">
        <v>6.95</v>
      </c>
      <c r="AJ98" s="103"/>
      <c r="AK98" s="103">
        <v>0</v>
      </c>
      <c r="AL98" s="113"/>
      <c r="AM98" s="106"/>
      <c r="AN98" s="114"/>
      <c r="AO98" s="108"/>
      <c r="AP98" s="108"/>
      <c r="AQ98" s="108"/>
      <c r="AR98" s="109"/>
      <c r="AS98" s="110"/>
      <c r="AT98" s="110"/>
      <c r="AU98" s="111"/>
      <c r="AV98" s="112" t="s">
        <v>54</v>
      </c>
      <c r="AW98" s="110"/>
      <c r="AX98" s="138">
        <v>98</v>
      </c>
    </row>
    <row r="99" spans="1:50" ht="21" x14ac:dyDescent="0.25">
      <c r="A99" s="138">
        <v>99</v>
      </c>
      <c r="B99" s="94"/>
      <c r="C99" s="95" t="s">
        <v>472</v>
      </c>
      <c r="D99" s="95" t="s">
        <v>47</v>
      </c>
      <c r="E99" s="95" t="s">
        <v>456</v>
      </c>
      <c r="F99" s="95" t="s">
        <v>55</v>
      </c>
      <c r="G99" s="97">
        <v>4</v>
      </c>
      <c r="H99" s="97">
        <v>6</v>
      </c>
      <c r="I99" s="97">
        <v>2025</v>
      </c>
      <c r="J99" s="97">
        <v>345</v>
      </c>
      <c r="K99" s="97" t="s">
        <v>56</v>
      </c>
      <c r="L99" s="98" t="s">
        <v>57</v>
      </c>
      <c r="M99" s="95">
        <v>2</v>
      </c>
      <c r="N99" s="97"/>
      <c r="O99" s="98"/>
      <c r="P99" s="99"/>
      <c r="Q99" s="99"/>
      <c r="R99" s="99"/>
      <c r="S99" s="98" t="s">
        <v>397</v>
      </c>
      <c r="T99" s="174">
        <v>429</v>
      </c>
      <c r="U99" s="94">
        <v>3489</v>
      </c>
      <c r="V99" s="100"/>
      <c r="W99" s="100"/>
      <c r="X99" s="100"/>
      <c r="Y99" s="100"/>
      <c r="Z99" s="101" t="s">
        <v>0</v>
      </c>
      <c r="AA99" s="100" t="s">
        <v>58</v>
      </c>
      <c r="AB99" s="100"/>
      <c r="AC99" s="100"/>
      <c r="AD99" s="100"/>
      <c r="AE99" s="102">
        <v>18</v>
      </c>
      <c r="AF99" s="103">
        <v>45</v>
      </c>
      <c r="AG99" s="103">
        <v>35</v>
      </c>
      <c r="AH99" s="104">
        <v>40</v>
      </c>
      <c r="AI99" s="102">
        <v>2.2599999999999998</v>
      </c>
      <c r="AJ99" s="105"/>
      <c r="AK99" s="105">
        <v>0</v>
      </c>
      <c r="AL99" s="113">
        <v>10</v>
      </c>
      <c r="AM99" s="113">
        <f>COUNT(AI89:AI99)</f>
        <v>11</v>
      </c>
      <c r="AN99" s="114">
        <f>SUM(AI89:AI99)</f>
        <v>47.559999999999995</v>
      </c>
      <c r="AO99" s="108"/>
      <c r="AP99" s="108"/>
      <c r="AQ99" s="108"/>
      <c r="AR99" s="109"/>
      <c r="AS99" s="110"/>
      <c r="AT99" s="110"/>
      <c r="AU99" s="111"/>
      <c r="AV99" s="112" t="s">
        <v>54</v>
      </c>
      <c r="AW99" s="110"/>
      <c r="AX99" s="138">
        <v>99</v>
      </c>
    </row>
    <row r="100" spans="1:50" ht="21" x14ac:dyDescent="0.25">
      <c r="A100" s="138">
        <v>100</v>
      </c>
      <c r="B100" s="94">
        <v>11</v>
      </c>
      <c r="C100" s="95" t="s">
        <v>51</v>
      </c>
      <c r="D100" s="95" t="s">
        <v>47</v>
      </c>
      <c r="E100" s="95" t="s">
        <v>48</v>
      </c>
      <c r="F100" s="95" t="s">
        <v>55</v>
      </c>
      <c r="G100" s="97">
        <v>4</v>
      </c>
      <c r="H100" s="97">
        <v>6</v>
      </c>
      <c r="I100" s="97">
        <v>2025</v>
      </c>
      <c r="J100" s="97">
        <v>341</v>
      </c>
      <c r="K100" s="97" t="s">
        <v>49</v>
      </c>
      <c r="L100" s="98" t="s">
        <v>50</v>
      </c>
      <c r="M100" s="95">
        <v>2</v>
      </c>
      <c r="N100" s="97"/>
      <c r="O100" s="98"/>
      <c r="P100" s="99"/>
      <c r="Q100" s="99"/>
      <c r="R100" s="99"/>
      <c r="S100" s="116" t="s">
        <v>364</v>
      </c>
      <c r="T100" s="174">
        <v>430</v>
      </c>
      <c r="U100" s="175">
        <v>3455</v>
      </c>
      <c r="V100" s="100"/>
      <c r="W100" s="117"/>
      <c r="X100" s="117"/>
      <c r="Y100" s="117"/>
      <c r="Z100" s="106" t="s">
        <v>6</v>
      </c>
      <c r="AA100" s="117" t="s">
        <v>58</v>
      </c>
      <c r="AB100" s="117"/>
      <c r="AC100" s="117"/>
      <c r="AD100" s="117"/>
      <c r="AE100" s="118">
        <v>18.399999999999999</v>
      </c>
      <c r="AF100" s="112">
        <v>82</v>
      </c>
      <c r="AG100" s="112">
        <v>61</v>
      </c>
      <c r="AH100" s="113">
        <v>71</v>
      </c>
      <c r="AI100" s="119">
        <v>7.28</v>
      </c>
      <c r="AJ100" s="120"/>
      <c r="AK100" s="120">
        <v>0</v>
      </c>
      <c r="AL100" s="106"/>
      <c r="AM100" s="106"/>
      <c r="AN100" s="107"/>
      <c r="AO100" s="106"/>
      <c r="AP100" s="106"/>
      <c r="AQ100" s="108"/>
      <c r="AR100" s="109"/>
      <c r="AS100" s="110"/>
      <c r="AT100" s="110"/>
      <c r="AU100" s="110"/>
      <c r="AV100" s="112" t="s">
        <v>54</v>
      </c>
      <c r="AW100" s="110"/>
      <c r="AX100" s="138">
        <v>100</v>
      </c>
    </row>
    <row r="101" spans="1:50" ht="21" x14ac:dyDescent="0.25">
      <c r="A101" s="138">
        <v>101</v>
      </c>
      <c r="B101" s="94"/>
      <c r="C101" s="95" t="s">
        <v>51</v>
      </c>
      <c r="D101" s="95" t="s">
        <v>47</v>
      </c>
      <c r="E101" s="95" t="s">
        <v>48</v>
      </c>
      <c r="F101" s="95" t="s">
        <v>55</v>
      </c>
      <c r="G101" s="97">
        <v>4</v>
      </c>
      <c r="H101" s="97">
        <v>6</v>
      </c>
      <c r="I101" s="97">
        <v>2025</v>
      </c>
      <c r="J101" s="97">
        <v>341</v>
      </c>
      <c r="K101" s="97" t="s">
        <v>49</v>
      </c>
      <c r="L101" s="98" t="s">
        <v>50</v>
      </c>
      <c r="M101" s="95">
        <v>2</v>
      </c>
      <c r="N101" s="97"/>
      <c r="O101" s="98"/>
      <c r="P101" s="99"/>
      <c r="Q101" s="99"/>
      <c r="R101" s="99"/>
      <c r="S101" s="98" t="s">
        <v>363</v>
      </c>
      <c r="T101" s="174">
        <v>431</v>
      </c>
      <c r="U101" s="94">
        <v>3454</v>
      </c>
      <c r="V101" s="100"/>
      <c r="W101" s="100"/>
      <c r="X101" s="100"/>
      <c r="Y101" s="100"/>
      <c r="Z101" s="101" t="s">
        <v>0</v>
      </c>
      <c r="AA101" s="100" t="s">
        <v>58</v>
      </c>
      <c r="AB101" s="100"/>
      <c r="AC101" s="100"/>
      <c r="AD101" s="100"/>
      <c r="AE101" s="121">
        <v>17.5</v>
      </c>
      <c r="AF101" s="103">
        <v>73</v>
      </c>
      <c r="AG101" s="103">
        <v>58</v>
      </c>
      <c r="AH101" s="104">
        <v>65</v>
      </c>
      <c r="AI101" s="121">
        <v>5.81</v>
      </c>
      <c r="AJ101" s="103"/>
      <c r="AK101" s="103">
        <v>0</v>
      </c>
      <c r="AL101" s="113"/>
      <c r="AM101" s="106"/>
      <c r="AN101" s="114"/>
      <c r="AO101" s="108"/>
      <c r="AP101" s="108"/>
      <c r="AQ101" s="108"/>
      <c r="AR101" s="109"/>
      <c r="AS101" s="110"/>
      <c r="AT101" s="110"/>
      <c r="AU101" s="111"/>
      <c r="AV101" s="112" t="s">
        <v>54</v>
      </c>
      <c r="AW101" s="110"/>
      <c r="AX101" s="138">
        <v>101</v>
      </c>
    </row>
    <row r="102" spans="1:50" ht="21" x14ac:dyDescent="0.25">
      <c r="A102" s="138">
        <v>102</v>
      </c>
      <c r="B102" s="94"/>
      <c r="C102" s="95" t="s">
        <v>51</v>
      </c>
      <c r="D102" s="95" t="s">
        <v>47</v>
      </c>
      <c r="E102" s="95" t="s">
        <v>48</v>
      </c>
      <c r="F102" s="95" t="s">
        <v>55</v>
      </c>
      <c r="G102" s="97">
        <v>4</v>
      </c>
      <c r="H102" s="97">
        <v>6</v>
      </c>
      <c r="I102" s="97">
        <v>2025</v>
      </c>
      <c r="J102" s="97">
        <v>341</v>
      </c>
      <c r="K102" s="97" t="s">
        <v>49</v>
      </c>
      <c r="L102" s="98" t="s">
        <v>50</v>
      </c>
      <c r="M102" s="95">
        <v>2</v>
      </c>
      <c r="N102" s="97"/>
      <c r="O102" s="98"/>
      <c r="P102" s="99"/>
      <c r="Q102" s="99"/>
      <c r="R102" s="99"/>
      <c r="S102" s="116" t="s">
        <v>388</v>
      </c>
      <c r="T102" s="174">
        <v>432</v>
      </c>
      <c r="U102" s="175">
        <v>3479</v>
      </c>
      <c r="V102" s="100"/>
      <c r="W102" s="117"/>
      <c r="X102" s="117"/>
      <c r="Y102" s="117"/>
      <c r="Z102" s="106" t="s">
        <v>0</v>
      </c>
      <c r="AA102" s="117" t="s">
        <v>58</v>
      </c>
      <c r="AB102" s="117"/>
      <c r="AC102" s="117"/>
      <c r="AD102" s="117"/>
      <c r="AE102" s="119">
        <v>12.1</v>
      </c>
      <c r="AF102" s="112">
        <v>71</v>
      </c>
      <c r="AG102" s="112">
        <v>57</v>
      </c>
      <c r="AH102" s="113">
        <v>64</v>
      </c>
      <c r="AI102" s="119">
        <v>3.89</v>
      </c>
      <c r="AJ102" s="120"/>
      <c r="AK102" s="120">
        <v>0</v>
      </c>
      <c r="AL102" s="113"/>
      <c r="AM102" s="106"/>
      <c r="AN102" s="114"/>
      <c r="AO102" s="108"/>
      <c r="AP102" s="108"/>
      <c r="AQ102" s="108"/>
      <c r="AR102" s="109"/>
      <c r="AS102" s="110"/>
      <c r="AT102" s="110"/>
      <c r="AU102" s="110"/>
      <c r="AV102" s="112" t="s">
        <v>54</v>
      </c>
      <c r="AW102" s="110"/>
      <c r="AX102" s="138">
        <v>102</v>
      </c>
    </row>
    <row r="103" spans="1:50" ht="21" x14ac:dyDescent="0.25">
      <c r="A103" s="138">
        <v>103</v>
      </c>
      <c r="B103" s="94"/>
      <c r="C103" s="95" t="s">
        <v>51</v>
      </c>
      <c r="D103" s="95" t="s">
        <v>47</v>
      </c>
      <c r="E103" s="95" t="s">
        <v>48</v>
      </c>
      <c r="F103" s="95" t="s">
        <v>55</v>
      </c>
      <c r="G103" s="97">
        <v>4</v>
      </c>
      <c r="H103" s="97">
        <v>6</v>
      </c>
      <c r="I103" s="97">
        <v>2025</v>
      </c>
      <c r="J103" s="97">
        <v>341</v>
      </c>
      <c r="K103" s="97" t="s">
        <v>49</v>
      </c>
      <c r="L103" s="98" t="s">
        <v>50</v>
      </c>
      <c r="M103" s="95">
        <v>2</v>
      </c>
      <c r="N103" s="97"/>
      <c r="O103" s="95"/>
      <c r="P103" s="99"/>
      <c r="Q103" s="99"/>
      <c r="R103" s="99"/>
      <c r="S103" s="95" t="s">
        <v>367</v>
      </c>
      <c r="T103" s="174">
        <v>433</v>
      </c>
      <c r="U103" s="175">
        <v>3458</v>
      </c>
      <c r="V103" s="100"/>
      <c r="W103" s="100"/>
      <c r="X103" s="100"/>
      <c r="Y103" s="100"/>
      <c r="Z103" s="122" t="s">
        <v>0</v>
      </c>
      <c r="AA103" s="100" t="s">
        <v>58</v>
      </c>
      <c r="AB103" s="123"/>
      <c r="AC103" s="123"/>
      <c r="AD103" s="123"/>
      <c r="AE103" s="114">
        <v>20.399999999999999</v>
      </c>
      <c r="AF103" s="120">
        <v>58</v>
      </c>
      <c r="AG103" s="120">
        <v>46</v>
      </c>
      <c r="AH103" s="108">
        <v>52</v>
      </c>
      <c r="AI103" s="130">
        <v>4.33</v>
      </c>
      <c r="AJ103" s="128"/>
      <c r="AK103" s="126">
        <v>0</v>
      </c>
      <c r="AL103" s="122"/>
      <c r="AM103" s="122"/>
      <c r="AN103" s="124"/>
      <c r="AO103" s="122"/>
      <c r="AP103" s="122"/>
      <c r="AQ103" s="122"/>
      <c r="AR103" s="122"/>
      <c r="AS103" s="125"/>
      <c r="AT103" s="125"/>
      <c r="AU103" s="125"/>
      <c r="AV103" s="120" t="s">
        <v>54</v>
      </c>
      <c r="AW103" s="125"/>
      <c r="AX103" s="138">
        <v>103</v>
      </c>
    </row>
    <row r="104" spans="1:50" ht="21" x14ac:dyDescent="0.25">
      <c r="A104" s="138">
        <v>104</v>
      </c>
      <c r="B104" s="94"/>
      <c r="C104" s="95" t="s">
        <v>51</v>
      </c>
      <c r="D104" s="95" t="s">
        <v>47</v>
      </c>
      <c r="E104" s="95" t="s">
        <v>48</v>
      </c>
      <c r="F104" s="95" t="s">
        <v>55</v>
      </c>
      <c r="G104" s="97">
        <v>4</v>
      </c>
      <c r="H104" s="97">
        <v>6</v>
      </c>
      <c r="I104" s="97">
        <v>2025</v>
      </c>
      <c r="J104" s="97">
        <v>341</v>
      </c>
      <c r="K104" s="97" t="s">
        <v>49</v>
      </c>
      <c r="L104" s="98" t="s">
        <v>50</v>
      </c>
      <c r="M104" s="95">
        <v>2</v>
      </c>
      <c r="N104" s="97"/>
      <c r="O104" s="95"/>
      <c r="P104" s="99"/>
      <c r="Q104" s="99"/>
      <c r="R104" s="99"/>
      <c r="S104" s="129" t="s">
        <v>403</v>
      </c>
      <c r="T104" s="174">
        <v>434</v>
      </c>
      <c r="U104" s="175">
        <v>3495</v>
      </c>
      <c r="V104" s="100"/>
      <c r="W104" s="117"/>
      <c r="X104" s="117"/>
      <c r="Y104" s="117"/>
      <c r="Z104" s="122" t="s">
        <v>6</v>
      </c>
      <c r="AA104" s="100" t="s">
        <v>58</v>
      </c>
      <c r="AB104" s="100"/>
      <c r="AC104" s="100"/>
      <c r="AD104" s="117"/>
      <c r="AE104" s="119">
        <v>17.399999999999999</v>
      </c>
      <c r="AF104" s="120">
        <v>64</v>
      </c>
      <c r="AG104" s="120">
        <v>50</v>
      </c>
      <c r="AH104" s="108">
        <v>57</v>
      </c>
      <c r="AI104" s="119">
        <v>4.4400000000000004</v>
      </c>
      <c r="AJ104" s="120"/>
      <c r="AK104" s="120">
        <v>0</v>
      </c>
      <c r="AL104" s="108"/>
      <c r="AM104" s="109"/>
      <c r="AN104" s="114"/>
      <c r="AO104" s="108"/>
      <c r="AP104" s="108"/>
      <c r="AQ104" s="108"/>
      <c r="AR104" s="109"/>
      <c r="AS104" s="128"/>
      <c r="AT104" s="128"/>
      <c r="AU104" s="128"/>
      <c r="AV104" s="120" t="s">
        <v>54</v>
      </c>
      <c r="AW104" s="128"/>
      <c r="AX104" s="138">
        <v>104</v>
      </c>
    </row>
    <row r="105" spans="1:50" ht="21" x14ac:dyDescent="0.25">
      <c r="A105" s="138">
        <v>105</v>
      </c>
      <c r="B105" s="94"/>
      <c r="C105" s="95" t="s">
        <v>51</v>
      </c>
      <c r="D105" s="95" t="s">
        <v>47</v>
      </c>
      <c r="E105" s="95" t="s">
        <v>48</v>
      </c>
      <c r="F105" s="95" t="s">
        <v>55</v>
      </c>
      <c r="G105" s="97">
        <v>4</v>
      </c>
      <c r="H105" s="97">
        <v>6</v>
      </c>
      <c r="I105" s="97">
        <v>2025</v>
      </c>
      <c r="J105" s="97">
        <v>341</v>
      </c>
      <c r="K105" s="97" t="s">
        <v>49</v>
      </c>
      <c r="L105" s="98" t="s">
        <v>50</v>
      </c>
      <c r="M105" s="95">
        <v>2</v>
      </c>
      <c r="N105" s="97"/>
      <c r="O105" s="98"/>
      <c r="P105" s="99"/>
      <c r="Q105" s="99"/>
      <c r="R105" s="99"/>
      <c r="S105" s="116" t="s">
        <v>379</v>
      </c>
      <c r="T105" s="174">
        <v>435</v>
      </c>
      <c r="U105" s="175">
        <v>3470</v>
      </c>
      <c r="V105" s="100"/>
      <c r="W105" s="117"/>
      <c r="X105" s="117"/>
      <c r="Y105" s="117"/>
      <c r="Z105" s="101" t="s">
        <v>0</v>
      </c>
      <c r="AA105" s="100" t="s">
        <v>58</v>
      </c>
      <c r="AB105" s="100"/>
      <c r="AC105" s="100"/>
      <c r="AD105" s="117"/>
      <c r="AE105" s="119">
        <v>21.4</v>
      </c>
      <c r="AF105" s="112">
        <v>70</v>
      </c>
      <c r="AG105" s="112">
        <v>55</v>
      </c>
      <c r="AH105" s="113">
        <v>62</v>
      </c>
      <c r="AI105" s="118">
        <v>5.77</v>
      </c>
      <c r="AJ105" s="112">
        <v>18</v>
      </c>
      <c r="AK105" s="112">
        <v>10.7</v>
      </c>
      <c r="AL105" s="113"/>
      <c r="AM105" s="106"/>
      <c r="AN105" s="131"/>
      <c r="AO105" s="108"/>
      <c r="AP105" s="108"/>
      <c r="AQ105" s="106"/>
      <c r="AR105" s="106"/>
      <c r="AS105" s="110"/>
      <c r="AT105" s="110"/>
      <c r="AU105" s="110"/>
      <c r="AV105" s="112" t="s">
        <v>54</v>
      </c>
      <c r="AW105" s="110"/>
      <c r="AX105" s="138">
        <v>105</v>
      </c>
    </row>
    <row r="106" spans="1:50" ht="21" x14ac:dyDescent="0.25">
      <c r="A106" s="138">
        <v>106</v>
      </c>
      <c r="B106" s="94"/>
      <c r="C106" s="95" t="s">
        <v>51</v>
      </c>
      <c r="D106" s="95" t="s">
        <v>47</v>
      </c>
      <c r="E106" s="95" t="s">
        <v>48</v>
      </c>
      <c r="F106" s="95" t="s">
        <v>55</v>
      </c>
      <c r="G106" s="97">
        <v>4</v>
      </c>
      <c r="H106" s="97">
        <v>6</v>
      </c>
      <c r="I106" s="97">
        <v>2025</v>
      </c>
      <c r="J106" s="97">
        <v>341</v>
      </c>
      <c r="K106" s="97" t="s">
        <v>49</v>
      </c>
      <c r="L106" s="98" t="s">
        <v>50</v>
      </c>
      <c r="M106" s="95">
        <v>2</v>
      </c>
      <c r="N106" s="97"/>
      <c r="O106" s="98"/>
      <c r="P106" s="99"/>
      <c r="Q106" s="99"/>
      <c r="R106" s="99"/>
      <c r="S106" s="98" t="s">
        <v>369</v>
      </c>
      <c r="T106" s="174">
        <v>436</v>
      </c>
      <c r="U106" s="94">
        <v>3460</v>
      </c>
      <c r="V106" s="100"/>
      <c r="W106" s="100"/>
      <c r="X106" s="100"/>
      <c r="Y106" s="100"/>
      <c r="Z106" s="101" t="s">
        <v>0</v>
      </c>
      <c r="AA106" s="100" t="s">
        <v>58</v>
      </c>
      <c r="AB106" s="100"/>
      <c r="AC106" s="100"/>
      <c r="AD106" s="100"/>
      <c r="AE106" s="121">
        <v>11.7</v>
      </c>
      <c r="AF106" s="103">
        <v>72</v>
      </c>
      <c r="AG106" s="103">
        <v>60</v>
      </c>
      <c r="AH106" s="104">
        <v>66</v>
      </c>
      <c r="AI106" s="121">
        <v>3.44</v>
      </c>
      <c r="AJ106" s="112">
        <v>22</v>
      </c>
      <c r="AK106" s="103">
        <v>14.1</v>
      </c>
      <c r="AL106" s="113"/>
      <c r="AM106" s="106"/>
      <c r="AN106" s="114"/>
      <c r="AO106" s="108"/>
      <c r="AP106" s="108"/>
      <c r="AQ106" s="108"/>
      <c r="AR106" s="109"/>
      <c r="AS106" s="110"/>
      <c r="AT106" s="110"/>
      <c r="AU106" s="111"/>
      <c r="AV106" s="112" t="s">
        <v>54</v>
      </c>
      <c r="AW106" s="110"/>
      <c r="AX106" s="138">
        <v>106</v>
      </c>
    </row>
    <row r="107" spans="1:50" ht="21" x14ac:dyDescent="0.25">
      <c r="A107" s="138">
        <v>107</v>
      </c>
      <c r="B107" s="94"/>
      <c r="C107" s="95" t="s">
        <v>51</v>
      </c>
      <c r="D107" s="95" t="s">
        <v>47</v>
      </c>
      <c r="E107" s="95" t="s">
        <v>48</v>
      </c>
      <c r="F107" s="95" t="s">
        <v>55</v>
      </c>
      <c r="G107" s="97">
        <v>4</v>
      </c>
      <c r="H107" s="97">
        <v>6</v>
      </c>
      <c r="I107" s="97">
        <v>2025</v>
      </c>
      <c r="J107" s="97">
        <v>341</v>
      </c>
      <c r="K107" s="97" t="s">
        <v>49</v>
      </c>
      <c r="L107" s="98" t="s">
        <v>50</v>
      </c>
      <c r="M107" s="95">
        <v>2</v>
      </c>
      <c r="N107" s="97"/>
      <c r="O107" s="95"/>
      <c r="P107" s="99"/>
      <c r="Q107" s="99"/>
      <c r="R107" s="99"/>
      <c r="S107" s="95" t="s">
        <v>354</v>
      </c>
      <c r="T107" s="174">
        <v>437</v>
      </c>
      <c r="U107" s="94">
        <v>3445</v>
      </c>
      <c r="V107" s="100"/>
      <c r="W107" s="100"/>
      <c r="X107" s="100"/>
      <c r="Y107" s="100"/>
      <c r="Z107" s="122" t="s">
        <v>0</v>
      </c>
      <c r="AA107" s="100" t="s">
        <v>58</v>
      </c>
      <c r="AB107" s="123"/>
      <c r="AC107" s="123"/>
      <c r="AD107" s="123"/>
      <c r="AE107" s="132">
        <v>21</v>
      </c>
      <c r="AF107" s="105">
        <v>65</v>
      </c>
      <c r="AG107" s="105">
        <v>58</v>
      </c>
      <c r="AH107" s="127">
        <v>61</v>
      </c>
      <c r="AI107" s="124">
        <v>6.14</v>
      </c>
      <c r="AJ107" s="128"/>
      <c r="AK107" s="126">
        <v>0</v>
      </c>
      <c r="AL107" s="122"/>
      <c r="AM107" s="122"/>
      <c r="AN107" s="124"/>
      <c r="AO107" s="122"/>
      <c r="AP107" s="122"/>
      <c r="AQ107" s="122"/>
      <c r="AR107" s="122"/>
      <c r="AS107" s="125"/>
      <c r="AT107" s="125"/>
      <c r="AU107" s="125"/>
      <c r="AV107" s="120" t="s">
        <v>54</v>
      </c>
      <c r="AW107" s="125"/>
      <c r="AX107" s="138">
        <v>107</v>
      </c>
    </row>
    <row r="108" spans="1:50" ht="21" x14ac:dyDescent="0.25">
      <c r="A108" s="138">
        <v>108</v>
      </c>
      <c r="B108" s="94"/>
      <c r="C108" s="95" t="s">
        <v>51</v>
      </c>
      <c r="D108" s="95" t="s">
        <v>47</v>
      </c>
      <c r="E108" s="95" t="s">
        <v>48</v>
      </c>
      <c r="F108" s="95" t="s">
        <v>55</v>
      </c>
      <c r="G108" s="97">
        <v>4</v>
      </c>
      <c r="H108" s="97">
        <v>6</v>
      </c>
      <c r="I108" s="97">
        <v>2025</v>
      </c>
      <c r="J108" s="97">
        <v>341</v>
      </c>
      <c r="K108" s="97" t="s">
        <v>49</v>
      </c>
      <c r="L108" s="98" t="s">
        <v>50</v>
      </c>
      <c r="M108" s="95">
        <v>2</v>
      </c>
      <c r="N108" s="97"/>
      <c r="O108" s="98"/>
      <c r="P108" s="99"/>
      <c r="Q108" s="99"/>
      <c r="R108" s="99"/>
      <c r="S108" s="98" t="s">
        <v>411</v>
      </c>
      <c r="T108" s="94">
        <v>438</v>
      </c>
      <c r="U108" s="94">
        <v>3504</v>
      </c>
      <c r="V108" s="100"/>
      <c r="W108" s="100"/>
      <c r="X108" s="100"/>
      <c r="Y108" s="100"/>
      <c r="Z108" s="101" t="s">
        <v>6</v>
      </c>
      <c r="AA108" s="100" t="s">
        <v>58</v>
      </c>
      <c r="AB108" s="100"/>
      <c r="AC108" s="100"/>
      <c r="AD108" s="100"/>
      <c r="AE108" s="102">
        <v>16.399999999999999</v>
      </c>
      <c r="AF108" s="103">
        <v>64</v>
      </c>
      <c r="AG108" s="103">
        <v>55</v>
      </c>
      <c r="AH108" s="104">
        <v>59</v>
      </c>
      <c r="AI108" s="102">
        <v>4.4800000000000004</v>
      </c>
      <c r="AJ108" s="105"/>
      <c r="AK108" s="105">
        <v>0</v>
      </c>
      <c r="AL108" s="113">
        <v>11</v>
      </c>
      <c r="AM108" s="106">
        <f>COUNT(AI100:AI108)</f>
        <v>9</v>
      </c>
      <c r="AN108" s="114">
        <f>SUM(AI100:AI108)</f>
        <v>45.58</v>
      </c>
      <c r="AO108" s="108"/>
      <c r="AP108" s="108"/>
      <c r="AQ108" s="108"/>
      <c r="AR108" s="109"/>
      <c r="AS108" s="110"/>
      <c r="AT108" s="110"/>
      <c r="AU108" s="111"/>
      <c r="AV108" s="112" t="s">
        <v>54</v>
      </c>
      <c r="AW108" s="110"/>
      <c r="AX108" s="138">
        <v>108</v>
      </c>
    </row>
    <row r="109" spans="1:50" ht="21" x14ac:dyDescent="0.25">
      <c r="A109" s="138">
        <v>109</v>
      </c>
      <c r="B109" s="94">
        <v>12</v>
      </c>
      <c r="C109" s="95" t="s">
        <v>467</v>
      </c>
      <c r="D109" s="95" t="s">
        <v>47</v>
      </c>
      <c r="E109" s="95" t="s">
        <v>48</v>
      </c>
      <c r="F109" s="95" t="s">
        <v>473</v>
      </c>
      <c r="G109" s="97">
        <v>4</v>
      </c>
      <c r="H109" s="97">
        <v>6</v>
      </c>
      <c r="I109" s="97">
        <v>2025</v>
      </c>
      <c r="J109" s="97">
        <v>335</v>
      </c>
      <c r="K109" s="97" t="s">
        <v>474</v>
      </c>
      <c r="L109" s="98" t="s">
        <v>475</v>
      </c>
      <c r="M109" s="95">
        <v>1</v>
      </c>
      <c r="N109" s="97"/>
      <c r="O109" s="98"/>
      <c r="P109" s="99"/>
      <c r="Q109" s="99"/>
      <c r="R109" s="99"/>
      <c r="S109" s="98" t="s">
        <v>389</v>
      </c>
      <c r="T109" s="174">
        <v>439</v>
      </c>
      <c r="U109" s="94">
        <v>3480</v>
      </c>
      <c r="V109" s="100"/>
      <c r="W109" s="100"/>
      <c r="X109" s="100"/>
      <c r="Y109" s="100"/>
      <c r="Z109" s="101" t="s">
        <v>0</v>
      </c>
      <c r="AA109" s="100" t="s">
        <v>58</v>
      </c>
      <c r="AB109" s="100"/>
      <c r="AC109" s="100"/>
      <c r="AD109" s="100"/>
      <c r="AE109" s="102">
        <v>16.7</v>
      </c>
      <c r="AF109" s="103">
        <v>72</v>
      </c>
      <c r="AG109" s="103">
        <v>66</v>
      </c>
      <c r="AH109" s="104">
        <v>69</v>
      </c>
      <c r="AI109" s="102">
        <v>5.76</v>
      </c>
      <c r="AJ109" s="105">
        <v>17</v>
      </c>
      <c r="AK109" s="105">
        <v>7.7</v>
      </c>
      <c r="AL109" s="113"/>
      <c r="AM109" s="106"/>
      <c r="AN109" s="114"/>
      <c r="AO109" s="108"/>
      <c r="AP109" s="108"/>
      <c r="AQ109" s="108"/>
      <c r="AR109" s="109"/>
      <c r="AS109" s="110"/>
      <c r="AT109" s="110"/>
      <c r="AU109" s="111"/>
      <c r="AV109" s="112" t="s">
        <v>54</v>
      </c>
      <c r="AW109" s="110"/>
      <c r="AX109" s="138">
        <v>109</v>
      </c>
    </row>
    <row r="110" spans="1:50" ht="21" x14ac:dyDescent="0.25">
      <c r="A110" s="138">
        <v>110</v>
      </c>
      <c r="B110" s="94"/>
      <c r="C110" s="95" t="s">
        <v>467</v>
      </c>
      <c r="D110" s="95" t="s">
        <v>47</v>
      </c>
      <c r="E110" s="95" t="s">
        <v>48</v>
      </c>
      <c r="F110" s="95" t="s">
        <v>473</v>
      </c>
      <c r="G110" s="97">
        <v>4</v>
      </c>
      <c r="H110" s="97">
        <v>6</v>
      </c>
      <c r="I110" s="97">
        <v>2025</v>
      </c>
      <c r="J110" s="97">
        <v>335</v>
      </c>
      <c r="K110" s="97" t="s">
        <v>474</v>
      </c>
      <c r="L110" s="98" t="s">
        <v>475</v>
      </c>
      <c r="M110" s="95">
        <v>1</v>
      </c>
      <c r="N110" s="97"/>
      <c r="O110" s="98"/>
      <c r="P110" s="99"/>
      <c r="Q110" s="99"/>
      <c r="R110" s="99"/>
      <c r="S110" s="116" t="s">
        <v>258</v>
      </c>
      <c r="T110" s="174">
        <v>440</v>
      </c>
      <c r="U110" s="175">
        <v>3034</v>
      </c>
      <c r="V110" s="100"/>
      <c r="W110" s="117"/>
      <c r="X110" s="117"/>
      <c r="Y110" s="117"/>
      <c r="Z110" s="106" t="s">
        <v>1</v>
      </c>
      <c r="AA110" s="117" t="s">
        <v>58</v>
      </c>
      <c r="AB110" s="117"/>
      <c r="AC110" s="117"/>
      <c r="AD110" s="117"/>
      <c r="AE110" s="119">
        <v>13.6</v>
      </c>
      <c r="AF110" s="112">
        <v>70</v>
      </c>
      <c r="AG110" s="112">
        <v>60</v>
      </c>
      <c r="AH110" s="113">
        <v>65</v>
      </c>
      <c r="AI110" s="118">
        <v>4.51</v>
      </c>
      <c r="AJ110" s="112"/>
      <c r="AK110" s="112">
        <v>0</v>
      </c>
      <c r="AL110" s="113"/>
      <c r="AM110" s="106"/>
      <c r="AN110" s="131"/>
      <c r="AO110" s="108"/>
      <c r="AP110" s="108"/>
      <c r="AQ110" s="108"/>
      <c r="AR110" s="109"/>
      <c r="AS110" s="110"/>
      <c r="AT110" s="110"/>
      <c r="AU110" s="110"/>
      <c r="AV110" s="112" t="s">
        <v>54</v>
      </c>
      <c r="AW110" s="110"/>
      <c r="AX110" s="138">
        <v>110</v>
      </c>
    </row>
    <row r="111" spans="1:50" ht="21" x14ac:dyDescent="0.25">
      <c r="A111" s="138">
        <v>111</v>
      </c>
      <c r="B111" s="94"/>
      <c r="C111" s="95" t="s">
        <v>467</v>
      </c>
      <c r="D111" s="95" t="s">
        <v>47</v>
      </c>
      <c r="E111" s="95" t="s">
        <v>48</v>
      </c>
      <c r="F111" s="95" t="s">
        <v>473</v>
      </c>
      <c r="G111" s="97">
        <v>4</v>
      </c>
      <c r="H111" s="97">
        <v>6</v>
      </c>
      <c r="I111" s="97">
        <v>2025</v>
      </c>
      <c r="J111" s="97">
        <v>335</v>
      </c>
      <c r="K111" s="97" t="s">
        <v>474</v>
      </c>
      <c r="L111" s="98" t="s">
        <v>475</v>
      </c>
      <c r="M111" s="95">
        <v>1</v>
      </c>
      <c r="N111" s="97"/>
      <c r="O111" s="95"/>
      <c r="P111" s="99"/>
      <c r="Q111" s="99"/>
      <c r="R111" s="99"/>
      <c r="S111" s="95" t="s">
        <v>408</v>
      </c>
      <c r="T111" s="174">
        <v>441</v>
      </c>
      <c r="U111" s="94">
        <v>3501</v>
      </c>
      <c r="V111" s="100"/>
      <c r="W111" s="100"/>
      <c r="X111" s="100"/>
      <c r="Y111" s="100"/>
      <c r="Z111" s="122" t="s">
        <v>0</v>
      </c>
      <c r="AA111" s="100" t="s">
        <v>58</v>
      </c>
      <c r="AB111" s="123"/>
      <c r="AC111" s="123"/>
      <c r="AD111" s="123"/>
      <c r="AE111" s="132">
        <v>17</v>
      </c>
      <c r="AF111" s="105">
        <v>64</v>
      </c>
      <c r="AG111" s="105">
        <v>48</v>
      </c>
      <c r="AH111" s="127">
        <v>56</v>
      </c>
      <c r="AI111" s="124">
        <v>3.81</v>
      </c>
      <c r="AJ111" s="128">
        <v>15</v>
      </c>
      <c r="AK111" s="126">
        <v>9.1</v>
      </c>
      <c r="AL111" s="122"/>
      <c r="AM111" s="122"/>
      <c r="AN111" s="124"/>
      <c r="AO111" s="122"/>
      <c r="AP111" s="122"/>
      <c r="AQ111" s="122"/>
      <c r="AR111" s="122"/>
      <c r="AS111" s="125"/>
      <c r="AT111" s="125"/>
      <c r="AU111" s="125"/>
      <c r="AV111" s="120" t="s">
        <v>54</v>
      </c>
      <c r="AW111" s="125"/>
      <c r="AX111" s="138">
        <v>111</v>
      </c>
    </row>
    <row r="112" spans="1:50" ht="21" x14ac:dyDescent="0.25">
      <c r="A112" s="138">
        <v>112</v>
      </c>
      <c r="B112" s="94"/>
      <c r="C112" s="95" t="s">
        <v>467</v>
      </c>
      <c r="D112" s="95" t="s">
        <v>47</v>
      </c>
      <c r="E112" s="95" t="s">
        <v>48</v>
      </c>
      <c r="F112" s="95" t="s">
        <v>473</v>
      </c>
      <c r="G112" s="97">
        <v>4</v>
      </c>
      <c r="H112" s="97">
        <v>6</v>
      </c>
      <c r="I112" s="97">
        <v>2025</v>
      </c>
      <c r="J112" s="97">
        <v>335</v>
      </c>
      <c r="K112" s="97" t="s">
        <v>474</v>
      </c>
      <c r="L112" s="98" t="s">
        <v>475</v>
      </c>
      <c r="M112" s="95">
        <v>1</v>
      </c>
      <c r="N112" s="97"/>
      <c r="O112" s="98"/>
      <c r="P112" s="99"/>
      <c r="Q112" s="99"/>
      <c r="R112" s="99"/>
      <c r="S112" s="116" t="s">
        <v>355</v>
      </c>
      <c r="T112" s="174">
        <v>442</v>
      </c>
      <c r="U112" s="175">
        <v>3446</v>
      </c>
      <c r="V112" s="100"/>
      <c r="W112" s="117"/>
      <c r="X112" s="117"/>
      <c r="Y112" s="117"/>
      <c r="Z112" s="106" t="s">
        <v>0</v>
      </c>
      <c r="AA112" s="117" t="s">
        <v>58</v>
      </c>
      <c r="AB112" s="117"/>
      <c r="AC112" s="117"/>
      <c r="AD112" s="117"/>
      <c r="AE112" s="119">
        <v>21</v>
      </c>
      <c r="AF112" s="112">
        <v>71</v>
      </c>
      <c r="AG112" s="112">
        <v>52</v>
      </c>
      <c r="AH112" s="113">
        <v>61</v>
      </c>
      <c r="AI112" s="119">
        <v>6.14</v>
      </c>
      <c r="AJ112" s="112"/>
      <c r="AK112" s="120">
        <v>0</v>
      </c>
      <c r="AL112" s="113"/>
      <c r="AM112" s="106"/>
      <c r="AN112" s="114"/>
      <c r="AO112" s="108"/>
      <c r="AP112" s="108"/>
      <c r="AQ112" s="108"/>
      <c r="AR112" s="109"/>
      <c r="AS112" s="110"/>
      <c r="AT112" s="110"/>
      <c r="AU112" s="110"/>
      <c r="AV112" s="112" t="s">
        <v>54</v>
      </c>
      <c r="AW112" s="110"/>
      <c r="AX112" s="138">
        <v>112</v>
      </c>
    </row>
    <row r="113" spans="1:50" ht="21" x14ac:dyDescent="0.25">
      <c r="A113" s="138">
        <v>113</v>
      </c>
      <c r="B113" s="94"/>
      <c r="C113" s="95" t="s">
        <v>467</v>
      </c>
      <c r="D113" s="95" t="s">
        <v>47</v>
      </c>
      <c r="E113" s="95" t="s">
        <v>48</v>
      </c>
      <c r="F113" s="95" t="s">
        <v>473</v>
      </c>
      <c r="G113" s="97">
        <v>4</v>
      </c>
      <c r="H113" s="97">
        <v>6</v>
      </c>
      <c r="I113" s="97">
        <v>2025</v>
      </c>
      <c r="J113" s="97">
        <v>335</v>
      </c>
      <c r="K113" s="97" t="s">
        <v>474</v>
      </c>
      <c r="L113" s="98" t="s">
        <v>475</v>
      </c>
      <c r="M113" s="95">
        <v>1</v>
      </c>
      <c r="N113" s="97"/>
      <c r="O113" s="98"/>
      <c r="P113" s="99"/>
      <c r="Q113" s="99"/>
      <c r="R113" s="99"/>
      <c r="S113" s="98" t="s">
        <v>425</v>
      </c>
      <c r="T113" s="174">
        <v>443</v>
      </c>
      <c r="U113" s="94">
        <v>3707</v>
      </c>
      <c r="V113" s="100"/>
      <c r="W113" s="100"/>
      <c r="X113" s="100"/>
      <c r="Y113" s="100"/>
      <c r="Z113" s="101" t="s">
        <v>0</v>
      </c>
      <c r="AA113" s="100" t="s">
        <v>58</v>
      </c>
      <c r="AB113" s="100"/>
      <c r="AC113" s="100"/>
      <c r="AD113" s="100"/>
      <c r="AE113" s="121">
        <v>11.7</v>
      </c>
      <c r="AF113" s="103">
        <v>106</v>
      </c>
      <c r="AG113" s="103">
        <v>89</v>
      </c>
      <c r="AH113" s="104">
        <v>97</v>
      </c>
      <c r="AI113" s="102">
        <v>8.65</v>
      </c>
      <c r="AJ113" s="105"/>
      <c r="AK113" s="105">
        <v>0</v>
      </c>
      <c r="AL113" s="113"/>
      <c r="AM113" s="106"/>
      <c r="AN113" s="114"/>
      <c r="AO113" s="108"/>
      <c r="AP113" s="108"/>
      <c r="AQ113" s="108"/>
      <c r="AR113" s="109"/>
      <c r="AS113" s="110"/>
      <c r="AT113" s="110"/>
      <c r="AU113" s="111"/>
      <c r="AV113" s="112" t="s">
        <v>54</v>
      </c>
      <c r="AW113" s="110"/>
      <c r="AX113" s="138">
        <v>113</v>
      </c>
    </row>
    <row r="114" spans="1:50" ht="21" x14ac:dyDescent="0.25">
      <c r="A114" s="138">
        <v>114</v>
      </c>
      <c r="B114" s="94"/>
      <c r="C114" s="95" t="s">
        <v>467</v>
      </c>
      <c r="D114" s="95" t="s">
        <v>47</v>
      </c>
      <c r="E114" s="95" t="s">
        <v>48</v>
      </c>
      <c r="F114" s="95" t="s">
        <v>473</v>
      </c>
      <c r="G114" s="97">
        <v>4</v>
      </c>
      <c r="H114" s="97">
        <v>6</v>
      </c>
      <c r="I114" s="97">
        <v>2025</v>
      </c>
      <c r="J114" s="97">
        <v>335</v>
      </c>
      <c r="K114" s="97" t="s">
        <v>474</v>
      </c>
      <c r="L114" s="98" t="s">
        <v>475</v>
      </c>
      <c r="M114" s="95">
        <v>1</v>
      </c>
      <c r="N114" s="97"/>
      <c r="O114" s="98"/>
      <c r="P114" s="99"/>
      <c r="Q114" s="99"/>
      <c r="R114" s="99"/>
      <c r="S114" s="116" t="s">
        <v>256</v>
      </c>
      <c r="T114" s="174">
        <v>444</v>
      </c>
      <c r="U114" s="175">
        <v>3032</v>
      </c>
      <c r="V114" s="100"/>
      <c r="W114" s="117"/>
      <c r="X114" s="117"/>
      <c r="Y114" s="117"/>
      <c r="Z114" s="106" t="s">
        <v>0</v>
      </c>
      <c r="AA114" s="117" t="s">
        <v>58</v>
      </c>
      <c r="AB114" s="117"/>
      <c r="AC114" s="117"/>
      <c r="AD114" s="117"/>
      <c r="AE114" s="119">
        <v>15.6</v>
      </c>
      <c r="AF114" s="112">
        <v>61</v>
      </c>
      <c r="AG114" s="112">
        <v>53</v>
      </c>
      <c r="AH114" s="113">
        <v>57</v>
      </c>
      <c r="AI114" s="118">
        <v>3.98</v>
      </c>
      <c r="AJ114" s="112"/>
      <c r="AK114" s="112">
        <v>0</v>
      </c>
      <c r="AL114" s="113"/>
      <c r="AM114" s="106"/>
      <c r="AN114" s="131"/>
      <c r="AO114" s="108"/>
      <c r="AP114" s="108"/>
      <c r="AQ114" s="108"/>
      <c r="AR114" s="109"/>
      <c r="AS114" s="110"/>
      <c r="AT114" s="110"/>
      <c r="AU114" s="110"/>
      <c r="AV114" s="112" t="s">
        <v>54</v>
      </c>
      <c r="AW114" s="110"/>
      <c r="AX114" s="138">
        <v>114</v>
      </c>
    </row>
    <row r="115" spans="1:50" ht="21" x14ac:dyDescent="0.25">
      <c r="A115" s="138">
        <v>115</v>
      </c>
      <c r="B115" s="94"/>
      <c r="C115" s="95" t="s">
        <v>467</v>
      </c>
      <c r="D115" s="95" t="s">
        <v>47</v>
      </c>
      <c r="E115" s="95" t="s">
        <v>48</v>
      </c>
      <c r="F115" s="95" t="s">
        <v>473</v>
      </c>
      <c r="G115" s="97">
        <v>4</v>
      </c>
      <c r="H115" s="97">
        <v>6</v>
      </c>
      <c r="I115" s="97">
        <v>2025</v>
      </c>
      <c r="J115" s="97">
        <v>335</v>
      </c>
      <c r="K115" s="97" t="s">
        <v>474</v>
      </c>
      <c r="L115" s="98" t="s">
        <v>475</v>
      </c>
      <c r="M115" s="95">
        <v>1</v>
      </c>
      <c r="N115" s="97"/>
      <c r="O115" s="98"/>
      <c r="P115" s="99"/>
      <c r="Q115" s="99"/>
      <c r="R115" s="99"/>
      <c r="S115" s="98" t="s">
        <v>414</v>
      </c>
      <c r="T115" s="174">
        <v>445</v>
      </c>
      <c r="U115" s="94">
        <v>3507</v>
      </c>
      <c r="V115" s="100"/>
      <c r="W115" s="100"/>
      <c r="X115" s="100"/>
      <c r="Y115" s="100"/>
      <c r="Z115" s="101" t="s">
        <v>0</v>
      </c>
      <c r="AA115" s="100" t="s">
        <v>58</v>
      </c>
      <c r="AB115" s="100"/>
      <c r="AC115" s="100"/>
      <c r="AD115" s="100"/>
      <c r="AE115" s="102">
        <v>21</v>
      </c>
      <c r="AF115" s="103">
        <v>64</v>
      </c>
      <c r="AG115" s="103">
        <v>46</v>
      </c>
      <c r="AH115" s="104">
        <v>55</v>
      </c>
      <c r="AI115" s="102">
        <v>4.99</v>
      </c>
      <c r="AJ115" s="105"/>
      <c r="AK115" s="105">
        <v>0</v>
      </c>
      <c r="AL115" s="113"/>
      <c r="AM115" s="113"/>
      <c r="AN115" s="114"/>
      <c r="AO115" s="108"/>
      <c r="AP115" s="108"/>
      <c r="AQ115" s="108"/>
      <c r="AR115" s="109"/>
      <c r="AS115" s="110"/>
      <c r="AT115" s="110"/>
      <c r="AU115" s="111"/>
      <c r="AV115" s="112" t="s">
        <v>54</v>
      </c>
      <c r="AW115" s="110"/>
      <c r="AX115" s="138">
        <v>115</v>
      </c>
    </row>
    <row r="116" spans="1:50" ht="21" x14ac:dyDescent="0.25">
      <c r="A116" s="138">
        <v>116</v>
      </c>
      <c r="B116" s="94"/>
      <c r="C116" s="95" t="s">
        <v>467</v>
      </c>
      <c r="D116" s="95" t="s">
        <v>47</v>
      </c>
      <c r="E116" s="95" t="s">
        <v>48</v>
      </c>
      <c r="F116" s="95" t="s">
        <v>473</v>
      </c>
      <c r="G116" s="97">
        <v>4</v>
      </c>
      <c r="H116" s="97">
        <v>6</v>
      </c>
      <c r="I116" s="97">
        <v>2025</v>
      </c>
      <c r="J116" s="97">
        <v>335</v>
      </c>
      <c r="K116" s="97" t="s">
        <v>474</v>
      </c>
      <c r="L116" s="98" t="s">
        <v>475</v>
      </c>
      <c r="M116" s="95">
        <v>1</v>
      </c>
      <c r="N116" s="97"/>
      <c r="O116" s="98"/>
      <c r="P116" s="99"/>
      <c r="Q116" s="99"/>
      <c r="R116" s="99"/>
      <c r="S116" s="98" t="s">
        <v>67</v>
      </c>
      <c r="T116" s="174">
        <v>446</v>
      </c>
      <c r="U116" s="94">
        <v>191</v>
      </c>
      <c r="V116" s="100"/>
      <c r="W116" s="100"/>
      <c r="X116" s="100"/>
      <c r="Y116" s="100"/>
      <c r="Z116" s="101" t="s">
        <v>5</v>
      </c>
      <c r="AA116" s="100" t="s">
        <v>58</v>
      </c>
      <c r="AB116" s="100"/>
      <c r="AC116" s="100"/>
      <c r="AD116" s="100"/>
      <c r="AE116" s="102">
        <v>11.6</v>
      </c>
      <c r="AF116" s="103">
        <v>60</v>
      </c>
      <c r="AG116" s="103">
        <v>54</v>
      </c>
      <c r="AH116" s="104">
        <v>57</v>
      </c>
      <c r="AI116" s="102">
        <v>2.82</v>
      </c>
      <c r="AJ116" s="105">
        <v>11</v>
      </c>
      <c r="AK116" s="105">
        <v>4.7</v>
      </c>
      <c r="AL116" s="113"/>
      <c r="AM116" s="106"/>
      <c r="AN116" s="114"/>
      <c r="AO116" s="108"/>
      <c r="AP116" s="108"/>
      <c r="AQ116" s="108"/>
      <c r="AR116" s="109"/>
      <c r="AS116" s="110"/>
      <c r="AT116" s="110"/>
      <c r="AU116" s="111"/>
      <c r="AV116" s="112" t="s">
        <v>54</v>
      </c>
      <c r="AW116" s="110"/>
      <c r="AX116" s="138">
        <v>116</v>
      </c>
    </row>
    <row r="117" spans="1:50" ht="21" x14ac:dyDescent="0.25">
      <c r="A117" s="138">
        <v>117</v>
      </c>
      <c r="B117" s="94"/>
      <c r="C117" s="95" t="s">
        <v>467</v>
      </c>
      <c r="D117" s="95" t="s">
        <v>47</v>
      </c>
      <c r="E117" s="95" t="s">
        <v>48</v>
      </c>
      <c r="F117" s="95" t="s">
        <v>473</v>
      </c>
      <c r="G117" s="97">
        <v>4</v>
      </c>
      <c r="H117" s="97">
        <v>6</v>
      </c>
      <c r="I117" s="97">
        <v>2025</v>
      </c>
      <c r="J117" s="97">
        <v>335</v>
      </c>
      <c r="K117" s="97" t="s">
        <v>474</v>
      </c>
      <c r="L117" s="98" t="s">
        <v>475</v>
      </c>
      <c r="M117" s="95">
        <v>1</v>
      </c>
      <c r="N117" s="97"/>
      <c r="O117" s="98"/>
      <c r="P117" s="99"/>
      <c r="Q117" s="99"/>
      <c r="R117" s="99"/>
      <c r="S117" s="116" t="s">
        <v>183</v>
      </c>
      <c r="T117" s="174">
        <v>447</v>
      </c>
      <c r="U117" s="175">
        <v>2825</v>
      </c>
      <c r="V117" s="100"/>
      <c r="W117" s="117"/>
      <c r="X117" s="117"/>
      <c r="Y117" s="117"/>
      <c r="Z117" s="106" t="s">
        <v>4</v>
      </c>
      <c r="AA117" s="117" t="s">
        <v>58</v>
      </c>
      <c r="AB117" s="117"/>
      <c r="AC117" s="117"/>
      <c r="AD117" s="117"/>
      <c r="AE117" s="119">
        <v>16.399999999999999</v>
      </c>
      <c r="AF117" s="112">
        <v>52</v>
      </c>
      <c r="AG117" s="112">
        <v>44</v>
      </c>
      <c r="AH117" s="113">
        <v>48</v>
      </c>
      <c r="AI117" s="119">
        <v>2.97</v>
      </c>
      <c r="AJ117" s="112"/>
      <c r="AK117" s="120">
        <v>0</v>
      </c>
      <c r="AL117" s="106"/>
      <c r="AM117" s="106"/>
      <c r="AN117" s="107"/>
      <c r="AO117" s="106"/>
      <c r="AP117" s="106"/>
      <c r="AQ117" s="108"/>
      <c r="AR117" s="109"/>
      <c r="AS117" s="110"/>
      <c r="AT117" s="110"/>
      <c r="AU117" s="110"/>
      <c r="AV117" s="112" t="s">
        <v>54</v>
      </c>
      <c r="AW117" s="110"/>
      <c r="AX117" s="138">
        <v>117</v>
      </c>
    </row>
    <row r="118" spans="1:50" ht="21" x14ac:dyDescent="0.25">
      <c r="A118" s="138">
        <v>118</v>
      </c>
      <c r="B118" s="94"/>
      <c r="C118" s="95" t="s">
        <v>467</v>
      </c>
      <c r="D118" s="95" t="s">
        <v>47</v>
      </c>
      <c r="E118" s="95" t="s">
        <v>48</v>
      </c>
      <c r="F118" s="95" t="s">
        <v>473</v>
      </c>
      <c r="G118" s="97">
        <v>4</v>
      </c>
      <c r="H118" s="97">
        <v>6</v>
      </c>
      <c r="I118" s="97">
        <v>2025</v>
      </c>
      <c r="J118" s="97">
        <v>335</v>
      </c>
      <c r="K118" s="97" t="s">
        <v>474</v>
      </c>
      <c r="L118" s="98" t="s">
        <v>475</v>
      </c>
      <c r="M118" s="95">
        <v>1</v>
      </c>
      <c r="N118" s="97"/>
      <c r="O118" s="98"/>
      <c r="P118" s="99"/>
      <c r="Q118" s="99"/>
      <c r="R118" s="99"/>
      <c r="S118" s="98" t="s">
        <v>122</v>
      </c>
      <c r="T118" s="174">
        <v>448</v>
      </c>
      <c r="U118" s="94">
        <v>245</v>
      </c>
      <c r="V118" s="100"/>
      <c r="W118" s="100"/>
      <c r="X118" s="100"/>
      <c r="Y118" s="100"/>
      <c r="Z118" s="101" t="s">
        <v>3</v>
      </c>
      <c r="AA118" s="100" t="s">
        <v>58</v>
      </c>
      <c r="AB118" s="100"/>
      <c r="AC118" s="100"/>
      <c r="AD118" s="100"/>
      <c r="AE118" s="102">
        <v>14.4</v>
      </c>
      <c r="AF118" s="103">
        <v>59</v>
      </c>
      <c r="AG118" s="103">
        <v>46</v>
      </c>
      <c r="AH118" s="104">
        <v>52</v>
      </c>
      <c r="AI118" s="102">
        <v>3.06</v>
      </c>
      <c r="AJ118" s="105"/>
      <c r="AK118" s="105">
        <v>0</v>
      </c>
      <c r="AL118" s="113">
        <v>12</v>
      </c>
      <c r="AM118" s="113">
        <f>COUNT(AI109:AI118)</f>
        <v>10</v>
      </c>
      <c r="AN118" s="114">
        <f>SUM(AI109:AI118)</f>
        <v>46.69</v>
      </c>
      <c r="AO118" s="108"/>
      <c r="AP118" s="108"/>
      <c r="AQ118" s="106"/>
      <c r="AR118" s="106"/>
      <c r="AS118" s="110"/>
      <c r="AT118" s="110"/>
      <c r="AU118" s="111"/>
      <c r="AV118" s="112" t="s">
        <v>54</v>
      </c>
      <c r="AW118" s="110"/>
      <c r="AX118" s="138">
        <v>118</v>
      </c>
    </row>
    <row r="119" spans="1:50" ht="21" x14ac:dyDescent="0.25">
      <c r="A119" s="138">
        <v>119</v>
      </c>
      <c r="B119" s="94">
        <v>13</v>
      </c>
      <c r="C119" s="95" t="s">
        <v>472</v>
      </c>
      <c r="D119" s="95" t="s">
        <v>47</v>
      </c>
      <c r="E119" s="95" t="s">
        <v>456</v>
      </c>
      <c r="F119" s="95" t="s">
        <v>473</v>
      </c>
      <c r="G119" s="97">
        <v>4</v>
      </c>
      <c r="H119" s="97">
        <v>6</v>
      </c>
      <c r="I119" s="97">
        <v>2025</v>
      </c>
      <c r="J119" s="97">
        <v>339</v>
      </c>
      <c r="K119" s="97" t="s">
        <v>461</v>
      </c>
      <c r="L119" s="98" t="s">
        <v>462</v>
      </c>
      <c r="M119" s="95">
        <v>2</v>
      </c>
      <c r="N119" s="97"/>
      <c r="O119" s="98"/>
      <c r="P119" s="99"/>
      <c r="Q119" s="99"/>
      <c r="R119" s="99"/>
      <c r="S119" s="98" t="s">
        <v>275</v>
      </c>
      <c r="T119" s="174">
        <v>449</v>
      </c>
      <c r="U119" s="94">
        <v>3053</v>
      </c>
      <c r="V119" s="100"/>
      <c r="W119" s="100"/>
      <c r="X119" s="100"/>
      <c r="Y119" s="100"/>
      <c r="Z119" s="101" t="s">
        <v>0</v>
      </c>
      <c r="AA119" s="100" t="s">
        <v>58</v>
      </c>
      <c r="AB119" s="100"/>
      <c r="AC119" s="100"/>
      <c r="AD119" s="100"/>
      <c r="AE119" s="102">
        <v>21</v>
      </c>
      <c r="AF119" s="103">
        <v>50</v>
      </c>
      <c r="AG119" s="103">
        <v>36</v>
      </c>
      <c r="AH119" s="104">
        <v>43</v>
      </c>
      <c r="AI119" s="102">
        <v>3.05</v>
      </c>
      <c r="AJ119" s="105"/>
      <c r="AK119" s="105">
        <v>0</v>
      </c>
      <c r="AL119" s="113"/>
      <c r="AM119" s="113"/>
      <c r="AN119" s="115"/>
      <c r="AO119" s="113"/>
      <c r="AP119" s="113"/>
      <c r="AQ119" s="108"/>
      <c r="AR119" s="109"/>
      <c r="AS119" s="110"/>
      <c r="AT119" s="110"/>
      <c r="AU119" s="111"/>
      <c r="AV119" s="112" t="s">
        <v>54</v>
      </c>
      <c r="AW119" s="110"/>
      <c r="AX119" s="138">
        <v>119</v>
      </c>
    </row>
    <row r="120" spans="1:50" ht="21" x14ac:dyDescent="0.25">
      <c r="A120" s="138">
        <v>120</v>
      </c>
      <c r="B120" s="94"/>
      <c r="C120" s="95" t="s">
        <v>472</v>
      </c>
      <c r="D120" s="95" t="s">
        <v>47</v>
      </c>
      <c r="E120" s="95" t="s">
        <v>456</v>
      </c>
      <c r="F120" s="95" t="s">
        <v>473</v>
      </c>
      <c r="G120" s="97">
        <v>4</v>
      </c>
      <c r="H120" s="97">
        <v>6</v>
      </c>
      <c r="I120" s="97">
        <v>2025</v>
      </c>
      <c r="J120" s="97">
        <v>339</v>
      </c>
      <c r="K120" s="97" t="s">
        <v>461</v>
      </c>
      <c r="L120" s="98" t="s">
        <v>462</v>
      </c>
      <c r="M120" s="95">
        <v>2</v>
      </c>
      <c r="N120" s="97"/>
      <c r="O120" s="95"/>
      <c r="P120" s="99"/>
      <c r="Q120" s="99"/>
      <c r="R120" s="99"/>
      <c r="S120" s="95" t="s">
        <v>394</v>
      </c>
      <c r="T120" s="174">
        <v>450</v>
      </c>
      <c r="U120" s="94">
        <v>3485</v>
      </c>
      <c r="V120" s="100"/>
      <c r="W120" s="100"/>
      <c r="X120" s="100"/>
      <c r="Y120" s="100"/>
      <c r="Z120" s="122" t="s">
        <v>0</v>
      </c>
      <c r="AA120" s="100" t="s">
        <v>58</v>
      </c>
      <c r="AB120" s="100"/>
      <c r="AC120" s="100"/>
      <c r="AD120" s="100"/>
      <c r="AE120" s="102">
        <v>20</v>
      </c>
      <c r="AF120" s="105">
        <v>55</v>
      </c>
      <c r="AG120" s="105">
        <v>40</v>
      </c>
      <c r="AH120" s="127">
        <v>47</v>
      </c>
      <c r="AI120" s="102">
        <v>3.47</v>
      </c>
      <c r="AJ120" s="105"/>
      <c r="AK120" s="105">
        <v>0</v>
      </c>
      <c r="AL120" s="108"/>
      <c r="AM120" s="109"/>
      <c r="AN120" s="114"/>
      <c r="AO120" s="108"/>
      <c r="AP120" s="108"/>
      <c r="AQ120" s="109"/>
      <c r="AR120" s="109"/>
      <c r="AS120" s="128"/>
      <c r="AT120" s="128"/>
      <c r="AU120" s="125"/>
      <c r="AV120" s="120" t="s">
        <v>54</v>
      </c>
      <c r="AW120" s="128"/>
      <c r="AX120" s="138">
        <v>120</v>
      </c>
    </row>
    <row r="121" spans="1:50" ht="21" x14ac:dyDescent="0.25">
      <c r="A121" s="138">
        <v>121</v>
      </c>
      <c r="B121" s="94"/>
      <c r="C121" s="95" t="s">
        <v>472</v>
      </c>
      <c r="D121" s="95" t="s">
        <v>47</v>
      </c>
      <c r="E121" s="95" t="s">
        <v>456</v>
      </c>
      <c r="F121" s="95" t="s">
        <v>473</v>
      </c>
      <c r="G121" s="97">
        <v>4</v>
      </c>
      <c r="H121" s="97">
        <v>6</v>
      </c>
      <c r="I121" s="97">
        <v>2025</v>
      </c>
      <c r="J121" s="97">
        <v>339</v>
      </c>
      <c r="K121" s="97" t="s">
        <v>461</v>
      </c>
      <c r="L121" s="98" t="s">
        <v>462</v>
      </c>
      <c r="M121" s="95">
        <v>2</v>
      </c>
      <c r="N121" s="97"/>
      <c r="O121" s="95"/>
      <c r="P121" s="99"/>
      <c r="Q121" s="99"/>
      <c r="R121" s="99"/>
      <c r="S121" s="95" t="s">
        <v>349</v>
      </c>
      <c r="T121" s="174">
        <v>451</v>
      </c>
      <c r="U121" s="94">
        <v>3440</v>
      </c>
      <c r="V121" s="100"/>
      <c r="W121" s="100"/>
      <c r="X121" s="100"/>
      <c r="Y121" s="100"/>
      <c r="Z121" s="122" t="s">
        <v>0</v>
      </c>
      <c r="AA121" s="100" t="s">
        <v>58</v>
      </c>
      <c r="AB121" s="100"/>
      <c r="AC121" s="100"/>
      <c r="AD121" s="100"/>
      <c r="AE121" s="102">
        <v>14.7</v>
      </c>
      <c r="AF121" s="105">
        <v>83</v>
      </c>
      <c r="AG121" s="105">
        <v>68</v>
      </c>
      <c r="AH121" s="127">
        <v>75</v>
      </c>
      <c r="AI121" s="102">
        <v>6.49</v>
      </c>
      <c r="AJ121" s="105"/>
      <c r="AK121" s="105">
        <v>0</v>
      </c>
      <c r="AL121" s="108"/>
      <c r="AM121" s="109"/>
      <c r="AN121" s="114"/>
      <c r="AO121" s="108"/>
      <c r="AP121" s="108"/>
      <c r="AQ121" s="108"/>
      <c r="AR121" s="109"/>
      <c r="AS121" s="128"/>
      <c r="AT121" s="128"/>
      <c r="AU121" s="125"/>
      <c r="AV121" s="120" t="s">
        <v>54</v>
      </c>
      <c r="AW121" s="128"/>
      <c r="AX121" s="138">
        <v>121</v>
      </c>
    </row>
    <row r="122" spans="1:50" ht="21" x14ac:dyDescent="0.25">
      <c r="A122" s="138">
        <v>122</v>
      </c>
      <c r="B122" s="94"/>
      <c r="C122" s="95" t="s">
        <v>472</v>
      </c>
      <c r="D122" s="95" t="s">
        <v>47</v>
      </c>
      <c r="E122" s="95" t="s">
        <v>456</v>
      </c>
      <c r="F122" s="95" t="s">
        <v>473</v>
      </c>
      <c r="G122" s="97">
        <v>4</v>
      </c>
      <c r="H122" s="97">
        <v>6</v>
      </c>
      <c r="I122" s="97">
        <v>2025</v>
      </c>
      <c r="J122" s="97">
        <v>339</v>
      </c>
      <c r="K122" s="97" t="s">
        <v>461</v>
      </c>
      <c r="L122" s="98" t="s">
        <v>462</v>
      </c>
      <c r="M122" s="95">
        <v>2</v>
      </c>
      <c r="N122" s="97"/>
      <c r="O122" s="98"/>
      <c r="P122" s="99"/>
      <c r="Q122" s="99"/>
      <c r="R122" s="99"/>
      <c r="S122" s="116" t="s">
        <v>356</v>
      </c>
      <c r="T122" s="174">
        <v>452</v>
      </c>
      <c r="U122" s="175">
        <v>3447</v>
      </c>
      <c r="V122" s="100"/>
      <c r="W122" s="117"/>
      <c r="X122" s="117"/>
      <c r="Y122" s="117"/>
      <c r="Z122" s="106" t="s">
        <v>0</v>
      </c>
      <c r="AA122" s="117" t="s">
        <v>58</v>
      </c>
      <c r="AB122" s="117"/>
      <c r="AC122" s="117"/>
      <c r="AD122" s="117"/>
      <c r="AE122" s="119">
        <v>21.2</v>
      </c>
      <c r="AF122" s="112">
        <v>86</v>
      </c>
      <c r="AG122" s="112">
        <v>60</v>
      </c>
      <c r="AH122" s="113">
        <v>73</v>
      </c>
      <c r="AI122" s="118">
        <v>8.02</v>
      </c>
      <c r="AJ122" s="112">
        <v>20</v>
      </c>
      <c r="AK122" s="112">
        <v>9.6</v>
      </c>
      <c r="AL122" s="113"/>
      <c r="AM122" s="106"/>
      <c r="AN122" s="114"/>
      <c r="AO122" s="108"/>
      <c r="AP122" s="108"/>
      <c r="AQ122" s="113"/>
      <c r="AR122" s="106"/>
      <c r="AS122" s="110"/>
      <c r="AT122" s="110"/>
      <c r="AU122" s="110"/>
      <c r="AV122" s="112" t="s">
        <v>54</v>
      </c>
      <c r="AW122" s="110"/>
      <c r="AX122" s="138">
        <v>122</v>
      </c>
    </row>
    <row r="123" spans="1:50" ht="21" x14ac:dyDescent="0.25">
      <c r="A123" s="138">
        <v>123</v>
      </c>
      <c r="B123" s="94"/>
      <c r="C123" s="95" t="s">
        <v>472</v>
      </c>
      <c r="D123" s="95" t="s">
        <v>47</v>
      </c>
      <c r="E123" s="95" t="s">
        <v>456</v>
      </c>
      <c r="F123" s="95" t="s">
        <v>473</v>
      </c>
      <c r="G123" s="97">
        <v>4</v>
      </c>
      <c r="H123" s="97">
        <v>6</v>
      </c>
      <c r="I123" s="97">
        <v>2025</v>
      </c>
      <c r="J123" s="97">
        <v>339</v>
      </c>
      <c r="K123" s="97" t="s">
        <v>461</v>
      </c>
      <c r="L123" s="98" t="s">
        <v>462</v>
      </c>
      <c r="M123" s="95">
        <v>2</v>
      </c>
      <c r="N123" s="97"/>
      <c r="O123" s="98"/>
      <c r="P123" s="99"/>
      <c r="Q123" s="99"/>
      <c r="R123" s="99"/>
      <c r="S123" s="98" t="s">
        <v>206</v>
      </c>
      <c r="T123" s="174">
        <v>453</v>
      </c>
      <c r="U123" s="94">
        <v>2890</v>
      </c>
      <c r="V123" s="100"/>
      <c r="W123" s="100"/>
      <c r="X123" s="100"/>
      <c r="Y123" s="100"/>
      <c r="Z123" s="101" t="s">
        <v>0</v>
      </c>
      <c r="AA123" s="100" t="s">
        <v>58</v>
      </c>
      <c r="AB123" s="100"/>
      <c r="AC123" s="100"/>
      <c r="AD123" s="100"/>
      <c r="AE123" s="102">
        <v>9.5</v>
      </c>
      <c r="AF123" s="103">
        <v>58</v>
      </c>
      <c r="AG123" s="103">
        <v>48</v>
      </c>
      <c r="AH123" s="104">
        <v>53</v>
      </c>
      <c r="AI123" s="102">
        <v>2.1</v>
      </c>
      <c r="AJ123" s="105"/>
      <c r="AK123" s="105">
        <v>0</v>
      </c>
      <c r="AL123" s="113"/>
      <c r="AM123" s="113"/>
      <c r="AN123" s="114"/>
      <c r="AO123" s="108"/>
      <c r="AP123" s="108"/>
      <c r="AQ123" s="106"/>
      <c r="AR123" s="106"/>
      <c r="AS123" s="110"/>
      <c r="AT123" s="110"/>
      <c r="AU123" s="111"/>
      <c r="AV123" s="112" t="s">
        <v>54</v>
      </c>
      <c r="AW123" s="110"/>
      <c r="AX123" s="138">
        <v>123</v>
      </c>
    </row>
    <row r="124" spans="1:50" ht="21" x14ac:dyDescent="0.25">
      <c r="A124" s="138">
        <v>124</v>
      </c>
      <c r="B124" s="94"/>
      <c r="C124" s="95" t="s">
        <v>472</v>
      </c>
      <c r="D124" s="95" t="s">
        <v>47</v>
      </c>
      <c r="E124" s="95" t="s">
        <v>456</v>
      </c>
      <c r="F124" s="95" t="s">
        <v>473</v>
      </c>
      <c r="G124" s="97">
        <v>4</v>
      </c>
      <c r="H124" s="97">
        <v>6</v>
      </c>
      <c r="I124" s="97">
        <v>2025</v>
      </c>
      <c r="J124" s="97">
        <v>339</v>
      </c>
      <c r="K124" s="97" t="s">
        <v>461</v>
      </c>
      <c r="L124" s="98" t="s">
        <v>462</v>
      </c>
      <c r="M124" s="95">
        <v>2</v>
      </c>
      <c r="N124" s="97"/>
      <c r="O124" s="98"/>
      <c r="P124" s="99"/>
      <c r="Q124" s="99"/>
      <c r="R124" s="99"/>
      <c r="S124" s="98" t="s">
        <v>373</v>
      </c>
      <c r="T124" s="174">
        <v>454</v>
      </c>
      <c r="U124" s="94">
        <v>3464</v>
      </c>
      <c r="V124" s="100"/>
      <c r="W124" s="100"/>
      <c r="X124" s="100"/>
      <c r="Y124" s="100"/>
      <c r="Z124" s="101" t="s">
        <v>0</v>
      </c>
      <c r="AA124" s="100" t="s">
        <v>58</v>
      </c>
      <c r="AB124" s="100"/>
      <c r="AC124" s="100"/>
      <c r="AD124" s="100"/>
      <c r="AE124" s="102">
        <v>16.100000000000001</v>
      </c>
      <c r="AF124" s="103">
        <v>93</v>
      </c>
      <c r="AG124" s="103">
        <v>75</v>
      </c>
      <c r="AH124" s="104">
        <v>84</v>
      </c>
      <c r="AI124" s="102">
        <v>8.92</v>
      </c>
      <c r="AJ124" s="105"/>
      <c r="AK124" s="105">
        <v>0</v>
      </c>
      <c r="AL124" s="113"/>
      <c r="AM124" s="106"/>
      <c r="AN124" s="131"/>
      <c r="AO124" s="108"/>
      <c r="AP124" s="108"/>
      <c r="AQ124" s="108"/>
      <c r="AR124" s="109"/>
      <c r="AS124" s="110"/>
      <c r="AT124" s="110"/>
      <c r="AU124" s="111"/>
      <c r="AV124" s="112" t="s">
        <v>54</v>
      </c>
      <c r="AW124" s="110"/>
      <c r="AX124" s="138">
        <v>124</v>
      </c>
    </row>
    <row r="125" spans="1:50" ht="21" x14ac:dyDescent="0.25">
      <c r="A125" s="138">
        <v>125</v>
      </c>
      <c r="B125" s="94"/>
      <c r="C125" s="95" t="s">
        <v>472</v>
      </c>
      <c r="D125" s="95" t="s">
        <v>47</v>
      </c>
      <c r="E125" s="95" t="s">
        <v>456</v>
      </c>
      <c r="F125" s="95" t="s">
        <v>473</v>
      </c>
      <c r="G125" s="97">
        <v>4</v>
      </c>
      <c r="H125" s="97">
        <v>6</v>
      </c>
      <c r="I125" s="97">
        <v>2025</v>
      </c>
      <c r="J125" s="97">
        <v>339</v>
      </c>
      <c r="K125" s="97" t="s">
        <v>461</v>
      </c>
      <c r="L125" s="98" t="s">
        <v>462</v>
      </c>
      <c r="M125" s="95">
        <v>2</v>
      </c>
      <c r="N125" s="97"/>
      <c r="O125" s="98"/>
      <c r="P125" s="99"/>
      <c r="Q125" s="99"/>
      <c r="R125" s="99"/>
      <c r="S125" s="98" t="s">
        <v>390</v>
      </c>
      <c r="T125" s="174">
        <v>455</v>
      </c>
      <c r="U125" s="94">
        <v>3481</v>
      </c>
      <c r="V125" s="100"/>
      <c r="W125" s="100"/>
      <c r="X125" s="100"/>
      <c r="Y125" s="100"/>
      <c r="Z125" s="101" t="s">
        <v>0</v>
      </c>
      <c r="AA125" s="100" t="s">
        <v>58</v>
      </c>
      <c r="AB125" s="100"/>
      <c r="AC125" s="100"/>
      <c r="AD125" s="100"/>
      <c r="AE125" s="102">
        <v>16.600000000000001</v>
      </c>
      <c r="AF125" s="103">
        <v>78</v>
      </c>
      <c r="AG125" s="103">
        <v>63</v>
      </c>
      <c r="AH125" s="104">
        <v>70</v>
      </c>
      <c r="AI125" s="102">
        <v>6.22</v>
      </c>
      <c r="AJ125" s="105">
        <v>10</v>
      </c>
      <c r="AK125" s="105">
        <v>2.6</v>
      </c>
      <c r="AL125" s="106"/>
      <c r="AM125" s="106"/>
      <c r="AN125" s="107"/>
      <c r="AO125" s="106"/>
      <c r="AP125" s="106"/>
      <c r="AQ125" s="108"/>
      <c r="AR125" s="109"/>
      <c r="AS125" s="110"/>
      <c r="AT125" s="110"/>
      <c r="AU125" s="111"/>
      <c r="AV125" s="112" t="s">
        <v>54</v>
      </c>
      <c r="AW125" s="110"/>
      <c r="AX125" s="138">
        <v>125</v>
      </c>
    </row>
    <row r="126" spans="1:50" ht="21" x14ac:dyDescent="0.25">
      <c r="A126" s="138">
        <v>126</v>
      </c>
      <c r="B126" s="94"/>
      <c r="C126" s="95" t="s">
        <v>472</v>
      </c>
      <c r="D126" s="95" t="s">
        <v>47</v>
      </c>
      <c r="E126" s="95" t="s">
        <v>456</v>
      </c>
      <c r="F126" s="95" t="s">
        <v>473</v>
      </c>
      <c r="G126" s="97">
        <v>4</v>
      </c>
      <c r="H126" s="97">
        <v>6</v>
      </c>
      <c r="I126" s="97">
        <v>2025</v>
      </c>
      <c r="J126" s="97">
        <v>339</v>
      </c>
      <c r="K126" s="97" t="s">
        <v>461</v>
      </c>
      <c r="L126" s="98" t="s">
        <v>462</v>
      </c>
      <c r="M126" s="95">
        <v>2</v>
      </c>
      <c r="N126" s="97"/>
      <c r="O126" s="98"/>
      <c r="P126" s="99"/>
      <c r="Q126" s="99"/>
      <c r="R126" s="99"/>
      <c r="S126" s="98" t="s">
        <v>372</v>
      </c>
      <c r="T126" s="174">
        <v>456</v>
      </c>
      <c r="U126" s="94">
        <v>3463</v>
      </c>
      <c r="V126" s="100"/>
      <c r="W126" s="100"/>
      <c r="X126" s="100"/>
      <c r="Y126" s="100"/>
      <c r="Z126" s="101" t="s">
        <v>0</v>
      </c>
      <c r="AA126" s="100" t="s">
        <v>58</v>
      </c>
      <c r="AB126" s="100"/>
      <c r="AC126" s="100"/>
      <c r="AD126" s="100"/>
      <c r="AE126" s="121">
        <v>19.8</v>
      </c>
      <c r="AF126" s="103">
        <v>80</v>
      </c>
      <c r="AG126" s="103">
        <v>58</v>
      </c>
      <c r="AH126" s="104">
        <v>69</v>
      </c>
      <c r="AI126" s="121">
        <v>7.4</v>
      </c>
      <c r="AJ126" s="103"/>
      <c r="AK126" s="103">
        <v>0</v>
      </c>
      <c r="AL126" s="113">
        <v>13</v>
      </c>
      <c r="AM126" s="106">
        <f>COUNT(AI119:AI126)</f>
        <v>8</v>
      </c>
      <c r="AN126" s="114">
        <f>SUM(AI119:AI126)</f>
        <v>45.67</v>
      </c>
      <c r="AO126" s="108"/>
      <c r="AP126" s="108"/>
      <c r="AQ126" s="108"/>
      <c r="AR126" s="109"/>
      <c r="AS126" s="110"/>
      <c r="AT126" s="110"/>
      <c r="AU126" s="111"/>
      <c r="AV126" s="112" t="s">
        <v>54</v>
      </c>
      <c r="AW126" s="110"/>
      <c r="AX126" s="138">
        <v>126</v>
      </c>
    </row>
    <row r="127" spans="1:50" ht="21" x14ac:dyDescent="0.25">
      <c r="A127" s="138">
        <v>127</v>
      </c>
      <c r="B127" s="94">
        <v>14</v>
      </c>
      <c r="C127" s="95" t="s">
        <v>467</v>
      </c>
      <c r="D127" s="95" t="s">
        <v>47</v>
      </c>
      <c r="E127" s="95" t="s">
        <v>48</v>
      </c>
      <c r="F127" s="95" t="s">
        <v>473</v>
      </c>
      <c r="G127" s="97">
        <v>4</v>
      </c>
      <c r="H127" s="97">
        <v>6</v>
      </c>
      <c r="I127" s="97">
        <v>2025</v>
      </c>
      <c r="J127" s="97">
        <v>332</v>
      </c>
      <c r="K127" s="97" t="s">
        <v>459</v>
      </c>
      <c r="L127" s="98" t="s">
        <v>460</v>
      </c>
      <c r="M127" s="95">
        <v>2</v>
      </c>
      <c r="N127" s="97"/>
      <c r="O127" s="98"/>
      <c r="P127" s="99"/>
      <c r="Q127" s="99"/>
      <c r="R127" s="99"/>
      <c r="S127" s="116" t="s">
        <v>370</v>
      </c>
      <c r="T127" s="174">
        <v>457</v>
      </c>
      <c r="U127" s="175">
        <v>3461</v>
      </c>
      <c r="V127" s="100"/>
      <c r="W127" s="117"/>
      <c r="X127" s="117"/>
      <c r="Y127" s="117"/>
      <c r="Z127" s="106" t="s">
        <v>0</v>
      </c>
      <c r="AA127" s="117" t="s">
        <v>58</v>
      </c>
      <c r="AB127" s="117"/>
      <c r="AC127" s="117"/>
      <c r="AD127" s="117"/>
      <c r="AE127" s="119">
        <v>13.2</v>
      </c>
      <c r="AF127" s="112">
        <v>65</v>
      </c>
      <c r="AG127" s="112">
        <v>51</v>
      </c>
      <c r="AH127" s="113">
        <v>58</v>
      </c>
      <c r="AI127" s="118">
        <v>3.49</v>
      </c>
      <c r="AJ127" s="112"/>
      <c r="AK127" s="112">
        <v>0</v>
      </c>
      <c r="AL127" s="113"/>
      <c r="AM127" s="106"/>
      <c r="AN127" s="131"/>
      <c r="AO127" s="108"/>
      <c r="AP127" s="108"/>
      <c r="AQ127" s="108"/>
      <c r="AR127" s="109"/>
      <c r="AS127" s="110"/>
      <c r="AT127" s="110"/>
      <c r="AU127" s="110"/>
      <c r="AV127" s="112" t="s">
        <v>54</v>
      </c>
      <c r="AW127" s="110"/>
      <c r="AX127" s="138">
        <v>127</v>
      </c>
    </row>
    <row r="128" spans="1:50" ht="21" x14ac:dyDescent="0.25">
      <c r="A128" s="138">
        <v>128</v>
      </c>
      <c r="B128" s="94"/>
      <c r="C128" s="95" t="s">
        <v>467</v>
      </c>
      <c r="D128" s="95" t="s">
        <v>47</v>
      </c>
      <c r="E128" s="95" t="s">
        <v>48</v>
      </c>
      <c r="F128" s="95" t="s">
        <v>473</v>
      </c>
      <c r="G128" s="97">
        <v>4</v>
      </c>
      <c r="H128" s="97">
        <v>6</v>
      </c>
      <c r="I128" s="97">
        <v>2025</v>
      </c>
      <c r="J128" s="97">
        <v>332</v>
      </c>
      <c r="K128" s="97" t="s">
        <v>459</v>
      </c>
      <c r="L128" s="98" t="s">
        <v>460</v>
      </c>
      <c r="M128" s="95">
        <v>2</v>
      </c>
      <c r="N128" s="97"/>
      <c r="O128" s="95"/>
      <c r="P128" s="99"/>
      <c r="Q128" s="99"/>
      <c r="R128" s="99"/>
      <c r="S128" s="95" t="s">
        <v>352</v>
      </c>
      <c r="T128" s="174">
        <v>458</v>
      </c>
      <c r="U128" s="94">
        <v>3443</v>
      </c>
      <c r="V128" s="100"/>
      <c r="W128" s="100"/>
      <c r="X128" s="100"/>
      <c r="Y128" s="100"/>
      <c r="Z128" s="122" t="s">
        <v>0</v>
      </c>
      <c r="AA128" s="100" t="s">
        <v>58</v>
      </c>
      <c r="AB128" s="100"/>
      <c r="AC128" s="100"/>
      <c r="AD128" s="100"/>
      <c r="AE128" s="102">
        <v>20.2</v>
      </c>
      <c r="AF128" s="105">
        <v>57</v>
      </c>
      <c r="AG128" s="105">
        <v>38</v>
      </c>
      <c r="AH128" s="127">
        <v>47</v>
      </c>
      <c r="AI128" s="102">
        <v>3.5</v>
      </c>
      <c r="AJ128" s="105"/>
      <c r="AK128" s="105">
        <v>0</v>
      </c>
      <c r="AL128" s="108"/>
      <c r="AM128" s="109"/>
      <c r="AN128" s="131"/>
      <c r="AO128" s="108"/>
      <c r="AP128" s="108"/>
      <c r="AQ128" s="108"/>
      <c r="AR128" s="109"/>
      <c r="AS128" s="128"/>
      <c r="AT128" s="128"/>
      <c r="AU128" s="125"/>
      <c r="AV128" s="120" t="s">
        <v>54</v>
      </c>
      <c r="AW128" s="128"/>
      <c r="AX128" s="138">
        <v>395</v>
      </c>
    </row>
    <row r="129" spans="1:50" ht="21" x14ac:dyDescent="0.25">
      <c r="A129" s="138">
        <v>129</v>
      </c>
      <c r="B129" s="94"/>
      <c r="C129" s="95" t="s">
        <v>467</v>
      </c>
      <c r="D129" s="95" t="s">
        <v>47</v>
      </c>
      <c r="E129" s="95" t="s">
        <v>48</v>
      </c>
      <c r="F129" s="95" t="s">
        <v>473</v>
      </c>
      <c r="G129" s="97">
        <v>4</v>
      </c>
      <c r="H129" s="97">
        <v>6</v>
      </c>
      <c r="I129" s="97">
        <v>2025</v>
      </c>
      <c r="J129" s="97">
        <v>332</v>
      </c>
      <c r="K129" s="97" t="s">
        <v>459</v>
      </c>
      <c r="L129" s="98" t="s">
        <v>460</v>
      </c>
      <c r="M129" s="95">
        <v>2</v>
      </c>
      <c r="N129" s="97"/>
      <c r="O129" s="98"/>
      <c r="P129" s="99"/>
      <c r="Q129" s="99"/>
      <c r="R129" s="99"/>
      <c r="S129" s="116" t="s">
        <v>70</v>
      </c>
      <c r="T129" s="174">
        <v>459</v>
      </c>
      <c r="U129" s="175">
        <v>194</v>
      </c>
      <c r="V129" s="100"/>
      <c r="W129" s="117"/>
      <c r="X129" s="117"/>
      <c r="Y129" s="117"/>
      <c r="Z129" s="101" t="s">
        <v>0</v>
      </c>
      <c r="AA129" s="100" t="s">
        <v>58</v>
      </c>
      <c r="AB129" s="100"/>
      <c r="AC129" s="100"/>
      <c r="AD129" s="117"/>
      <c r="AE129" s="118">
        <v>15.4</v>
      </c>
      <c r="AF129" s="112">
        <v>51</v>
      </c>
      <c r="AG129" s="112">
        <v>45</v>
      </c>
      <c r="AH129" s="113">
        <v>48</v>
      </c>
      <c r="AI129" s="119">
        <v>2.79</v>
      </c>
      <c r="AJ129" s="120"/>
      <c r="AK129" s="120">
        <v>0</v>
      </c>
      <c r="AL129" s="113"/>
      <c r="AM129" s="106"/>
      <c r="AN129" s="114"/>
      <c r="AO129" s="108"/>
      <c r="AP129" s="108"/>
      <c r="AQ129" s="106"/>
      <c r="AR129" s="106"/>
      <c r="AS129" s="110"/>
      <c r="AT129" s="110"/>
      <c r="AU129" s="110"/>
      <c r="AV129" s="112" t="s">
        <v>54</v>
      </c>
      <c r="AW129" s="110"/>
      <c r="AX129" s="138">
        <v>129</v>
      </c>
    </row>
    <row r="130" spans="1:50" ht="21" x14ac:dyDescent="0.25">
      <c r="A130" s="138">
        <v>130</v>
      </c>
      <c r="B130" s="94"/>
      <c r="C130" s="95" t="s">
        <v>467</v>
      </c>
      <c r="D130" s="95" t="s">
        <v>47</v>
      </c>
      <c r="E130" s="95" t="s">
        <v>48</v>
      </c>
      <c r="F130" s="95" t="s">
        <v>473</v>
      </c>
      <c r="G130" s="97">
        <v>4</v>
      </c>
      <c r="H130" s="97">
        <v>6</v>
      </c>
      <c r="I130" s="97">
        <v>2025</v>
      </c>
      <c r="J130" s="97">
        <v>332</v>
      </c>
      <c r="K130" s="97" t="s">
        <v>459</v>
      </c>
      <c r="L130" s="98" t="s">
        <v>460</v>
      </c>
      <c r="M130" s="95">
        <v>2</v>
      </c>
      <c r="N130" s="97"/>
      <c r="O130" s="98"/>
      <c r="P130" s="99"/>
      <c r="Q130" s="99"/>
      <c r="R130" s="99"/>
      <c r="S130" s="116" t="s">
        <v>386</v>
      </c>
      <c r="T130" s="174">
        <v>460</v>
      </c>
      <c r="U130" s="175">
        <v>3477</v>
      </c>
      <c r="V130" s="100"/>
      <c r="W130" s="117"/>
      <c r="X130" s="117"/>
      <c r="Y130" s="117"/>
      <c r="Z130" s="106" t="s">
        <v>0</v>
      </c>
      <c r="AA130" s="117" t="s">
        <v>58</v>
      </c>
      <c r="AB130" s="117"/>
      <c r="AC130" s="117"/>
      <c r="AD130" s="117"/>
      <c r="AE130" s="119">
        <v>19.2</v>
      </c>
      <c r="AF130" s="112">
        <v>73</v>
      </c>
      <c r="AG130" s="112">
        <v>54</v>
      </c>
      <c r="AH130" s="113">
        <v>63</v>
      </c>
      <c r="AI130" s="119">
        <v>5.99</v>
      </c>
      <c r="AJ130" s="120"/>
      <c r="AK130" s="120">
        <v>0</v>
      </c>
      <c r="AL130" s="113"/>
      <c r="AM130" s="106"/>
      <c r="AN130" s="114"/>
      <c r="AO130" s="108"/>
      <c r="AP130" s="108"/>
      <c r="AQ130" s="106"/>
      <c r="AR130" s="106"/>
      <c r="AS130" s="110"/>
      <c r="AT130" s="110"/>
      <c r="AU130" s="110"/>
      <c r="AV130" s="112" t="s">
        <v>54</v>
      </c>
      <c r="AW130" s="110"/>
      <c r="AX130" s="138">
        <v>130</v>
      </c>
    </row>
    <row r="131" spans="1:50" ht="21" x14ac:dyDescent="0.25">
      <c r="A131" s="138">
        <v>131</v>
      </c>
      <c r="B131" s="94"/>
      <c r="C131" s="95" t="s">
        <v>467</v>
      </c>
      <c r="D131" s="95" t="s">
        <v>47</v>
      </c>
      <c r="E131" s="95" t="s">
        <v>48</v>
      </c>
      <c r="F131" s="95" t="s">
        <v>473</v>
      </c>
      <c r="G131" s="97">
        <v>4</v>
      </c>
      <c r="H131" s="97">
        <v>6</v>
      </c>
      <c r="I131" s="97">
        <v>2025</v>
      </c>
      <c r="J131" s="97">
        <v>332</v>
      </c>
      <c r="K131" s="97" t="s">
        <v>459</v>
      </c>
      <c r="L131" s="98" t="s">
        <v>460</v>
      </c>
      <c r="M131" s="95">
        <v>2</v>
      </c>
      <c r="N131" s="97"/>
      <c r="O131" s="98"/>
      <c r="P131" s="99"/>
      <c r="Q131" s="99"/>
      <c r="R131" s="99"/>
      <c r="S131" s="98" t="s">
        <v>378</v>
      </c>
      <c r="T131" s="174">
        <v>461</v>
      </c>
      <c r="U131" s="94">
        <v>3469</v>
      </c>
      <c r="V131" s="100"/>
      <c r="W131" s="100"/>
      <c r="X131" s="100"/>
      <c r="Y131" s="100"/>
      <c r="Z131" s="101" t="s">
        <v>1</v>
      </c>
      <c r="AA131" s="100" t="s">
        <v>58</v>
      </c>
      <c r="AB131" s="100"/>
      <c r="AC131" s="100"/>
      <c r="AD131" s="100"/>
      <c r="AE131" s="102">
        <v>20.5</v>
      </c>
      <c r="AF131" s="103">
        <v>66</v>
      </c>
      <c r="AG131" s="103">
        <v>48</v>
      </c>
      <c r="AH131" s="104">
        <v>57</v>
      </c>
      <c r="AI131" s="102">
        <v>5.23</v>
      </c>
      <c r="AJ131" s="105"/>
      <c r="AK131" s="105">
        <v>0</v>
      </c>
      <c r="AL131" s="113"/>
      <c r="AM131" s="106"/>
      <c r="AN131" s="131"/>
      <c r="AO131" s="108"/>
      <c r="AP131" s="108"/>
      <c r="AQ131" s="108"/>
      <c r="AR131" s="109"/>
      <c r="AS131" s="110"/>
      <c r="AT131" s="110"/>
      <c r="AU131" s="111"/>
      <c r="AV131" s="112" t="s">
        <v>54</v>
      </c>
      <c r="AW131" s="110"/>
      <c r="AX131" s="138">
        <v>131</v>
      </c>
    </row>
    <row r="132" spans="1:50" ht="21" x14ac:dyDescent="0.25">
      <c r="A132" s="138">
        <v>132</v>
      </c>
      <c r="B132" s="94"/>
      <c r="C132" s="95" t="s">
        <v>467</v>
      </c>
      <c r="D132" s="95" t="s">
        <v>47</v>
      </c>
      <c r="E132" s="95" t="s">
        <v>48</v>
      </c>
      <c r="F132" s="95" t="s">
        <v>473</v>
      </c>
      <c r="G132" s="97">
        <v>4</v>
      </c>
      <c r="H132" s="97">
        <v>6</v>
      </c>
      <c r="I132" s="97">
        <v>2025</v>
      </c>
      <c r="J132" s="97">
        <v>332</v>
      </c>
      <c r="K132" s="97" t="s">
        <v>459</v>
      </c>
      <c r="L132" s="98" t="s">
        <v>460</v>
      </c>
      <c r="M132" s="95">
        <v>2</v>
      </c>
      <c r="N132" s="97"/>
      <c r="O132" s="98"/>
      <c r="P132" s="99"/>
      <c r="Q132" s="99"/>
      <c r="R132" s="99"/>
      <c r="S132" s="98"/>
      <c r="T132" s="174">
        <v>462</v>
      </c>
      <c r="U132" s="94">
        <v>2530</v>
      </c>
      <c r="V132" s="100"/>
      <c r="W132" s="100"/>
      <c r="X132" s="100"/>
      <c r="Y132" s="100"/>
      <c r="Z132" s="122" t="s">
        <v>0</v>
      </c>
      <c r="AA132" s="100"/>
      <c r="AB132" s="100"/>
      <c r="AC132" s="100"/>
      <c r="AD132" s="100"/>
      <c r="AE132" s="102">
        <v>8.9</v>
      </c>
      <c r="AF132" s="103"/>
      <c r="AG132" s="103"/>
      <c r="AH132" s="104">
        <v>117</v>
      </c>
      <c r="AI132" s="102">
        <v>8.6</v>
      </c>
      <c r="AJ132" s="105"/>
      <c r="AK132" s="105"/>
      <c r="AL132" s="113"/>
      <c r="AM132" s="106"/>
      <c r="AN132" s="131"/>
      <c r="AO132" s="108"/>
      <c r="AP132" s="108"/>
      <c r="AQ132" s="108"/>
      <c r="AR132" s="109"/>
      <c r="AS132" s="110"/>
      <c r="AT132" s="110"/>
      <c r="AU132" s="111"/>
      <c r="AV132" s="112"/>
      <c r="AW132" s="110"/>
      <c r="AX132" s="138">
        <v>132</v>
      </c>
    </row>
    <row r="133" spans="1:50" ht="21" x14ac:dyDescent="0.25">
      <c r="A133" s="138">
        <v>133</v>
      </c>
      <c r="B133" s="94"/>
      <c r="C133" s="95" t="s">
        <v>467</v>
      </c>
      <c r="D133" s="95" t="s">
        <v>47</v>
      </c>
      <c r="E133" s="95" t="s">
        <v>48</v>
      </c>
      <c r="F133" s="95" t="s">
        <v>473</v>
      </c>
      <c r="G133" s="97">
        <v>4</v>
      </c>
      <c r="H133" s="97">
        <v>6</v>
      </c>
      <c r="I133" s="97">
        <v>2025</v>
      </c>
      <c r="J133" s="97">
        <v>332</v>
      </c>
      <c r="K133" s="97" t="s">
        <v>459</v>
      </c>
      <c r="L133" s="98" t="s">
        <v>460</v>
      </c>
      <c r="M133" s="95">
        <v>2</v>
      </c>
      <c r="N133" s="97"/>
      <c r="O133" s="95"/>
      <c r="P133" s="99"/>
      <c r="Q133" s="99"/>
      <c r="R133" s="99"/>
      <c r="S133" s="95" t="s">
        <v>239</v>
      </c>
      <c r="T133" s="174">
        <v>463</v>
      </c>
      <c r="U133" s="94">
        <v>3015</v>
      </c>
      <c r="V133" s="100"/>
      <c r="W133" s="100"/>
      <c r="X133" s="100"/>
      <c r="Y133" s="100"/>
      <c r="Z133" s="122" t="s">
        <v>0</v>
      </c>
      <c r="AA133" s="100" t="s">
        <v>58</v>
      </c>
      <c r="AB133" s="100"/>
      <c r="AC133" s="100"/>
      <c r="AD133" s="100"/>
      <c r="AE133" s="102">
        <v>18.8</v>
      </c>
      <c r="AF133" s="105">
        <v>51</v>
      </c>
      <c r="AG133" s="105">
        <v>39</v>
      </c>
      <c r="AH133" s="127">
        <v>45</v>
      </c>
      <c r="AI133" s="102">
        <v>2.99</v>
      </c>
      <c r="AJ133" s="105"/>
      <c r="AK133" s="105">
        <v>0</v>
      </c>
      <c r="AL133" s="108"/>
      <c r="AM133" s="108"/>
      <c r="AN133" s="114"/>
      <c r="AO133" s="108"/>
      <c r="AP133" s="108"/>
      <c r="AQ133" s="108"/>
      <c r="AR133" s="109"/>
      <c r="AS133" s="128"/>
      <c r="AT133" s="128"/>
      <c r="AU133" s="125"/>
      <c r="AV133" s="112" t="s">
        <v>54</v>
      </c>
      <c r="AW133" s="128"/>
      <c r="AX133" s="138">
        <v>133</v>
      </c>
    </row>
    <row r="134" spans="1:50" ht="21" x14ac:dyDescent="0.25">
      <c r="A134" s="138">
        <v>134</v>
      </c>
      <c r="B134" s="94"/>
      <c r="C134" s="95" t="s">
        <v>467</v>
      </c>
      <c r="D134" s="95" t="s">
        <v>47</v>
      </c>
      <c r="E134" s="95" t="s">
        <v>48</v>
      </c>
      <c r="F134" s="95" t="s">
        <v>473</v>
      </c>
      <c r="G134" s="97">
        <v>4</v>
      </c>
      <c r="H134" s="97">
        <v>6</v>
      </c>
      <c r="I134" s="97">
        <v>2025</v>
      </c>
      <c r="J134" s="97">
        <v>332</v>
      </c>
      <c r="K134" s="97" t="s">
        <v>459</v>
      </c>
      <c r="L134" s="98" t="s">
        <v>460</v>
      </c>
      <c r="M134" s="95">
        <v>2</v>
      </c>
      <c r="N134" s="97"/>
      <c r="O134" s="98"/>
      <c r="P134" s="99"/>
      <c r="Q134" s="99"/>
      <c r="R134" s="99"/>
      <c r="S134" s="98" t="s">
        <v>345</v>
      </c>
      <c r="T134" s="174">
        <v>464</v>
      </c>
      <c r="U134" s="94">
        <v>3436</v>
      </c>
      <c r="V134" s="100"/>
      <c r="W134" s="100"/>
      <c r="X134" s="100"/>
      <c r="Y134" s="100"/>
      <c r="Z134" s="101" t="s">
        <v>0</v>
      </c>
      <c r="AA134" s="100" t="s">
        <v>58</v>
      </c>
      <c r="AB134" s="100"/>
      <c r="AC134" s="100"/>
      <c r="AD134" s="100"/>
      <c r="AE134" s="102">
        <v>20.7</v>
      </c>
      <c r="AF134" s="103">
        <v>56</v>
      </c>
      <c r="AG134" s="103">
        <v>41</v>
      </c>
      <c r="AH134" s="104">
        <v>48</v>
      </c>
      <c r="AI134" s="102">
        <v>3.75</v>
      </c>
      <c r="AJ134" s="105"/>
      <c r="AK134" s="105">
        <v>0</v>
      </c>
      <c r="AL134" s="113"/>
      <c r="AM134" s="106"/>
      <c r="AN134" s="131"/>
      <c r="AO134" s="108"/>
      <c r="AP134" s="108"/>
      <c r="AQ134" s="108"/>
      <c r="AR134" s="109"/>
      <c r="AS134" s="110"/>
      <c r="AT134" s="110"/>
      <c r="AU134" s="111"/>
      <c r="AV134" s="112" t="s">
        <v>54</v>
      </c>
      <c r="AW134" s="110"/>
      <c r="AX134" s="138">
        <v>134</v>
      </c>
    </row>
    <row r="135" spans="1:50" ht="21" x14ac:dyDescent="0.25">
      <c r="A135" s="138">
        <v>135</v>
      </c>
      <c r="B135" s="94"/>
      <c r="C135" s="95" t="s">
        <v>467</v>
      </c>
      <c r="D135" s="95" t="s">
        <v>47</v>
      </c>
      <c r="E135" s="95" t="s">
        <v>48</v>
      </c>
      <c r="F135" s="95" t="s">
        <v>473</v>
      </c>
      <c r="G135" s="97">
        <v>4</v>
      </c>
      <c r="H135" s="97">
        <v>6</v>
      </c>
      <c r="I135" s="97">
        <v>2025</v>
      </c>
      <c r="J135" s="97">
        <v>332</v>
      </c>
      <c r="K135" s="97" t="s">
        <v>459</v>
      </c>
      <c r="L135" s="98" t="s">
        <v>460</v>
      </c>
      <c r="M135" s="95">
        <v>2</v>
      </c>
      <c r="N135" s="97"/>
      <c r="O135" s="98"/>
      <c r="P135" s="99"/>
      <c r="Q135" s="99"/>
      <c r="R135" s="99"/>
      <c r="S135" s="98" t="s">
        <v>377</v>
      </c>
      <c r="T135" s="174">
        <v>465</v>
      </c>
      <c r="U135" s="94">
        <v>3468</v>
      </c>
      <c r="V135" s="100"/>
      <c r="W135" s="100"/>
      <c r="X135" s="100"/>
      <c r="Y135" s="100"/>
      <c r="Z135" s="101" t="s">
        <v>0</v>
      </c>
      <c r="AA135" s="100" t="s">
        <v>58</v>
      </c>
      <c r="AB135" s="100"/>
      <c r="AC135" s="100"/>
      <c r="AD135" s="100"/>
      <c r="AE135" s="102">
        <v>14.6</v>
      </c>
      <c r="AF135" s="103">
        <v>75</v>
      </c>
      <c r="AG135" s="103">
        <v>60</v>
      </c>
      <c r="AH135" s="104">
        <v>67</v>
      </c>
      <c r="AI135" s="102">
        <v>5.15</v>
      </c>
      <c r="AJ135" s="105"/>
      <c r="AK135" s="105">
        <v>0</v>
      </c>
      <c r="AL135" s="113">
        <v>14</v>
      </c>
      <c r="AM135" s="106">
        <f>COUNT(AI127:AI135)</f>
        <v>9</v>
      </c>
      <c r="AN135" s="131">
        <f>SUM(AI127:AI135)</f>
        <v>41.49</v>
      </c>
      <c r="AO135" s="108"/>
      <c r="AP135" s="108"/>
      <c r="AQ135" s="108"/>
      <c r="AR135" s="109"/>
      <c r="AS135" s="110"/>
      <c r="AT135" s="110"/>
      <c r="AU135" s="111"/>
      <c r="AV135" s="112" t="s">
        <v>54</v>
      </c>
      <c r="AW135" s="110"/>
      <c r="AX135" s="138">
        <v>135</v>
      </c>
    </row>
    <row r="136" spans="1:50" ht="21" x14ac:dyDescent="0.25">
      <c r="A136" s="138">
        <v>136</v>
      </c>
      <c r="B136" s="94">
        <v>15</v>
      </c>
      <c r="C136" s="95" t="s">
        <v>467</v>
      </c>
      <c r="D136" s="95" t="s">
        <v>47</v>
      </c>
      <c r="E136" s="95" t="s">
        <v>48</v>
      </c>
      <c r="F136" s="95" t="s">
        <v>473</v>
      </c>
      <c r="G136" s="97">
        <v>4</v>
      </c>
      <c r="H136" s="97">
        <v>6</v>
      </c>
      <c r="I136" s="97">
        <v>2025</v>
      </c>
      <c r="J136" s="97">
        <v>343</v>
      </c>
      <c r="K136" s="97" t="s">
        <v>457</v>
      </c>
      <c r="L136" s="98" t="s">
        <v>458</v>
      </c>
      <c r="M136" s="95">
        <v>2</v>
      </c>
      <c r="N136" s="97"/>
      <c r="O136" s="95"/>
      <c r="P136" s="99"/>
      <c r="Q136" s="99"/>
      <c r="R136" s="99"/>
      <c r="S136" s="95" t="s">
        <v>401</v>
      </c>
      <c r="T136" s="174">
        <v>466</v>
      </c>
      <c r="U136" s="94">
        <v>3493</v>
      </c>
      <c r="V136" s="100"/>
      <c r="W136" s="100"/>
      <c r="X136" s="100"/>
      <c r="Y136" s="100"/>
      <c r="Z136" s="122" t="s">
        <v>0</v>
      </c>
      <c r="AA136" s="100" t="s">
        <v>58</v>
      </c>
      <c r="AB136" s="123"/>
      <c r="AC136" s="123"/>
      <c r="AD136" s="123"/>
      <c r="AE136" s="132">
        <v>20.7</v>
      </c>
      <c r="AF136" s="105">
        <v>61</v>
      </c>
      <c r="AG136" s="105">
        <v>46</v>
      </c>
      <c r="AH136" s="127">
        <v>53</v>
      </c>
      <c r="AI136" s="132">
        <v>4.57</v>
      </c>
      <c r="AJ136" s="105"/>
      <c r="AK136" s="126">
        <v>0</v>
      </c>
      <c r="AL136" s="122"/>
      <c r="AM136" s="122"/>
      <c r="AN136" s="124"/>
      <c r="AO136" s="122"/>
      <c r="AP136" s="122"/>
      <c r="AQ136" s="122"/>
      <c r="AR136" s="122"/>
      <c r="AS136" s="125"/>
      <c r="AT136" s="125"/>
      <c r="AU136" s="125"/>
      <c r="AV136" s="120" t="s">
        <v>54</v>
      </c>
      <c r="AW136" s="125"/>
      <c r="AX136" s="138">
        <v>136</v>
      </c>
    </row>
    <row r="137" spans="1:50" ht="21" x14ac:dyDescent="0.25">
      <c r="A137" s="138">
        <v>137</v>
      </c>
      <c r="B137" s="94"/>
      <c r="C137" s="95" t="s">
        <v>467</v>
      </c>
      <c r="D137" s="95" t="s">
        <v>47</v>
      </c>
      <c r="E137" s="95" t="s">
        <v>48</v>
      </c>
      <c r="F137" s="95" t="s">
        <v>473</v>
      </c>
      <c r="G137" s="97">
        <v>4</v>
      </c>
      <c r="H137" s="97">
        <v>6</v>
      </c>
      <c r="I137" s="97">
        <v>2025</v>
      </c>
      <c r="J137" s="97">
        <v>344</v>
      </c>
      <c r="K137" s="97" t="s">
        <v>457</v>
      </c>
      <c r="L137" s="98" t="s">
        <v>458</v>
      </c>
      <c r="M137" s="95">
        <v>2</v>
      </c>
      <c r="N137" s="97"/>
      <c r="O137" s="98"/>
      <c r="P137" s="99"/>
      <c r="Q137" s="99"/>
      <c r="R137" s="99"/>
      <c r="S137" s="98" t="s">
        <v>193</v>
      </c>
      <c r="T137" s="174">
        <v>467</v>
      </c>
      <c r="U137" s="94">
        <v>2836</v>
      </c>
      <c r="V137" s="100"/>
      <c r="W137" s="100"/>
      <c r="X137" s="100"/>
      <c r="Y137" s="100"/>
      <c r="Z137" s="101" t="s">
        <v>0</v>
      </c>
      <c r="AA137" s="100" t="s">
        <v>58</v>
      </c>
      <c r="AB137" s="100"/>
      <c r="AC137" s="100"/>
      <c r="AD137" s="100"/>
      <c r="AE137" s="102">
        <v>19.2</v>
      </c>
      <c r="AF137" s="103">
        <v>55</v>
      </c>
      <c r="AG137" s="103">
        <v>43</v>
      </c>
      <c r="AH137" s="104">
        <v>49</v>
      </c>
      <c r="AI137" s="102">
        <v>3.62</v>
      </c>
      <c r="AJ137" s="105"/>
      <c r="AK137" s="105">
        <v>0</v>
      </c>
      <c r="AL137" s="106"/>
      <c r="AM137" s="106"/>
      <c r="AN137" s="107"/>
      <c r="AO137" s="106"/>
      <c r="AP137" s="106"/>
      <c r="AQ137" s="108"/>
      <c r="AR137" s="109"/>
      <c r="AS137" s="110"/>
      <c r="AT137" s="110"/>
      <c r="AU137" s="111"/>
      <c r="AV137" s="112" t="s">
        <v>54</v>
      </c>
      <c r="AW137" s="110"/>
      <c r="AX137" s="138">
        <v>137</v>
      </c>
    </row>
    <row r="138" spans="1:50" ht="21" x14ac:dyDescent="0.25">
      <c r="A138" s="138">
        <v>138</v>
      </c>
      <c r="B138" s="94"/>
      <c r="C138" s="95" t="s">
        <v>467</v>
      </c>
      <c r="D138" s="95" t="s">
        <v>47</v>
      </c>
      <c r="E138" s="95" t="s">
        <v>48</v>
      </c>
      <c r="F138" s="95" t="s">
        <v>473</v>
      </c>
      <c r="G138" s="97">
        <v>4</v>
      </c>
      <c r="H138" s="97">
        <v>6</v>
      </c>
      <c r="I138" s="97">
        <v>2025</v>
      </c>
      <c r="J138" s="97">
        <v>345</v>
      </c>
      <c r="K138" s="97" t="s">
        <v>457</v>
      </c>
      <c r="L138" s="98" t="s">
        <v>458</v>
      </c>
      <c r="M138" s="95">
        <v>2</v>
      </c>
      <c r="N138" s="97"/>
      <c r="O138" s="98"/>
      <c r="P138" s="99"/>
      <c r="Q138" s="99"/>
      <c r="R138" s="99"/>
      <c r="S138" s="98" t="s">
        <v>427</v>
      </c>
      <c r="T138" s="174">
        <v>468</v>
      </c>
      <c r="U138" s="94">
        <v>3710</v>
      </c>
      <c r="V138" s="100"/>
      <c r="W138" s="100"/>
      <c r="X138" s="100"/>
      <c r="Y138" s="100"/>
      <c r="Z138" s="101" t="s">
        <v>0</v>
      </c>
      <c r="AA138" s="100" t="s">
        <v>58</v>
      </c>
      <c r="AB138" s="100"/>
      <c r="AC138" s="100"/>
      <c r="AD138" s="100"/>
      <c r="AE138" s="121">
        <v>11.8</v>
      </c>
      <c r="AF138" s="103">
        <v>123</v>
      </c>
      <c r="AG138" s="103">
        <v>106</v>
      </c>
      <c r="AH138" s="104">
        <v>114</v>
      </c>
      <c r="AI138" s="121">
        <v>11.74</v>
      </c>
      <c r="AJ138" s="103">
        <v>16</v>
      </c>
      <c r="AK138" s="103">
        <v>2.5</v>
      </c>
      <c r="AL138" s="113"/>
      <c r="AM138" s="106"/>
      <c r="AN138" s="114"/>
      <c r="AO138" s="108"/>
      <c r="AP138" s="108"/>
      <c r="AQ138" s="108"/>
      <c r="AR138" s="109"/>
      <c r="AS138" s="110"/>
      <c r="AT138" s="110"/>
      <c r="AU138" s="111"/>
      <c r="AV138" s="112" t="s">
        <v>54</v>
      </c>
      <c r="AW138" s="110"/>
      <c r="AX138" s="138">
        <v>138</v>
      </c>
    </row>
    <row r="139" spans="1:50" ht="21" x14ac:dyDescent="0.25">
      <c r="A139" s="138">
        <v>139</v>
      </c>
      <c r="B139" s="94"/>
      <c r="C139" s="95" t="s">
        <v>467</v>
      </c>
      <c r="D139" s="95" t="s">
        <v>47</v>
      </c>
      <c r="E139" s="95" t="s">
        <v>48</v>
      </c>
      <c r="F139" s="95" t="s">
        <v>473</v>
      </c>
      <c r="G139" s="97">
        <v>4</v>
      </c>
      <c r="H139" s="97">
        <v>6</v>
      </c>
      <c r="I139" s="97">
        <v>2025</v>
      </c>
      <c r="J139" s="97">
        <v>346</v>
      </c>
      <c r="K139" s="97" t="s">
        <v>457</v>
      </c>
      <c r="L139" s="98" t="s">
        <v>458</v>
      </c>
      <c r="M139" s="95">
        <v>2</v>
      </c>
      <c r="N139" s="97"/>
      <c r="O139" s="98"/>
      <c r="P139" s="99"/>
      <c r="Q139" s="99"/>
      <c r="R139" s="99"/>
      <c r="S139" s="98" t="s">
        <v>221</v>
      </c>
      <c r="T139" s="174">
        <v>469</v>
      </c>
      <c r="U139" s="94">
        <v>2906</v>
      </c>
      <c r="V139" s="100"/>
      <c r="W139" s="100"/>
      <c r="X139" s="100"/>
      <c r="Y139" s="100"/>
      <c r="Z139" s="101" t="s">
        <v>0</v>
      </c>
      <c r="AA139" s="100" t="s">
        <v>58</v>
      </c>
      <c r="AB139" s="100"/>
      <c r="AC139" s="100"/>
      <c r="AD139" s="100"/>
      <c r="AE139" s="102">
        <v>20.7</v>
      </c>
      <c r="AF139" s="103">
        <v>78</v>
      </c>
      <c r="AG139" s="103">
        <v>62</v>
      </c>
      <c r="AH139" s="104">
        <v>70</v>
      </c>
      <c r="AI139" s="102">
        <v>7.97</v>
      </c>
      <c r="AJ139" s="105"/>
      <c r="AK139" s="105">
        <v>0</v>
      </c>
      <c r="AL139" s="113"/>
      <c r="AM139" s="113"/>
      <c r="AN139" s="114"/>
      <c r="AO139" s="108"/>
      <c r="AP139" s="108"/>
      <c r="AQ139" s="108"/>
      <c r="AR139" s="109"/>
      <c r="AS139" s="110"/>
      <c r="AT139" s="110"/>
      <c r="AU139" s="111"/>
      <c r="AV139" s="112" t="s">
        <v>54</v>
      </c>
      <c r="AW139" s="110"/>
      <c r="AX139" s="138">
        <v>139</v>
      </c>
    </row>
    <row r="140" spans="1:50" s="2" customFormat="1" ht="21" x14ac:dyDescent="0.25">
      <c r="A140" s="138">
        <v>140</v>
      </c>
      <c r="B140" s="94"/>
      <c r="C140" s="95" t="s">
        <v>467</v>
      </c>
      <c r="D140" s="95" t="s">
        <v>47</v>
      </c>
      <c r="E140" s="95" t="s">
        <v>48</v>
      </c>
      <c r="F140" s="95" t="s">
        <v>473</v>
      </c>
      <c r="G140" s="97">
        <v>4</v>
      </c>
      <c r="H140" s="97">
        <v>6</v>
      </c>
      <c r="I140" s="97">
        <v>2025</v>
      </c>
      <c r="J140" s="97">
        <v>347</v>
      </c>
      <c r="K140" s="97" t="s">
        <v>457</v>
      </c>
      <c r="L140" s="98" t="s">
        <v>458</v>
      </c>
      <c r="M140" s="95">
        <v>2</v>
      </c>
      <c r="N140" s="97"/>
      <c r="O140" s="95"/>
      <c r="P140" s="99"/>
      <c r="Q140" s="99"/>
      <c r="R140" s="99"/>
      <c r="S140" s="95" t="s">
        <v>240</v>
      </c>
      <c r="T140" s="174">
        <v>470</v>
      </c>
      <c r="U140" s="94">
        <v>3016</v>
      </c>
      <c r="V140" s="100"/>
      <c r="W140" s="100"/>
      <c r="X140" s="100"/>
      <c r="Y140" s="100"/>
      <c r="Z140" s="122" t="s">
        <v>1</v>
      </c>
      <c r="AA140" s="100" t="s">
        <v>58</v>
      </c>
      <c r="AB140" s="100"/>
      <c r="AC140" s="100"/>
      <c r="AD140" s="100"/>
      <c r="AE140" s="102">
        <v>21.7</v>
      </c>
      <c r="AF140" s="105">
        <v>74</v>
      </c>
      <c r="AG140" s="105">
        <v>58</v>
      </c>
      <c r="AH140" s="127">
        <v>66</v>
      </c>
      <c r="AI140" s="102">
        <v>7.42</v>
      </c>
      <c r="AJ140" s="105"/>
      <c r="AK140" s="105">
        <v>0</v>
      </c>
      <c r="AL140" s="122"/>
      <c r="AM140" s="122"/>
      <c r="AN140" s="124"/>
      <c r="AO140" s="122"/>
      <c r="AP140" s="122"/>
      <c r="AQ140" s="122"/>
      <c r="AR140" s="122"/>
      <c r="AS140" s="125"/>
      <c r="AT140" s="125"/>
      <c r="AU140" s="125"/>
      <c r="AV140" s="103" t="s">
        <v>54</v>
      </c>
      <c r="AW140" s="125"/>
      <c r="AX140" s="138">
        <v>140</v>
      </c>
    </row>
    <row r="141" spans="1:50" ht="21" x14ac:dyDescent="0.25">
      <c r="A141" s="138">
        <v>141</v>
      </c>
      <c r="B141" s="94"/>
      <c r="C141" s="95" t="s">
        <v>467</v>
      </c>
      <c r="D141" s="95" t="s">
        <v>47</v>
      </c>
      <c r="E141" s="95" t="s">
        <v>48</v>
      </c>
      <c r="F141" s="95" t="s">
        <v>473</v>
      </c>
      <c r="G141" s="97">
        <v>4</v>
      </c>
      <c r="H141" s="97">
        <v>6</v>
      </c>
      <c r="I141" s="97">
        <v>2025</v>
      </c>
      <c r="J141" s="97">
        <v>348</v>
      </c>
      <c r="K141" s="97" t="s">
        <v>457</v>
      </c>
      <c r="L141" s="98" t="s">
        <v>458</v>
      </c>
      <c r="M141" s="95">
        <v>2</v>
      </c>
      <c r="N141" s="97"/>
      <c r="O141" s="98"/>
      <c r="P141" s="99"/>
      <c r="Q141" s="99"/>
      <c r="R141" s="99"/>
      <c r="S141" s="116" t="s">
        <v>123</v>
      </c>
      <c r="T141" s="174">
        <v>471</v>
      </c>
      <c r="U141" s="175">
        <v>246</v>
      </c>
      <c r="V141" s="100"/>
      <c r="W141" s="117"/>
      <c r="X141" s="117"/>
      <c r="Y141" s="117"/>
      <c r="Z141" s="106" t="s">
        <v>3</v>
      </c>
      <c r="AA141" s="117" t="s">
        <v>58</v>
      </c>
      <c r="AB141" s="117"/>
      <c r="AC141" s="117"/>
      <c r="AD141" s="117"/>
      <c r="AE141" s="119">
        <v>18.3</v>
      </c>
      <c r="AF141" s="112">
        <v>73</v>
      </c>
      <c r="AG141" s="112">
        <v>59</v>
      </c>
      <c r="AH141" s="113">
        <v>66</v>
      </c>
      <c r="AI141" s="119">
        <v>6.26</v>
      </c>
      <c r="AJ141" s="120"/>
      <c r="AK141" s="120">
        <v>0</v>
      </c>
      <c r="AL141" s="113"/>
      <c r="AM141" s="106"/>
      <c r="AN141" s="114"/>
      <c r="AO141" s="108"/>
      <c r="AP141" s="108"/>
      <c r="AQ141" s="108"/>
      <c r="AR141" s="109"/>
      <c r="AS141" s="110"/>
      <c r="AT141" s="110"/>
      <c r="AU141" s="110"/>
      <c r="AV141" s="112" t="s">
        <v>54</v>
      </c>
      <c r="AW141" s="110"/>
      <c r="AX141" s="138">
        <v>141</v>
      </c>
    </row>
    <row r="142" spans="1:50" ht="21" x14ac:dyDescent="0.25">
      <c r="A142" s="138">
        <v>142</v>
      </c>
      <c r="B142" s="94"/>
      <c r="C142" s="95" t="s">
        <v>467</v>
      </c>
      <c r="D142" s="95" t="s">
        <v>47</v>
      </c>
      <c r="E142" s="95" t="s">
        <v>48</v>
      </c>
      <c r="F142" s="95" t="s">
        <v>473</v>
      </c>
      <c r="G142" s="97">
        <v>4</v>
      </c>
      <c r="H142" s="97">
        <v>6</v>
      </c>
      <c r="I142" s="97">
        <v>2025</v>
      </c>
      <c r="J142" s="97">
        <v>349</v>
      </c>
      <c r="K142" s="97" t="s">
        <v>457</v>
      </c>
      <c r="L142" s="98" t="s">
        <v>458</v>
      </c>
      <c r="M142" s="95">
        <v>2</v>
      </c>
      <c r="N142" s="97"/>
      <c r="O142" s="98"/>
      <c r="P142" s="99"/>
      <c r="Q142" s="99"/>
      <c r="R142" s="99"/>
      <c r="S142" s="98" t="s">
        <v>366</v>
      </c>
      <c r="T142" s="174">
        <v>472</v>
      </c>
      <c r="U142" s="94">
        <v>3457</v>
      </c>
      <c r="V142" s="100"/>
      <c r="W142" s="100"/>
      <c r="X142" s="100"/>
      <c r="Y142" s="100"/>
      <c r="Z142" s="101" t="s">
        <v>4</v>
      </c>
      <c r="AA142" s="100" t="s">
        <v>58</v>
      </c>
      <c r="AB142" s="100"/>
      <c r="AC142" s="100"/>
      <c r="AD142" s="100"/>
      <c r="AE142" s="121">
        <v>20</v>
      </c>
      <c r="AF142" s="103">
        <v>62</v>
      </c>
      <c r="AG142" s="103">
        <v>50</v>
      </c>
      <c r="AH142" s="104">
        <v>56</v>
      </c>
      <c r="AI142" s="121">
        <v>4.93</v>
      </c>
      <c r="AJ142" s="103"/>
      <c r="AK142" s="103">
        <v>0</v>
      </c>
      <c r="AL142" s="113">
        <v>15</v>
      </c>
      <c r="AM142" s="106">
        <f>COUNT(AI136:AI142)</f>
        <v>7</v>
      </c>
      <c r="AN142" s="114">
        <f>SUM(AI136:AI142)</f>
        <v>46.51</v>
      </c>
      <c r="AO142" s="108"/>
      <c r="AP142" s="108"/>
      <c r="AQ142" s="108"/>
      <c r="AR142" s="109"/>
      <c r="AS142" s="110"/>
      <c r="AT142" s="110"/>
      <c r="AU142" s="111"/>
      <c r="AV142" s="112" t="s">
        <v>54</v>
      </c>
      <c r="AW142" s="110"/>
      <c r="AX142" s="138">
        <v>142</v>
      </c>
    </row>
    <row r="143" spans="1:50" ht="21" x14ac:dyDescent="0.25">
      <c r="A143" s="138">
        <v>143</v>
      </c>
      <c r="B143" s="94">
        <v>16</v>
      </c>
      <c r="C143" s="95" t="s">
        <v>467</v>
      </c>
      <c r="D143" s="95" t="s">
        <v>47</v>
      </c>
      <c r="E143" s="95" t="s">
        <v>456</v>
      </c>
      <c r="F143" s="95" t="s">
        <v>473</v>
      </c>
      <c r="G143" s="97">
        <v>4</v>
      </c>
      <c r="H143" s="97">
        <v>6</v>
      </c>
      <c r="I143" s="97">
        <v>2025</v>
      </c>
      <c r="J143" s="97">
        <v>336</v>
      </c>
      <c r="K143" s="97" t="s">
        <v>468</v>
      </c>
      <c r="L143" s="98" t="s">
        <v>469</v>
      </c>
      <c r="M143" s="95">
        <v>2</v>
      </c>
      <c r="N143" s="97"/>
      <c r="O143" s="98"/>
      <c r="P143" s="99"/>
      <c r="Q143" s="99"/>
      <c r="R143" s="99"/>
      <c r="S143" s="98" t="s">
        <v>83</v>
      </c>
      <c r="T143" s="174">
        <v>473</v>
      </c>
      <c r="U143" s="94">
        <v>207</v>
      </c>
      <c r="V143" s="100"/>
      <c r="W143" s="100"/>
      <c r="X143" s="100"/>
      <c r="Y143" s="100"/>
      <c r="Z143" s="101" t="s">
        <v>3</v>
      </c>
      <c r="AA143" s="100" t="s">
        <v>58</v>
      </c>
      <c r="AB143" s="100"/>
      <c r="AC143" s="100"/>
      <c r="AD143" s="100"/>
      <c r="AE143" s="102">
        <v>13.7</v>
      </c>
      <c r="AF143" s="103">
        <v>78</v>
      </c>
      <c r="AG143" s="103">
        <v>68</v>
      </c>
      <c r="AH143" s="104">
        <v>73</v>
      </c>
      <c r="AI143" s="102">
        <v>5.73</v>
      </c>
      <c r="AJ143" s="105"/>
      <c r="AK143" s="105">
        <v>0</v>
      </c>
      <c r="AL143" s="113"/>
      <c r="AM143" s="113"/>
      <c r="AN143" s="114"/>
      <c r="AO143" s="108"/>
      <c r="AP143" s="108"/>
      <c r="AQ143" s="108"/>
      <c r="AR143" s="109"/>
      <c r="AS143" s="110"/>
      <c r="AT143" s="110"/>
      <c r="AU143" s="111"/>
      <c r="AV143" s="112" t="s">
        <v>54</v>
      </c>
      <c r="AW143" s="110"/>
      <c r="AX143" s="138">
        <v>143</v>
      </c>
    </row>
    <row r="144" spans="1:50" ht="21" x14ac:dyDescent="0.25">
      <c r="A144" s="138">
        <v>144</v>
      </c>
      <c r="B144" s="94"/>
      <c r="C144" s="95" t="s">
        <v>467</v>
      </c>
      <c r="D144" s="95" t="s">
        <v>47</v>
      </c>
      <c r="E144" s="95" t="s">
        <v>456</v>
      </c>
      <c r="F144" s="95" t="s">
        <v>473</v>
      </c>
      <c r="G144" s="97">
        <v>4</v>
      </c>
      <c r="H144" s="97">
        <v>6</v>
      </c>
      <c r="I144" s="97">
        <v>2025</v>
      </c>
      <c r="J144" s="97">
        <v>336</v>
      </c>
      <c r="K144" s="97" t="s">
        <v>468</v>
      </c>
      <c r="L144" s="98" t="s">
        <v>469</v>
      </c>
      <c r="M144" s="95">
        <v>2</v>
      </c>
      <c r="N144" s="97"/>
      <c r="O144" s="98"/>
      <c r="P144" s="99"/>
      <c r="Q144" s="99"/>
      <c r="R144" s="99"/>
      <c r="S144" s="116" t="s">
        <v>110</v>
      </c>
      <c r="T144" s="174">
        <v>474</v>
      </c>
      <c r="U144" s="175">
        <v>234</v>
      </c>
      <c r="V144" s="100"/>
      <c r="W144" s="117"/>
      <c r="X144" s="117"/>
      <c r="Y144" s="117"/>
      <c r="Z144" s="106" t="s">
        <v>0</v>
      </c>
      <c r="AA144" s="117" t="s">
        <v>58</v>
      </c>
      <c r="AB144" s="117"/>
      <c r="AC144" s="117"/>
      <c r="AD144" s="117"/>
      <c r="AE144" s="118">
        <v>20</v>
      </c>
      <c r="AF144" s="112">
        <v>70</v>
      </c>
      <c r="AG144" s="112">
        <v>43</v>
      </c>
      <c r="AH144" s="113">
        <v>56</v>
      </c>
      <c r="AI144" s="119">
        <v>4.93</v>
      </c>
      <c r="AJ144" s="120"/>
      <c r="AK144" s="120">
        <v>0</v>
      </c>
      <c r="AL144" s="113"/>
      <c r="AM144" s="113"/>
      <c r="AN144" s="115"/>
      <c r="AO144" s="113"/>
      <c r="AP144" s="113"/>
      <c r="AQ144" s="108"/>
      <c r="AR144" s="109"/>
      <c r="AS144" s="110"/>
      <c r="AT144" s="110"/>
      <c r="AU144" s="110"/>
      <c r="AV144" s="112" t="s">
        <v>54</v>
      </c>
      <c r="AW144" s="110"/>
      <c r="AX144" s="138">
        <v>144</v>
      </c>
    </row>
    <row r="145" spans="1:50" ht="21" x14ac:dyDescent="0.25">
      <c r="A145" s="138">
        <v>145</v>
      </c>
      <c r="B145" s="94"/>
      <c r="C145" s="95" t="s">
        <v>467</v>
      </c>
      <c r="D145" s="95" t="s">
        <v>47</v>
      </c>
      <c r="E145" s="95" t="s">
        <v>456</v>
      </c>
      <c r="F145" s="95" t="s">
        <v>473</v>
      </c>
      <c r="G145" s="97">
        <v>4</v>
      </c>
      <c r="H145" s="97">
        <v>6</v>
      </c>
      <c r="I145" s="97">
        <v>2025</v>
      </c>
      <c r="J145" s="97">
        <v>336</v>
      </c>
      <c r="K145" s="97" t="s">
        <v>468</v>
      </c>
      <c r="L145" s="98" t="s">
        <v>469</v>
      </c>
      <c r="M145" s="95">
        <v>2</v>
      </c>
      <c r="N145" s="97"/>
      <c r="O145" s="98"/>
      <c r="P145" s="99"/>
      <c r="Q145" s="99"/>
      <c r="R145" s="99"/>
      <c r="S145" s="116" t="s">
        <v>87</v>
      </c>
      <c r="T145" s="174">
        <v>475</v>
      </c>
      <c r="U145" s="175">
        <v>211</v>
      </c>
      <c r="V145" s="100"/>
      <c r="W145" s="117"/>
      <c r="X145" s="117"/>
      <c r="Y145" s="117"/>
      <c r="Z145" s="106" t="s">
        <v>0</v>
      </c>
      <c r="AA145" s="117" t="s">
        <v>58</v>
      </c>
      <c r="AB145" s="117"/>
      <c r="AC145" s="117"/>
      <c r="AD145" s="117"/>
      <c r="AE145" s="119">
        <v>11.7</v>
      </c>
      <c r="AF145" s="112">
        <v>81</v>
      </c>
      <c r="AG145" s="112">
        <v>70</v>
      </c>
      <c r="AH145" s="113">
        <v>75</v>
      </c>
      <c r="AI145" s="119">
        <v>5.17</v>
      </c>
      <c r="AJ145" s="120"/>
      <c r="AK145" s="120">
        <v>0</v>
      </c>
      <c r="AL145" s="106"/>
      <c r="AM145" s="106"/>
      <c r="AN145" s="107"/>
      <c r="AO145" s="106"/>
      <c r="AP145" s="106"/>
      <c r="AQ145" s="108"/>
      <c r="AR145" s="109"/>
      <c r="AS145" s="110"/>
      <c r="AT145" s="110"/>
      <c r="AU145" s="110"/>
      <c r="AV145" s="112" t="s">
        <v>54</v>
      </c>
      <c r="AW145" s="110"/>
      <c r="AX145" s="138">
        <v>145</v>
      </c>
    </row>
    <row r="146" spans="1:50" ht="21" x14ac:dyDescent="0.25">
      <c r="A146" s="138">
        <v>146</v>
      </c>
      <c r="B146" s="94"/>
      <c r="C146" s="95" t="s">
        <v>467</v>
      </c>
      <c r="D146" s="95" t="s">
        <v>47</v>
      </c>
      <c r="E146" s="95" t="s">
        <v>456</v>
      </c>
      <c r="F146" s="95" t="s">
        <v>473</v>
      </c>
      <c r="G146" s="97">
        <v>4</v>
      </c>
      <c r="H146" s="97">
        <v>6</v>
      </c>
      <c r="I146" s="97">
        <v>2025</v>
      </c>
      <c r="J146" s="97">
        <v>336</v>
      </c>
      <c r="K146" s="97" t="s">
        <v>468</v>
      </c>
      <c r="L146" s="98" t="s">
        <v>469</v>
      </c>
      <c r="M146" s="95">
        <v>2</v>
      </c>
      <c r="N146" s="97"/>
      <c r="O146" s="98"/>
      <c r="P146" s="99"/>
      <c r="Q146" s="99"/>
      <c r="R146" s="99"/>
      <c r="S146" s="98" t="s">
        <v>89</v>
      </c>
      <c r="T146" s="174">
        <v>476</v>
      </c>
      <c r="U146" s="94">
        <v>213</v>
      </c>
      <c r="V146" s="100"/>
      <c r="W146" s="100"/>
      <c r="X146" s="100"/>
      <c r="Y146" s="100"/>
      <c r="Z146" s="101" t="s">
        <v>3</v>
      </c>
      <c r="AA146" s="100" t="s">
        <v>58</v>
      </c>
      <c r="AB146" s="100"/>
      <c r="AC146" s="100"/>
      <c r="AD146" s="100"/>
      <c r="AE146" s="102">
        <v>21</v>
      </c>
      <c r="AF146" s="103">
        <v>72</v>
      </c>
      <c r="AG146" s="103">
        <v>60</v>
      </c>
      <c r="AH146" s="104">
        <v>66</v>
      </c>
      <c r="AI146" s="102">
        <v>7.18</v>
      </c>
      <c r="AJ146" s="105"/>
      <c r="AK146" s="105">
        <v>0</v>
      </c>
      <c r="AL146" s="113"/>
      <c r="AM146" s="106"/>
      <c r="AN146" s="114"/>
      <c r="AO146" s="108"/>
      <c r="AP146" s="108"/>
      <c r="AQ146" s="106"/>
      <c r="AR146" s="106"/>
      <c r="AS146" s="110"/>
      <c r="AT146" s="110"/>
      <c r="AU146" s="111"/>
      <c r="AV146" s="112" t="s">
        <v>54</v>
      </c>
      <c r="AW146" s="110"/>
      <c r="AX146" s="138">
        <v>146</v>
      </c>
    </row>
    <row r="147" spans="1:50" ht="21" x14ac:dyDescent="0.25">
      <c r="A147" s="138">
        <v>147</v>
      </c>
      <c r="B147" s="94"/>
      <c r="C147" s="95" t="s">
        <v>467</v>
      </c>
      <c r="D147" s="95" t="s">
        <v>47</v>
      </c>
      <c r="E147" s="95" t="s">
        <v>456</v>
      </c>
      <c r="F147" s="95" t="s">
        <v>473</v>
      </c>
      <c r="G147" s="97">
        <v>4</v>
      </c>
      <c r="H147" s="97">
        <v>6</v>
      </c>
      <c r="I147" s="97">
        <v>2025</v>
      </c>
      <c r="J147" s="97">
        <v>336</v>
      </c>
      <c r="K147" s="97" t="s">
        <v>468</v>
      </c>
      <c r="L147" s="98" t="s">
        <v>469</v>
      </c>
      <c r="M147" s="95">
        <v>2</v>
      </c>
      <c r="N147" s="97"/>
      <c r="O147" s="98"/>
      <c r="P147" s="99"/>
      <c r="Q147" s="99"/>
      <c r="R147" s="99"/>
      <c r="S147" s="116" t="s">
        <v>91</v>
      </c>
      <c r="T147" s="174">
        <v>477</v>
      </c>
      <c r="U147" s="175">
        <v>215</v>
      </c>
      <c r="V147" s="100"/>
      <c r="W147" s="117"/>
      <c r="X147" s="117"/>
      <c r="Y147" s="117"/>
      <c r="Z147" s="106" t="s">
        <v>0</v>
      </c>
      <c r="AA147" s="117" t="s">
        <v>58</v>
      </c>
      <c r="AB147" s="117"/>
      <c r="AC147" s="117"/>
      <c r="AD147" s="117"/>
      <c r="AE147" s="118">
        <v>18.100000000000001</v>
      </c>
      <c r="AF147" s="112">
        <v>52</v>
      </c>
      <c r="AG147" s="112">
        <v>36</v>
      </c>
      <c r="AH147" s="113">
        <v>44</v>
      </c>
      <c r="AI147" s="119">
        <v>2.75</v>
      </c>
      <c r="AJ147" s="120"/>
      <c r="AK147" s="120">
        <v>0</v>
      </c>
      <c r="AL147" s="113"/>
      <c r="AM147" s="113"/>
      <c r="AN147" s="115"/>
      <c r="AO147" s="113"/>
      <c r="AP147" s="113"/>
      <c r="AQ147" s="108"/>
      <c r="AR147" s="109"/>
      <c r="AS147" s="110"/>
      <c r="AT147" s="110"/>
      <c r="AU147" s="110"/>
      <c r="AV147" s="112" t="s">
        <v>54</v>
      </c>
      <c r="AW147" s="110"/>
      <c r="AX147" s="138">
        <v>147</v>
      </c>
    </row>
    <row r="148" spans="1:50" ht="21" x14ac:dyDescent="0.25">
      <c r="A148" s="138">
        <v>148</v>
      </c>
      <c r="B148" s="94"/>
      <c r="C148" s="95" t="s">
        <v>467</v>
      </c>
      <c r="D148" s="95" t="s">
        <v>47</v>
      </c>
      <c r="E148" s="95" t="s">
        <v>456</v>
      </c>
      <c r="F148" s="95" t="s">
        <v>473</v>
      </c>
      <c r="G148" s="97">
        <v>4</v>
      </c>
      <c r="H148" s="97">
        <v>6</v>
      </c>
      <c r="I148" s="97">
        <v>2025</v>
      </c>
      <c r="J148" s="97">
        <v>336</v>
      </c>
      <c r="K148" s="97" t="s">
        <v>468</v>
      </c>
      <c r="L148" s="98" t="s">
        <v>469</v>
      </c>
      <c r="M148" s="95">
        <v>2</v>
      </c>
      <c r="N148" s="97"/>
      <c r="O148" s="98"/>
      <c r="P148" s="99"/>
      <c r="Q148" s="99"/>
      <c r="R148" s="99"/>
      <c r="S148" s="116" t="s">
        <v>78</v>
      </c>
      <c r="T148" s="174">
        <v>478</v>
      </c>
      <c r="U148" s="175">
        <v>202</v>
      </c>
      <c r="V148" s="100"/>
      <c r="W148" s="117"/>
      <c r="X148" s="117"/>
      <c r="Y148" s="117"/>
      <c r="Z148" s="106" t="s">
        <v>3</v>
      </c>
      <c r="AA148" s="117" t="s">
        <v>58</v>
      </c>
      <c r="AB148" s="117"/>
      <c r="AC148" s="117"/>
      <c r="AD148" s="117"/>
      <c r="AE148" s="119">
        <v>10.8</v>
      </c>
      <c r="AF148" s="112">
        <v>68</v>
      </c>
      <c r="AG148" s="112">
        <v>61</v>
      </c>
      <c r="AH148" s="113">
        <v>64</v>
      </c>
      <c r="AI148" s="119">
        <v>3.47</v>
      </c>
      <c r="AJ148" s="120"/>
      <c r="AK148" s="120">
        <v>0</v>
      </c>
      <c r="AL148" s="113"/>
      <c r="AM148" s="106"/>
      <c r="AN148" s="114"/>
      <c r="AO148" s="108"/>
      <c r="AP148" s="108"/>
      <c r="AQ148" s="108"/>
      <c r="AR148" s="109"/>
      <c r="AS148" s="110"/>
      <c r="AT148" s="110"/>
      <c r="AU148" s="110"/>
      <c r="AV148" s="112" t="s">
        <v>54</v>
      </c>
      <c r="AW148" s="110"/>
      <c r="AX148" s="138">
        <v>148</v>
      </c>
    </row>
    <row r="149" spans="1:50" ht="21" x14ac:dyDescent="0.25">
      <c r="A149" s="138">
        <v>149</v>
      </c>
      <c r="B149" s="94"/>
      <c r="C149" s="95" t="s">
        <v>467</v>
      </c>
      <c r="D149" s="95" t="s">
        <v>47</v>
      </c>
      <c r="E149" s="95" t="s">
        <v>456</v>
      </c>
      <c r="F149" s="95" t="s">
        <v>473</v>
      </c>
      <c r="G149" s="97">
        <v>4</v>
      </c>
      <c r="H149" s="97">
        <v>6</v>
      </c>
      <c r="I149" s="97">
        <v>2025</v>
      </c>
      <c r="J149" s="97">
        <v>336</v>
      </c>
      <c r="K149" s="97" t="s">
        <v>468</v>
      </c>
      <c r="L149" s="98" t="s">
        <v>469</v>
      </c>
      <c r="M149" s="95">
        <v>2</v>
      </c>
      <c r="N149" s="97"/>
      <c r="O149" s="98"/>
      <c r="P149" s="99"/>
      <c r="Q149" s="99"/>
      <c r="R149" s="99"/>
      <c r="S149" s="98" t="s">
        <v>219</v>
      </c>
      <c r="T149" s="174">
        <v>479</v>
      </c>
      <c r="U149" s="94">
        <v>2904</v>
      </c>
      <c r="V149" s="100"/>
      <c r="W149" s="100"/>
      <c r="X149" s="100"/>
      <c r="Y149" s="100"/>
      <c r="Z149" s="101" t="s">
        <v>0</v>
      </c>
      <c r="AA149" s="100" t="s">
        <v>58</v>
      </c>
      <c r="AB149" s="100"/>
      <c r="AC149" s="100"/>
      <c r="AD149" s="100"/>
      <c r="AE149" s="102">
        <v>21</v>
      </c>
      <c r="AF149" s="103">
        <v>86</v>
      </c>
      <c r="AG149" s="103">
        <v>55</v>
      </c>
      <c r="AH149" s="104">
        <v>70</v>
      </c>
      <c r="AI149" s="102">
        <v>8.08</v>
      </c>
      <c r="AJ149" s="105"/>
      <c r="AK149" s="105">
        <v>0</v>
      </c>
      <c r="AL149" s="113"/>
      <c r="AM149" s="113"/>
      <c r="AN149" s="114"/>
      <c r="AO149" s="108"/>
      <c r="AP149" s="108"/>
      <c r="AQ149" s="108"/>
      <c r="AR149" s="109"/>
      <c r="AS149" s="110"/>
      <c r="AT149" s="110"/>
      <c r="AU149" s="111"/>
      <c r="AV149" s="112" t="s">
        <v>54</v>
      </c>
      <c r="AW149" s="110"/>
      <c r="AX149" s="138">
        <v>149</v>
      </c>
    </row>
    <row r="150" spans="1:50" ht="21" x14ac:dyDescent="0.25">
      <c r="A150" s="138">
        <v>150</v>
      </c>
      <c r="B150" s="94"/>
      <c r="C150" s="95" t="s">
        <v>467</v>
      </c>
      <c r="D150" s="95" t="s">
        <v>47</v>
      </c>
      <c r="E150" s="95" t="s">
        <v>456</v>
      </c>
      <c r="F150" s="95" t="s">
        <v>473</v>
      </c>
      <c r="G150" s="97">
        <v>4</v>
      </c>
      <c r="H150" s="97">
        <v>6</v>
      </c>
      <c r="I150" s="97">
        <v>2025</v>
      </c>
      <c r="J150" s="97">
        <v>336</v>
      </c>
      <c r="K150" s="97" t="s">
        <v>468</v>
      </c>
      <c r="L150" s="98" t="s">
        <v>469</v>
      </c>
      <c r="M150" s="95">
        <v>2</v>
      </c>
      <c r="N150" s="97"/>
      <c r="O150" s="98"/>
      <c r="P150" s="99"/>
      <c r="Q150" s="99"/>
      <c r="R150" s="99"/>
      <c r="S150" s="98" t="s">
        <v>344</v>
      </c>
      <c r="T150" s="174">
        <v>480</v>
      </c>
      <c r="U150" s="94">
        <v>3435</v>
      </c>
      <c r="V150" s="100"/>
      <c r="W150" s="100"/>
      <c r="X150" s="100"/>
      <c r="Y150" s="100"/>
      <c r="Z150" s="101" t="s">
        <v>0</v>
      </c>
      <c r="AA150" s="100" t="s">
        <v>58</v>
      </c>
      <c r="AB150" s="100"/>
      <c r="AC150" s="100"/>
      <c r="AD150" s="100"/>
      <c r="AE150" s="102">
        <v>21</v>
      </c>
      <c r="AF150" s="103">
        <v>66</v>
      </c>
      <c r="AG150" s="103">
        <v>45</v>
      </c>
      <c r="AH150" s="104">
        <v>55</v>
      </c>
      <c r="AI150" s="102">
        <v>4.1500000000000004</v>
      </c>
      <c r="AJ150" s="105">
        <v>20</v>
      </c>
      <c r="AK150" s="105">
        <v>16.8</v>
      </c>
      <c r="AL150" s="113"/>
      <c r="AM150" s="106"/>
      <c r="AN150" s="131"/>
      <c r="AO150" s="108"/>
      <c r="AP150" s="108"/>
      <c r="AQ150" s="108"/>
      <c r="AR150" s="109"/>
      <c r="AS150" s="110"/>
      <c r="AT150" s="110"/>
      <c r="AU150" s="111"/>
      <c r="AV150" s="112" t="s">
        <v>54</v>
      </c>
      <c r="AW150" s="110"/>
      <c r="AX150" s="138">
        <v>150</v>
      </c>
    </row>
    <row r="151" spans="1:50" ht="21" x14ac:dyDescent="0.25">
      <c r="A151" s="138">
        <v>151</v>
      </c>
      <c r="B151" s="94"/>
      <c r="C151" s="95" t="s">
        <v>467</v>
      </c>
      <c r="D151" s="95" t="s">
        <v>47</v>
      </c>
      <c r="E151" s="95" t="s">
        <v>456</v>
      </c>
      <c r="F151" s="95" t="s">
        <v>473</v>
      </c>
      <c r="G151" s="97">
        <v>4</v>
      </c>
      <c r="H151" s="97">
        <v>6</v>
      </c>
      <c r="I151" s="97">
        <v>2025</v>
      </c>
      <c r="J151" s="97">
        <v>336</v>
      </c>
      <c r="K151" s="97" t="s">
        <v>468</v>
      </c>
      <c r="L151" s="98" t="s">
        <v>469</v>
      </c>
      <c r="M151" s="95">
        <v>2</v>
      </c>
      <c r="N151" s="97"/>
      <c r="O151" s="98"/>
      <c r="P151" s="99"/>
      <c r="Q151" s="99"/>
      <c r="R151" s="99"/>
      <c r="S151" s="116" t="s">
        <v>135</v>
      </c>
      <c r="T151" s="174">
        <v>481</v>
      </c>
      <c r="U151" s="175">
        <v>258</v>
      </c>
      <c r="V151" s="100"/>
      <c r="W151" s="117"/>
      <c r="X151" s="117"/>
      <c r="Y151" s="117"/>
      <c r="Z151" s="106" t="s">
        <v>3</v>
      </c>
      <c r="AA151" s="117" t="s">
        <v>58</v>
      </c>
      <c r="AB151" s="117"/>
      <c r="AC151" s="117"/>
      <c r="AD151" s="117"/>
      <c r="AE151" s="119">
        <v>11.7</v>
      </c>
      <c r="AF151" s="112">
        <v>60</v>
      </c>
      <c r="AG151" s="112">
        <v>53</v>
      </c>
      <c r="AH151" s="113">
        <v>56</v>
      </c>
      <c r="AI151" s="119">
        <v>2.88</v>
      </c>
      <c r="AJ151" s="105"/>
      <c r="AK151" s="120">
        <v>0</v>
      </c>
      <c r="AL151" s="106">
        <v>16</v>
      </c>
      <c r="AM151" s="106">
        <f>COUNT(AI143:AI151)</f>
        <v>9</v>
      </c>
      <c r="AN151" s="107">
        <f>SUM(AI143:AI151)</f>
        <v>44.339999999999996</v>
      </c>
      <c r="AO151" s="106"/>
      <c r="AP151" s="106"/>
      <c r="AQ151" s="108"/>
      <c r="AR151" s="109"/>
      <c r="AS151" s="110"/>
      <c r="AT151" s="110"/>
      <c r="AU151" s="110"/>
      <c r="AV151" s="112" t="s">
        <v>54</v>
      </c>
      <c r="AW151" s="110"/>
      <c r="AX151" s="138">
        <v>151</v>
      </c>
    </row>
    <row r="152" spans="1:50" ht="23.25" customHeight="1" x14ac:dyDescent="0.35">
      <c r="A152" s="138">
        <v>152</v>
      </c>
      <c r="B152" s="140"/>
      <c r="C152" s="199" t="s">
        <v>476</v>
      </c>
      <c r="D152" s="199"/>
      <c r="E152" s="199"/>
      <c r="F152" s="199"/>
      <c r="G152" s="141"/>
      <c r="H152" s="141"/>
      <c r="I152" s="141"/>
      <c r="J152" s="141"/>
      <c r="K152" s="141"/>
      <c r="L152" s="142"/>
      <c r="M152" s="142"/>
      <c r="N152" s="141"/>
      <c r="O152" s="142"/>
      <c r="P152" s="143"/>
      <c r="Q152" s="143"/>
      <c r="R152" s="143"/>
      <c r="S152" s="144"/>
      <c r="T152" s="178"/>
      <c r="U152" s="176"/>
      <c r="V152" s="146"/>
      <c r="W152" s="145"/>
      <c r="X152" s="145"/>
      <c r="Y152" s="145"/>
      <c r="Z152" s="147"/>
      <c r="AA152" s="145"/>
      <c r="AB152" s="145"/>
      <c r="AC152" s="145"/>
      <c r="AD152" s="145"/>
      <c r="AE152" s="148"/>
      <c r="AF152" s="149"/>
      <c r="AG152" s="173">
        <v>16</v>
      </c>
      <c r="AH152" s="173">
        <f>COUNT(AH9:AH151)</f>
        <v>143</v>
      </c>
      <c r="AI152" s="151">
        <f>SUM(AI9:AI151)</f>
        <v>720.08999999999969</v>
      </c>
      <c r="AJ152" s="152"/>
      <c r="AK152" s="149"/>
      <c r="AL152" s="147"/>
      <c r="AM152" s="147"/>
      <c r="AN152" s="153"/>
      <c r="AO152" s="147"/>
      <c r="AP152" s="147"/>
      <c r="AQ152" s="150"/>
      <c r="AR152" s="147"/>
      <c r="AS152" s="154"/>
      <c r="AT152" s="154"/>
      <c r="AU152" s="154"/>
      <c r="AV152" s="149"/>
      <c r="AW152" s="155"/>
      <c r="AX152" s="138">
        <v>152</v>
      </c>
    </row>
    <row r="153" spans="1:50" ht="23.25" customHeight="1" x14ac:dyDescent="0.35">
      <c r="A153" s="138">
        <v>153</v>
      </c>
      <c r="B153" s="156"/>
      <c r="C153" s="157"/>
      <c r="D153" s="157"/>
      <c r="E153" s="157"/>
      <c r="F153" s="157"/>
      <c r="G153" s="158"/>
      <c r="H153" s="158"/>
      <c r="I153" s="158"/>
      <c r="J153" s="158"/>
      <c r="K153" s="158"/>
      <c r="L153" s="159"/>
      <c r="M153" s="159"/>
      <c r="N153" s="158"/>
      <c r="O153" s="159"/>
      <c r="P153" s="160"/>
      <c r="Q153" s="160"/>
      <c r="R153" s="160"/>
      <c r="S153" s="161"/>
      <c r="T153" s="179"/>
      <c r="U153" s="177"/>
      <c r="V153" s="163"/>
      <c r="W153" s="162"/>
      <c r="X153" s="162"/>
      <c r="Y153" s="162"/>
      <c r="Z153" s="164"/>
      <c r="AA153" s="162"/>
      <c r="AB153" s="162"/>
      <c r="AC153" s="162"/>
      <c r="AD153" s="162"/>
      <c r="AE153" s="165"/>
      <c r="AF153" s="166"/>
      <c r="AG153" s="166"/>
      <c r="AH153" s="167"/>
      <c r="AI153" s="168"/>
      <c r="AJ153" s="169"/>
      <c r="AK153" s="166"/>
      <c r="AL153" s="164"/>
      <c r="AM153" s="164"/>
      <c r="AN153" s="170"/>
      <c r="AO153" s="164"/>
      <c r="AP153" s="164"/>
      <c r="AQ153" s="167"/>
      <c r="AR153" s="164"/>
      <c r="AS153" s="171"/>
      <c r="AT153" s="171"/>
      <c r="AU153" s="171"/>
      <c r="AV153" s="166"/>
      <c r="AW153" s="172"/>
      <c r="AX153" s="138">
        <v>153</v>
      </c>
    </row>
    <row r="154" spans="1:50" ht="21" x14ac:dyDescent="0.25">
      <c r="A154" s="138">
        <v>154</v>
      </c>
      <c r="B154" s="94">
        <v>17</v>
      </c>
      <c r="C154" s="95" t="s">
        <v>467</v>
      </c>
      <c r="D154" s="95" t="s">
        <v>47</v>
      </c>
      <c r="E154" s="95" t="s">
        <v>456</v>
      </c>
      <c r="F154" s="95" t="s">
        <v>473</v>
      </c>
      <c r="G154" s="97">
        <v>5</v>
      </c>
      <c r="H154" s="97">
        <v>6</v>
      </c>
      <c r="I154" s="97">
        <v>2025</v>
      </c>
      <c r="J154" s="97">
        <v>342</v>
      </c>
      <c r="K154" s="97" t="s">
        <v>466</v>
      </c>
      <c r="L154" s="98" t="s">
        <v>465</v>
      </c>
      <c r="M154" s="95">
        <v>1</v>
      </c>
      <c r="N154" s="97"/>
      <c r="O154" s="98"/>
      <c r="P154" s="99"/>
      <c r="Q154" s="99"/>
      <c r="R154" s="99"/>
      <c r="S154" s="98" t="s">
        <v>108</v>
      </c>
      <c r="T154" s="174">
        <v>482</v>
      </c>
      <c r="U154" s="94">
        <v>232</v>
      </c>
      <c r="V154" s="100"/>
      <c r="W154" s="100"/>
      <c r="X154" s="100"/>
      <c r="Y154" s="100"/>
      <c r="Z154" s="101" t="s">
        <v>6</v>
      </c>
      <c r="AA154" s="100" t="s">
        <v>58</v>
      </c>
      <c r="AB154" s="100"/>
      <c r="AC154" s="100"/>
      <c r="AD154" s="100"/>
      <c r="AE154" s="102">
        <v>21</v>
      </c>
      <c r="AF154" s="103">
        <v>61</v>
      </c>
      <c r="AG154" s="103">
        <v>42</v>
      </c>
      <c r="AH154" s="104">
        <v>51</v>
      </c>
      <c r="AI154" s="102">
        <v>4.29</v>
      </c>
      <c r="AJ154" s="105"/>
      <c r="AK154" s="105">
        <v>0</v>
      </c>
      <c r="AL154" s="113"/>
      <c r="AM154" s="106"/>
      <c r="AN154" s="114"/>
      <c r="AO154" s="108"/>
      <c r="AP154" s="108"/>
      <c r="AQ154" s="108"/>
      <c r="AR154" s="109"/>
      <c r="AS154" s="110"/>
      <c r="AT154" s="110"/>
      <c r="AU154" s="111"/>
      <c r="AV154" s="112" t="s">
        <v>54</v>
      </c>
      <c r="AW154" s="110"/>
      <c r="AX154" s="138">
        <v>154</v>
      </c>
    </row>
    <row r="155" spans="1:50" ht="21" x14ac:dyDescent="0.25">
      <c r="A155" s="138">
        <v>155</v>
      </c>
      <c r="B155" s="94"/>
      <c r="C155" s="95" t="s">
        <v>467</v>
      </c>
      <c r="D155" s="95" t="s">
        <v>47</v>
      </c>
      <c r="E155" s="95" t="s">
        <v>456</v>
      </c>
      <c r="F155" s="95" t="s">
        <v>473</v>
      </c>
      <c r="G155" s="97">
        <v>5</v>
      </c>
      <c r="H155" s="97">
        <v>6</v>
      </c>
      <c r="I155" s="97">
        <v>2025</v>
      </c>
      <c r="J155" s="97">
        <v>342</v>
      </c>
      <c r="K155" s="97" t="s">
        <v>466</v>
      </c>
      <c r="L155" s="98" t="s">
        <v>465</v>
      </c>
      <c r="M155" s="95">
        <v>1</v>
      </c>
      <c r="N155" s="97"/>
      <c r="O155" s="98"/>
      <c r="P155" s="99"/>
      <c r="Q155" s="99"/>
      <c r="R155" s="99"/>
      <c r="S155" s="116" t="s">
        <v>81</v>
      </c>
      <c r="T155" s="174">
        <v>483</v>
      </c>
      <c r="U155" s="175">
        <v>205</v>
      </c>
      <c r="V155" s="100"/>
      <c r="W155" s="117"/>
      <c r="X155" s="117"/>
      <c r="Y155" s="117"/>
      <c r="Z155" s="106" t="s">
        <v>0</v>
      </c>
      <c r="AA155" s="117" t="s">
        <v>58</v>
      </c>
      <c r="AB155" s="117"/>
      <c r="AC155" s="117"/>
      <c r="AD155" s="117"/>
      <c r="AE155" s="119">
        <v>19.7</v>
      </c>
      <c r="AF155" s="112">
        <v>68</v>
      </c>
      <c r="AG155" s="112">
        <v>51</v>
      </c>
      <c r="AH155" s="113">
        <v>59</v>
      </c>
      <c r="AI155" s="118">
        <v>5.39</v>
      </c>
      <c r="AJ155" s="112"/>
      <c r="AK155" s="112">
        <v>0</v>
      </c>
      <c r="AL155" s="113"/>
      <c r="AM155" s="113"/>
      <c r="AN155" s="115"/>
      <c r="AO155" s="113"/>
      <c r="AP155" s="113"/>
      <c r="AQ155" s="106"/>
      <c r="AR155" s="106"/>
      <c r="AS155" s="110"/>
      <c r="AT155" s="110"/>
      <c r="AU155" s="110"/>
      <c r="AV155" s="112" t="s">
        <v>54</v>
      </c>
      <c r="AW155" s="110"/>
      <c r="AX155" s="138">
        <v>155</v>
      </c>
    </row>
    <row r="156" spans="1:50" ht="21" x14ac:dyDescent="0.25">
      <c r="A156" s="138">
        <v>156</v>
      </c>
      <c r="B156" s="94"/>
      <c r="C156" s="95" t="s">
        <v>467</v>
      </c>
      <c r="D156" s="95" t="s">
        <v>47</v>
      </c>
      <c r="E156" s="95" t="s">
        <v>456</v>
      </c>
      <c r="F156" s="95" t="s">
        <v>473</v>
      </c>
      <c r="G156" s="97">
        <v>5</v>
      </c>
      <c r="H156" s="97">
        <v>6</v>
      </c>
      <c r="I156" s="97">
        <v>2025</v>
      </c>
      <c r="J156" s="97">
        <v>342</v>
      </c>
      <c r="K156" s="97" t="s">
        <v>466</v>
      </c>
      <c r="L156" s="98" t="s">
        <v>465</v>
      </c>
      <c r="M156" s="95">
        <v>1</v>
      </c>
      <c r="N156" s="97"/>
      <c r="O156" s="98"/>
      <c r="P156" s="99"/>
      <c r="Q156" s="99"/>
      <c r="R156" s="99"/>
      <c r="S156" s="116" t="s">
        <v>200</v>
      </c>
      <c r="T156" s="174">
        <v>484</v>
      </c>
      <c r="U156" s="175">
        <v>2884</v>
      </c>
      <c r="V156" s="100"/>
      <c r="W156" s="117"/>
      <c r="X156" s="117"/>
      <c r="Y156" s="117"/>
      <c r="Z156" s="106" t="s">
        <v>1</v>
      </c>
      <c r="AA156" s="117" t="s">
        <v>58</v>
      </c>
      <c r="AB156" s="117"/>
      <c r="AC156" s="117"/>
      <c r="AD156" s="117"/>
      <c r="AE156" s="119">
        <v>21</v>
      </c>
      <c r="AF156" s="112">
        <v>94</v>
      </c>
      <c r="AG156" s="112">
        <v>82</v>
      </c>
      <c r="AH156" s="113">
        <v>88</v>
      </c>
      <c r="AI156" s="119">
        <v>11.35</v>
      </c>
      <c r="AJ156" s="120">
        <v>26</v>
      </c>
      <c r="AK156" s="120">
        <v>11.1</v>
      </c>
      <c r="AL156" s="106"/>
      <c r="AM156" s="106"/>
      <c r="AN156" s="107"/>
      <c r="AO156" s="106"/>
      <c r="AP156" s="106"/>
      <c r="AQ156" s="108"/>
      <c r="AR156" s="109"/>
      <c r="AS156" s="110"/>
      <c r="AT156" s="110"/>
      <c r="AU156" s="110"/>
      <c r="AV156" s="112" t="s">
        <v>54</v>
      </c>
      <c r="AW156" s="110"/>
      <c r="AX156" s="138">
        <v>156</v>
      </c>
    </row>
    <row r="157" spans="1:50" ht="21" x14ac:dyDescent="0.25">
      <c r="A157" s="138">
        <v>157</v>
      </c>
      <c r="B157" s="94"/>
      <c r="C157" s="95" t="s">
        <v>467</v>
      </c>
      <c r="D157" s="95" t="s">
        <v>47</v>
      </c>
      <c r="E157" s="95" t="s">
        <v>456</v>
      </c>
      <c r="F157" s="95" t="s">
        <v>473</v>
      </c>
      <c r="G157" s="97">
        <v>5</v>
      </c>
      <c r="H157" s="97">
        <v>6</v>
      </c>
      <c r="I157" s="97">
        <v>2025</v>
      </c>
      <c r="J157" s="97">
        <v>342</v>
      </c>
      <c r="K157" s="97" t="s">
        <v>466</v>
      </c>
      <c r="L157" s="98" t="s">
        <v>465</v>
      </c>
      <c r="M157" s="95">
        <v>1</v>
      </c>
      <c r="N157" s="97"/>
      <c r="O157" s="98"/>
      <c r="P157" s="99"/>
      <c r="Q157" s="99"/>
      <c r="R157" s="99"/>
      <c r="S157" s="98" t="s">
        <v>80</v>
      </c>
      <c r="T157" s="174">
        <v>485</v>
      </c>
      <c r="U157" s="94">
        <v>204</v>
      </c>
      <c r="V157" s="100"/>
      <c r="W157" s="100"/>
      <c r="X157" s="100"/>
      <c r="Y157" s="100"/>
      <c r="Z157" s="101" t="s">
        <v>0</v>
      </c>
      <c r="AA157" s="100" t="s">
        <v>58</v>
      </c>
      <c r="AB157" s="100"/>
      <c r="AC157" s="100"/>
      <c r="AD157" s="100"/>
      <c r="AE157" s="102">
        <v>15.8</v>
      </c>
      <c r="AF157" s="103">
        <v>91</v>
      </c>
      <c r="AG157" s="103">
        <v>63</v>
      </c>
      <c r="AH157" s="104">
        <v>77</v>
      </c>
      <c r="AI157" s="102">
        <v>7.36</v>
      </c>
      <c r="AJ157" s="105"/>
      <c r="AK157" s="105">
        <v>0</v>
      </c>
      <c r="AL157" s="113"/>
      <c r="AM157" s="106"/>
      <c r="AN157" s="114"/>
      <c r="AO157" s="108"/>
      <c r="AP157" s="108"/>
      <c r="AQ157" s="108"/>
      <c r="AR157" s="109"/>
      <c r="AS157" s="110"/>
      <c r="AT157" s="110"/>
      <c r="AU157" s="111"/>
      <c r="AV157" s="112" t="s">
        <v>54</v>
      </c>
      <c r="AW157" s="110"/>
      <c r="AX157" s="138">
        <v>157</v>
      </c>
    </row>
    <row r="158" spans="1:50" ht="21" x14ac:dyDescent="0.25">
      <c r="A158" s="138">
        <v>158</v>
      </c>
      <c r="B158" s="94"/>
      <c r="C158" s="95" t="s">
        <v>467</v>
      </c>
      <c r="D158" s="95" t="s">
        <v>47</v>
      </c>
      <c r="E158" s="95" t="s">
        <v>456</v>
      </c>
      <c r="F158" s="95" t="s">
        <v>473</v>
      </c>
      <c r="G158" s="97">
        <v>5</v>
      </c>
      <c r="H158" s="97">
        <v>6</v>
      </c>
      <c r="I158" s="97">
        <v>2025</v>
      </c>
      <c r="J158" s="97">
        <v>342</v>
      </c>
      <c r="K158" s="97" t="s">
        <v>466</v>
      </c>
      <c r="L158" s="98" t="s">
        <v>465</v>
      </c>
      <c r="M158" s="95">
        <v>1</v>
      </c>
      <c r="N158" s="97"/>
      <c r="O158" s="95"/>
      <c r="P158" s="99"/>
      <c r="Q158" s="99"/>
      <c r="R158" s="99"/>
      <c r="S158" s="95" t="s">
        <v>255</v>
      </c>
      <c r="T158" s="174">
        <v>486</v>
      </c>
      <c r="U158" s="94">
        <v>3031</v>
      </c>
      <c r="V158" s="100"/>
      <c r="W158" s="100"/>
      <c r="X158" s="100"/>
      <c r="Y158" s="100"/>
      <c r="Z158" s="122" t="s">
        <v>0</v>
      </c>
      <c r="AA158" s="100" t="s">
        <v>58</v>
      </c>
      <c r="AB158" s="123"/>
      <c r="AC158" s="123"/>
      <c r="AD158" s="123"/>
      <c r="AE158" s="124">
        <v>17</v>
      </c>
      <c r="AF158" s="125">
        <v>91</v>
      </c>
      <c r="AG158" s="125">
        <v>68</v>
      </c>
      <c r="AH158" s="122">
        <v>79</v>
      </c>
      <c r="AI158" s="124">
        <v>7.78</v>
      </c>
      <c r="AJ158" s="125">
        <v>18</v>
      </c>
      <c r="AK158" s="126">
        <v>6.6</v>
      </c>
      <c r="AL158" s="122"/>
      <c r="AM158" s="122"/>
      <c r="AN158" s="124"/>
      <c r="AO158" s="135"/>
      <c r="AP158" s="122"/>
      <c r="AQ158" s="122"/>
      <c r="AR158" s="122"/>
      <c r="AS158" s="125"/>
      <c r="AT158" s="125"/>
      <c r="AU158" s="125"/>
      <c r="AV158" s="112" t="s">
        <v>54</v>
      </c>
      <c r="AW158" s="125"/>
      <c r="AX158" s="138">
        <v>158</v>
      </c>
    </row>
    <row r="159" spans="1:50" ht="21" x14ac:dyDescent="0.25">
      <c r="A159" s="138">
        <v>159</v>
      </c>
      <c r="B159" s="94"/>
      <c r="C159" s="95" t="s">
        <v>467</v>
      </c>
      <c r="D159" s="95" t="s">
        <v>47</v>
      </c>
      <c r="E159" s="95" t="s">
        <v>456</v>
      </c>
      <c r="F159" s="95" t="s">
        <v>473</v>
      </c>
      <c r="G159" s="97">
        <v>5</v>
      </c>
      <c r="H159" s="97">
        <v>6</v>
      </c>
      <c r="I159" s="97">
        <v>2025</v>
      </c>
      <c r="J159" s="97">
        <v>342</v>
      </c>
      <c r="K159" s="97" t="s">
        <v>466</v>
      </c>
      <c r="L159" s="98" t="s">
        <v>465</v>
      </c>
      <c r="M159" s="95">
        <v>1</v>
      </c>
      <c r="N159" s="97"/>
      <c r="O159" s="98"/>
      <c r="P159" s="99"/>
      <c r="Q159" s="99"/>
      <c r="R159" s="99"/>
      <c r="S159" s="98" t="s">
        <v>134</v>
      </c>
      <c r="T159" s="174">
        <v>487</v>
      </c>
      <c r="U159" s="94">
        <v>257</v>
      </c>
      <c r="V159" s="100"/>
      <c r="W159" s="100"/>
      <c r="X159" s="100"/>
      <c r="Y159" s="100"/>
      <c r="Z159" s="101" t="s">
        <v>2</v>
      </c>
      <c r="AA159" s="100" t="s">
        <v>58</v>
      </c>
      <c r="AB159" s="100"/>
      <c r="AC159" s="100"/>
      <c r="AD159" s="100"/>
      <c r="AE159" s="102">
        <v>16.7</v>
      </c>
      <c r="AF159" s="103">
        <v>62</v>
      </c>
      <c r="AG159" s="103">
        <v>51</v>
      </c>
      <c r="AH159" s="104">
        <v>56</v>
      </c>
      <c r="AI159" s="102">
        <v>4.1100000000000003</v>
      </c>
      <c r="AJ159" s="105"/>
      <c r="AK159" s="105">
        <v>0</v>
      </c>
      <c r="AL159" s="113"/>
      <c r="AM159" s="106"/>
      <c r="AN159" s="114"/>
      <c r="AO159" s="108"/>
      <c r="AP159" s="108"/>
      <c r="AQ159" s="108"/>
      <c r="AR159" s="109"/>
      <c r="AS159" s="110"/>
      <c r="AT159" s="110"/>
      <c r="AU159" s="111"/>
      <c r="AV159" s="112" t="s">
        <v>54</v>
      </c>
      <c r="AW159" s="110"/>
      <c r="AX159" s="138">
        <v>159</v>
      </c>
    </row>
    <row r="160" spans="1:50" ht="21" x14ac:dyDescent="0.25">
      <c r="A160" s="138">
        <v>160</v>
      </c>
      <c r="B160" s="94"/>
      <c r="C160" s="95" t="s">
        <v>467</v>
      </c>
      <c r="D160" s="95" t="s">
        <v>47</v>
      </c>
      <c r="E160" s="95" t="s">
        <v>456</v>
      </c>
      <c r="F160" s="95" t="s">
        <v>473</v>
      </c>
      <c r="G160" s="97">
        <v>5</v>
      </c>
      <c r="H160" s="97">
        <v>6</v>
      </c>
      <c r="I160" s="97">
        <v>2025</v>
      </c>
      <c r="J160" s="97">
        <v>342</v>
      </c>
      <c r="K160" s="97" t="s">
        <v>466</v>
      </c>
      <c r="L160" s="98" t="s">
        <v>465</v>
      </c>
      <c r="M160" s="95">
        <v>1</v>
      </c>
      <c r="N160" s="97"/>
      <c r="O160" s="98"/>
      <c r="P160" s="99"/>
      <c r="Q160" s="99"/>
      <c r="R160" s="99"/>
      <c r="S160" s="116" t="s">
        <v>114</v>
      </c>
      <c r="T160" s="174">
        <v>488</v>
      </c>
      <c r="U160" s="175">
        <v>238</v>
      </c>
      <c r="V160" s="100"/>
      <c r="W160" s="117"/>
      <c r="X160" s="117"/>
      <c r="Y160" s="117"/>
      <c r="Z160" s="106" t="s">
        <v>6</v>
      </c>
      <c r="AA160" s="117" t="s">
        <v>58</v>
      </c>
      <c r="AB160" s="117"/>
      <c r="AC160" s="117"/>
      <c r="AD160" s="117"/>
      <c r="AE160" s="119">
        <v>21.1</v>
      </c>
      <c r="AF160" s="112">
        <v>49</v>
      </c>
      <c r="AG160" s="112">
        <v>43</v>
      </c>
      <c r="AH160" s="113">
        <v>46</v>
      </c>
      <c r="AI160" s="119">
        <v>3.51</v>
      </c>
      <c r="AJ160" s="120"/>
      <c r="AK160" s="120">
        <v>0</v>
      </c>
      <c r="AL160" s="106">
        <v>17</v>
      </c>
      <c r="AM160" s="106">
        <f>COUNT(AI154:AI160)</f>
        <v>7</v>
      </c>
      <c r="AN160" s="107">
        <f>SUM(AI154:AI160)</f>
        <v>43.79</v>
      </c>
      <c r="AO160" s="106"/>
      <c r="AP160" s="106"/>
      <c r="AQ160" s="108"/>
      <c r="AR160" s="109"/>
      <c r="AS160" s="110"/>
      <c r="AT160" s="110"/>
      <c r="AU160" s="110"/>
      <c r="AV160" s="112" t="s">
        <v>54</v>
      </c>
      <c r="AW160" s="110"/>
      <c r="AX160" s="138">
        <v>160</v>
      </c>
    </row>
    <row r="161" spans="1:50" ht="21" x14ac:dyDescent="0.25">
      <c r="A161" s="138">
        <v>161</v>
      </c>
      <c r="B161" s="94">
        <v>18</v>
      </c>
      <c r="C161" s="95" t="s">
        <v>51</v>
      </c>
      <c r="D161" s="95" t="s">
        <v>47</v>
      </c>
      <c r="E161" s="95" t="s">
        <v>456</v>
      </c>
      <c r="F161" s="95" t="s">
        <v>55</v>
      </c>
      <c r="G161" s="97">
        <v>5</v>
      </c>
      <c r="H161" s="97">
        <v>6</v>
      </c>
      <c r="I161" s="97">
        <v>2025</v>
      </c>
      <c r="J161" s="97">
        <v>345</v>
      </c>
      <c r="K161" s="97" t="s">
        <v>56</v>
      </c>
      <c r="L161" s="98" t="s">
        <v>57</v>
      </c>
      <c r="M161" s="95">
        <v>1</v>
      </c>
      <c r="N161" s="97"/>
      <c r="O161" s="98"/>
      <c r="P161" s="99"/>
      <c r="Q161" s="99"/>
      <c r="R161" s="99"/>
      <c r="S161" s="98" t="s">
        <v>223</v>
      </c>
      <c r="T161" s="174">
        <v>489</v>
      </c>
      <c r="U161" s="94">
        <v>2908</v>
      </c>
      <c r="V161" s="100"/>
      <c r="W161" s="100"/>
      <c r="X161" s="100"/>
      <c r="Y161" s="100"/>
      <c r="Z161" s="101" t="s">
        <v>0</v>
      </c>
      <c r="AA161" s="100" t="s">
        <v>58</v>
      </c>
      <c r="AB161" s="100"/>
      <c r="AC161" s="100"/>
      <c r="AD161" s="100"/>
      <c r="AE161" s="102">
        <v>21.1</v>
      </c>
      <c r="AF161" s="103">
        <v>75</v>
      </c>
      <c r="AG161" s="103">
        <v>59</v>
      </c>
      <c r="AH161" s="104">
        <v>67</v>
      </c>
      <c r="AI161" s="102">
        <v>7.44</v>
      </c>
      <c r="AJ161" s="105"/>
      <c r="AK161" s="105">
        <v>0</v>
      </c>
      <c r="AL161" s="113"/>
      <c r="AM161" s="113"/>
      <c r="AN161" s="115"/>
      <c r="AO161" s="113"/>
      <c r="AP161" s="113"/>
      <c r="AQ161" s="108"/>
      <c r="AR161" s="109"/>
      <c r="AS161" s="110"/>
      <c r="AT161" s="110"/>
      <c r="AU161" s="111"/>
      <c r="AV161" s="112" t="s">
        <v>54</v>
      </c>
      <c r="AW161" s="110"/>
      <c r="AX161" s="138">
        <v>161</v>
      </c>
    </row>
    <row r="162" spans="1:50" ht="21" x14ac:dyDescent="0.25">
      <c r="A162" s="138">
        <v>162</v>
      </c>
      <c r="B162" s="94"/>
      <c r="C162" s="95" t="s">
        <v>51</v>
      </c>
      <c r="D162" s="95" t="s">
        <v>47</v>
      </c>
      <c r="E162" s="95" t="s">
        <v>456</v>
      </c>
      <c r="F162" s="95" t="s">
        <v>55</v>
      </c>
      <c r="G162" s="97">
        <v>5</v>
      </c>
      <c r="H162" s="97">
        <v>6</v>
      </c>
      <c r="I162" s="97">
        <v>2025</v>
      </c>
      <c r="J162" s="97">
        <v>345</v>
      </c>
      <c r="K162" s="97" t="s">
        <v>56</v>
      </c>
      <c r="L162" s="98" t="s">
        <v>57</v>
      </c>
      <c r="M162" s="95">
        <v>1</v>
      </c>
      <c r="N162" s="97"/>
      <c r="O162" s="98"/>
      <c r="P162" s="99"/>
      <c r="Q162" s="99"/>
      <c r="R162" s="99"/>
      <c r="S162" s="98" t="s">
        <v>285</v>
      </c>
      <c r="T162" s="174">
        <v>490</v>
      </c>
      <c r="U162" s="94">
        <v>3206</v>
      </c>
      <c r="V162" s="100"/>
      <c r="W162" s="100"/>
      <c r="X162" s="100"/>
      <c r="Y162" s="100"/>
      <c r="Z162" s="101" t="s">
        <v>0</v>
      </c>
      <c r="AA162" s="100" t="s">
        <v>58</v>
      </c>
      <c r="AB162" s="100"/>
      <c r="AC162" s="100"/>
      <c r="AD162" s="100"/>
      <c r="AE162" s="102">
        <v>17.600000000000001</v>
      </c>
      <c r="AF162" s="103">
        <v>49</v>
      </c>
      <c r="AG162" s="103">
        <v>38</v>
      </c>
      <c r="AH162" s="104">
        <v>43</v>
      </c>
      <c r="AI162" s="102">
        <v>2.56</v>
      </c>
      <c r="AJ162" s="105"/>
      <c r="AK162" s="105">
        <v>0</v>
      </c>
      <c r="AL162" s="113"/>
      <c r="AM162" s="113"/>
      <c r="AN162" s="115"/>
      <c r="AO162" s="113"/>
      <c r="AP162" s="113"/>
      <c r="AQ162" s="108"/>
      <c r="AR162" s="109"/>
      <c r="AS162" s="110"/>
      <c r="AT162" s="110"/>
      <c r="AU162" s="111"/>
      <c r="AV162" s="112" t="s">
        <v>54</v>
      </c>
      <c r="AW162" s="110"/>
      <c r="AX162" s="138">
        <v>162</v>
      </c>
    </row>
    <row r="163" spans="1:50" ht="21" x14ac:dyDescent="0.25">
      <c r="A163" s="138">
        <v>163</v>
      </c>
      <c r="B163" s="94"/>
      <c r="C163" s="95" t="s">
        <v>51</v>
      </c>
      <c r="D163" s="95" t="s">
        <v>47</v>
      </c>
      <c r="E163" s="95" t="s">
        <v>456</v>
      </c>
      <c r="F163" s="95" t="s">
        <v>55</v>
      </c>
      <c r="G163" s="97">
        <v>5</v>
      </c>
      <c r="H163" s="97">
        <v>6</v>
      </c>
      <c r="I163" s="97">
        <v>2025</v>
      </c>
      <c r="J163" s="97">
        <v>345</v>
      </c>
      <c r="K163" s="97" t="s">
        <v>56</v>
      </c>
      <c r="L163" s="98" t="s">
        <v>57</v>
      </c>
      <c r="M163" s="95">
        <v>1</v>
      </c>
      <c r="N163" s="97"/>
      <c r="O163" s="98"/>
      <c r="P163" s="99"/>
      <c r="Q163" s="99"/>
      <c r="R163" s="99"/>
      <c r="S163" s="116" t="s">
        <v>203</v>
      </c>
      <c r="T163" s="174">
        <v>491</v>
      </c>
      <c r="U163" s="175">
        <v>2887</v>
      </c>
      <c r="V163" s="100"/>
      <c r="W163" s="117"/>
      <c r="X163" s="117"/>
      <c r="Y163" s="117"/>
      <c r="Z163" s="106" t="s">
        <v>0</v>
      </c>
      <c r="AA163" s="117" t="s">
        <v>58</v>
      </c>
      <c r="AB163" s="117"/>
      <c r="AC163" s="117"/>
      <c r="AD163" s="117"/>
      <c r="AE163" s="119">
        <v>8.5</v>
      </c>
      <c r="AF163" s="112">
        <v>61</v>
      </c>
      <c r="AG163" s="112">
        <v>52</v>
      </c>
      <c r="AH163" s="113">
        <v>56</v>
      </c>
      <c r="AI163" s="119">
        <v>2.09</v>
      </c>
      <c r="AJ163" s="120"/>
      <c r="AK163" s="120">
        <v>0</v>
      </c>
      <c r="AL163" s="106"/>
      <c r="AM163" s="106"/>
      <c r="AN163" s="107"/>
      <c r="AO163" s="106"/>
      <c r="AP163" s="106"/>
      <c r="AQ163" s="108"/>
      <c r="AR163" s="109"/>
      <c r="AS163" s="110"/>
      <c r="AT163" s="110"/>
      <c r="AU163" s="110"/>
      <c r="AV163" s="112" t="s">
        <v>54</v>
      </c>
      <c r="AW163" s="110"/>
      <c r="AX163" s="138">
        <v>163</v>
      </c>
    </row>
    <row r="164" spans="1:50" ht="21" x14ac:dyDescent="0.25">
      <c r="A164" s="138">
        <v>164</v>
      </c>
      <c r="B164" s="94"/>
      <c r="C164" s="95" t="s">
        <v>51</v>
      </c>
      <c r="D164" s="95" t="s">
        <v>47</v>
      </c>
      <c r="E164" s="95" t="s">
        <v>456</v>
      </c>
      <c r="F164" s="95" t="s">
        <v>55</v>
      </c>
      <c r="G164" s="97">
        <v>5</v>
      </c>
      <c r="H164" s="97">
        <v>6</v>
      </c>
      <c r="I164" s="97">
        <v>2025</v>
      </c>
      <c r="J164" s="97">
        <v>345</v>
      </c>
      <c r="K164" s="97" t="s">
        <v>56</v>
      </c>
      <c r="L164" s="98" t="s">
        <v>57</v>
      </c>
      <c r="M164" s="95">
        <v>1</v>
      </c>
      <c r="N164" s="97"/>
      <c r="O164" s="95"/>
      <c r="P164" s="99"/>
      <c r="Q164" s="99"/>
      <c r="R164" s="99"/>
      <c r="S164" s="95" t="s">
        <v>395</v>
      </c>
      <c r="T164" s="174">
        <v>492</v>
      </c>
      <c r="U164" s="94">
        <v>3486</v>
      </c>
      <c r="V164" s="100"/>
      <c r="W164" s="100"/>
      <c r="X164" s="100"/>
      <c r="Y164" s="100"/>
      <c r="Z164" s="122" t="s">
        <v>0</v>
      </c>
      <c r="AA164" s="100" t="s">
        <v>58</v>
      </c>
      <c r="AB164" s="123"/>
      <c r="AC164" s="123"/>
      <c r="AD164" s="123"/>
      <c r="AE164" s="132">
        <v>20.5</v>
      </c>
      <c r="AF164" s="105">
        <v>82</v>
      </c>
      <c r="AG164" s="105">
        <v>63</v>
      </c>
      <c r="AH164" s="127">
        <v>72</v>
      </c>
      <c r="AI164" s="132">
        <v>8.35</v>
      </c>
      <c r="AJ164" s="105"/>
      <c r="AK164" s="126">
        <v>0</v>
      </c>
      <c r="AL164" s="122"/>
      <c r="AM164" s="122"/>
      <c r="AN164" s="124"/>
      <c r="AO164" s="122"/>
      <c r="AP164" s="122"/>
      <c r="AQ164" s="122"/>
      <c r="AR164" s="122"/>
      <c r="AS164" s="125"/>
      <c r="AT164" s="125"/>
      <c r="AU164" s="125"/>
      <c r="AV164" s="120" t="s">
        <v>54</v>
      </c>
      <c r="AW164" s="125"/>
      <c r="AX164" s="138">
        <v>164</v>
      </c>
    </row>
    <row r="165" spans="1:50" ht="21" x14ac:dyDescent="0.25">
      <c r="A165" s="138">
        <v>165</v>
      </c>
      <c r="B165" s="94"/>
      <c r="C165" s="95" t="s">
        <v>51</v>
      </c>
      <c r="D165" s="95" t="s">
        <v>47</v>
      </c>
      <c r="E165" s="95" t="s">
        <v>456</v>
      </c>
      <c r="F165" s="95" t="s">
        <v>55</v>
      </c>
      <c r="G165" s="97">
        <v>5</v>
      </c>
      <c r="H165" s="97">
        <v>6</v>
      </c>
      <c r="I165" s="97">
        <v>2025</v>
      </c>
      <c r="J165" s="97">
        <v>345</v>
      </c>
      <c r="K165" s="97" t="s">
        <v>56</v>
      </c>
      <c r="L165" s="98" t="s">
        <v>57</v>
      </c>
      <c r="M165" s="95">
        <v>1</v>
      </c>
      <c r="N165" s="97"/>
      <c r="O165" s="98"/>
      <c r="P165" s="99"/>
      <c r="Q165" s="99"/>
      <c r="R165" s="99"/>
      <c r="S165" s="116" t="s">
        <v>396</v>
      </c>
      <c r="T165" s="174">
        <v>493</v>
      </c>
      <c r="U165" s="175">
        <v>3488</v>
      </c>
      <c r="V165" s="100"/>
      <c r="W165" s="117"/>
      <c r="X165" s="117"/>
      <c r="Y165" s="117"/>
      <c r="Z165" s="106" t="s">
        <v>0</v>
      </c>
      <c r="AA165" s="117" t="s">
        <v>58</v>
      </c>
      <c r="AB165" s="117"/>
      <c r="AC165" s="117"/>
      <c r="AD165" s="117"/>
      <c r="AE165" s="119">
        <v>13.1</v>
      </c>
      <c r="AF165" s="112">
        <v>47</v>
      </c>
      <c r="AG165" s="112">
        <v>38</v>
      </c>
      <c r="AH165" s="113">
        <v>42</v>
      </c>
      <c r="AI165" s="119">
        <v>1.81</v>
      </c>
      <c r="AJ165" s="120"/>
      <c r="AK165" s="120">
        <v>0</v>
      </c>
      <c r="AL165" s="113"/>
      <c r="AM165" s="106"/>
      <c r="AN165" s="114"/>
      <c r="AO165" s="108"/>
      <c r="AP165" s="108"/>
      <c r="AQ165" s="108"/>
      <c r="AR165" s="109"/>
      <c r="AS165" s="110"/>
      <c r="AT165" s="110"/>
      <c r="AU165" s="110"/>
      <c r="AV165" s="112" t="s">
        <v>54</v>
      </c>
      <c r="AW165" s="110"/>
      <c r="AX165" s="138">
        <v>165</v>
      </c>
    </row>
    <row r="166" spans="1:50" ht="21" x14ac:dyDescent="0.25">
      <c r="A166" s="138">
        <v>166</v>
      </c>
      <c r="B166" s="94"/>
      <c r="C166" s="95" t="s">
        <v>51</v>
      </c>
      <c r="D166" s="95" t="s">
        <v>47</v>
      </c>
      <c r="E166" s="95" t="s">
        <v>456</v>
      </c>
      <c r="F166" s="95" t="s">
        <v>55</v>
      </c>
      <c r="G166" s="97">
        <v>5</v>
      </c>
      <c r="H166" s="97">
        <v>6</v>
      </c>
      <c r="I166" s="97">
        <v>2025</v>
      </c>
      <c r="J166" s="97">
        <v>345</v>
      </c>
      <c r="K166" s="97" t="s">
        <v>56</v>
      </c>
      <c r="L166" s="98" t="s">
        <v>57</v>
      </c>
      <c r="M166" s="95">
        <v>1</v>
      </c>
      <c r="N166" s="100"/>
      <c r="O166" s="133"/>
      <c r="P166" s="134"/>
      <c r="Q166" s="134"/>
      <c r="R166" s="134"/>
      <c r="S166" s="133" t="s">
        <v>405</v>
      </c>
      <c r="T166" s="174">
        <v>494</v>
      </c>
      <c r="U166" s="94">
        <v>3497</v>
      </c>
      <c r="V166" s="100"/>
      <c r="W166" s="100"/>
      <c r="X166" s="100"/>
      <c r="Y166" s="100"/>
      <c r="Z166" s="122" t="s">
        <v>0</v>
      </c>
      <c r="AA166" s="100" t="s">
        <v>58</v>
      </c>
      <c r="AB166" s="100"/>
      <c r="AC166" s="100"/>
      <c r="AD166" s="100"/>
      <c r="AE166" s="102">
        <v>13.7</v>
      </c>
      <c r="AF166" s="127">
        <v>70</v>
      </c>
      <c r="AG166" s="127">
        <v>55</v>
      </c>
      <c r="AH166" s="127">
        <v>62</v>
      </c>
      <c r="AI166" s="102">
        <v>4.1399999999999997</v>
      </c>
      <c r="AJ166" s="127"/>
      <c r="AK166" s="127">
        <v>0</v>
      </c>
      <c r="AL166" s="108"/>
      <c r="AM166" s="108"/>
      <c r="AN166" s="114"/>
      <c r="AO166" s="108"/>
      <c r="AP166" s="108"/>
      <c r="AQ166" s="108"/>
      <c r="AR166" s="109"/>
      <c r="AS166" s="109"/>
      <c r="AT166" s="109"/>
      <c r="AU166" s="122"/>
      <c r="AV166" s="120" t="s">
        <v>54</v>
      </c>
      <c r="AW166" s="109"/>
      <c r="AX166" s="138">
        <v>166</v>
      </c>
    </row>
    <row r="167" spans="1:50" ht="21" x14ac:dyDescent="0.25">
      <c r="A167" s="138">
        <v>167</v>
      </c>
      <c r="B167" s="94"/>
      <c r="C167" s="95" t="s">
        <v>51</v>
      </c>
      <c r="D167" s="95" t="s">
        <v>47</v>
      </c>
      <c r="E167" s="95" t="s">
        <v>456</v>
      </c>
      <c r="F167" s="95" t="s">
        <v>55</v>
      </c>
      <c r="G167" s="97">
        <v>5</v>
      </c>
      <c r="H167" s="97">
        <v>6</v>
      </c>
      <c r="I167" s="97">
        <v>2025</v>
      </c>
      <c r="J167" s="97">
        <v>345</v>
      </c>
      <c r="K167" s="97" t="s">
        <v>56</v>
      </c>
      <c r="L167" s="98" t="s">
        <v>57</v>
      </c>
      <c r="M167" s="95">
        <v>1</v>
      </c>
      <c r="N167" s="97"/>
      <c r="O167" s="98"/>
      <c r="P167" s="99"/>
      <c r="Q167" s="99"/>
      <c r="R167" s="99"/>
      <c r="S167" s="98" t="s">
        <v>264</v>
      </c>
      <c r="T167" s="174">
        <v>495</v>
      </c>
      <c r="U167" s="94">
        <v>3040</v>
      </c>
      <c r="V167" s="100"/>
      <c r="W167" s="100"/>
      <c r="X167" s="100"/>
      <c r="Y167" s="100"/>
      <c r="Z167" s="101" t="s">
        <v>5</v>
      </c>
      <c r="AA167" s="100" t="s">
        <v>58</v>
      </c>
      <c r="AB167" s="100"/>
      <c r="AC167" s="100"/>
      <c r="AD167" s="100"/>
      <c r="AE167" s="102">
        <v>12</v>
      </c>
      <c r="AF167" s="103">
        <v>104</v>
      </c>
      <c r="AG167" s="103">
        <v>90</v>
      </c>
      <c r="AH167" s="104">
        <v>97</v>
      </c>
      <c r="AI167" s="102">
        <v>8.8699999999999992</v>
      </c>
      <c r="AJ167" s="105"/>
      <c r="AK167" s="105">
        <v>0</v>
      </c>
      <c r="AL167" s="113"/>
      <c r="AM167" s="113"/>
      <c r="AN167" s="115"/>
      <c r="AO167" s="113"/>
      <c r="AP167" s="113"/>
      <c r="AQ167" s="106"/>
      <c r="AR167" s="106"/>
      <c r="AS167" s="110"/>
      <c r="AT167" s="110"/>
      <c r="AU167" s="111"/>
      <c r="AV167" s="112" t="s">
        <v>54</v>
      </c>
      <c r="AW167" s="110"/>
      <c r="AX167" s="138">
        <v>167</v>
      </c>
    </row>
    <row r="168" spans="1:50" ht="21" x14ac:dyDescent="0.25">
      <c r="A168" s="138">
        <v>168</v>
      </c>
      <c r="B168" s="94"/>
      <c r="C168" s="95" t="s">
        <v>51</v>
      </c>
      <c r="D168" s="95" t="s">
        <v>47</v>
      </c>
      <c r="E168" s="95" t="s">
        <v>456</v>
      </c>
      <c r="F168" s="95" t="s">
        <v>55</v>
      </c>
      <c r="G168" s="97">
        <v>5</v>
      </c>
      <c r="H168" s="97">
        <v>6</v>
      </c>
      <c r="I168" s="97">
        <v>2025</v>
      </c>
      <c r="J168" s="97">
        <v>345</v>
      </c>
      <c r="K168" s="97" t="s">
        <v>56</v>
      </c>
      <c r="L168" s="98" t="s">
        <v>57</v>
      </c>
      <c r="M168" s="95">
        <v>1</v>
      </c>
      <c r="N168" s="97"/>
      <c r="O168" s="98"/>
      <c r="P168" s="99"/>
      <c r="Q168" s="99"/>
      <c r="R168" s="99"/>
      <c r="S168" s="98" t="s">
        <v>338</v>
      </c>
      <c r="T168" s="174">
        <v>496</v>
      </c>
      <c r="U168" s="94">
        <v>3428</v>
      </c>
      <c r="V168" s="100"/>
      <c r="W168" s="100"/>
      <c r="X168" s="100"/>
      <c r="Y168" s="100"/>
      <c r="Z168" s="101" t="s">
        <v>0</v>
      </c>
      <c r="AA168" s="100" t="s">
        <v>58</v>
      </c>
      <c r="AB168" s="100"/>
      <c r="AC168" s="100"/>
      <c r="AD168" s="100"/>
      <c r="AE168" s="102">
        <v>20.7</v>
      </c>
      <c r="AF168" s="103">
        <v>63</v>
      </c>
      <c r="AG168" s="103">
        <v>47</v>
      </c>
      <c r="AH168" s="104">
        <v>55</v>
      </c>
      <c r="AI168" s="102">
        <v>4.92</v>
      </c>
      <c r="AJ168" s="105"/>
      <c r="AK168" s="105">
        <v>0</v>
      </c>
      <c r="AL168" s="113"/>
      <c r="AM168" s="106"/>
      <c r="AN168" s="114"/>
      <c r="AO168" s="108"/>
      <c r="AP168" s="108"/>
      <c r="AQ168" s="108"/>
      <c r="AR168" s="109"/>
      <c r="AS168" s="110"/>
      <c r="AT168" s="110"/>
      <c r="AU168" s="111"/>
      <c r="AV168" s="112" t="s">
        <v>54</v>
      </c>
      <c r="AW168" s="110"/>
      <c r="AX168" s="138">
        <v>168</v>
      </c>
    </row>
    <row r="169" spans="1:50" ht="21" x14ac:dyDescent="0.25">
      <c r="A169" s="138">
        <v>169</v>
      </c>
      <c r="B169" s="94"/>
      <c r="C169" s="95" t="s">
        <v>51</v>
      </c>
      <c r="D169" s="95" t="s">
        <v>47</v>
      </c>
      <c r="E169" s="95" t="s">
        <v>456</v>
      </c>
      <c r="F169" s="95" t="s">
        <v>55</v>
      </c>
      <c r="G169" s="97">
        <v>5</v>
      </c>
      <c r="H169" s="97">
        <v>6</v>
      </c>
      <c r="I169" s="97">
        <v>2025</v>
      </c>
      <c r="J169" s="97">
        <v>345</v>
      </c>
      <c r="K169" s="97" t="s">
        <v>56</v>
      </c>
      <c r="L169" s="98" t="s">
        <v>57</v>
      </c>
      <c r="M169" s="95">
        <v>1</v>
      </c>
      <c r="N169" s="97"/>
      <c r="O169" s="98"/>
      <c r="P169" s="99"/>
      <c r="Q169" s="99"/>
      <c r="R169" s="99"/>
      <c r="S169" s="116" t="s">
        <v>96</v>
      </c>
      <c r="T169" s="174">
        <v>497</v>
      </c>
      <c r="U169" s="175">
        <v>220</v>
      </c>
      <c r="V169" s="100"/>
      <c r="W169" s="117"/>
      <c r="X169" s="117"/>
      <c r="Y169" s="117"/>
      <c r="Z169" s="106" t="s">
        <v>3</v>
      </c>
      <c r="AA169" s="117" t="s">
        <v>58</v>
      </c>
      <c r="AB169" s="117"/>
      <c r="AC169" s="117"/>
      <c r="AD169" s="117"/>
      <c r="AE169" s="118">
        <v>20.5</v>
      </c>
      <c r="AF169" s="112">
        <v>60</v>
      </c>
      <c r="AG169" s="112">
        <v>45</v>
      </c>
      <c r="AH169" s="113">
        <v>52</v>
      </c>
      <c r="AI169" s="119">
        <v>4.3499999999999996</v>
      </c>
      <c r="AJ169" s="120"/>
      <c r="AK169" s="120">
        <v>0</v>
      </c>
      <c r="AL169" s="113"/>
      <c r="AM169" s="113"/>
      <c r="AN169" s="115"/>
      <c r="AO169" s="113"/>
      <c r="AP169" s="113"/>
      <c r="AQ169" s="108"/>
      <c r="AR169" s="109"/>
      <c r="AS169" s="110"/>
      <c r="AT169" s="110"/>
      <c r="AU169" s="110"/>
      <c r="AV169" s="112" t="s">
        <v>54</v>
      </c>
      <c r="AW169" s="110"/>
      <c r="AX169" s="138">
        <v>169</v>
      </c>
    </row>
    <row r="170" spans="1:50" ht="21" x14ac:dyDescent="0.25">
      <c r="A170" s="138">
        <v>170</v>
      </c>
      <c r="B170" s="94"/>
      <c r="C170" s="95" t="s">
        <v>51</v>
      </c>
      <c r="D170" s="95" t="s">
        <v>47</v>
      </c>
      <c r="E170" s="95" t="s">
        <v>456</v>
      </c>
      <c r="F170" s="95" t="s">
        <v>55</v>
      </c>
      <c r="G170" s="97">
        <v>5</v>
      </c>
      <c r="H170" s="97">
        <v>6</v>
      </c>
      <c r="I170" s="97">
        <v>2025</v>
      </c>
      <c r="J170" s="97">
        <v>345</v>
      </c>
      <c r="K170" s="97" t="s">
        <v>56</v>
      </c>
      <c r="L170" s="98" t="s">
        <v>57</v>
      </c>
      <c r="M170" s="95">
        <v>1</v>
      </c>
      <c r="N170" s="97"/>
      <c r="O170" s="98"/>
      <c r="P170" s="99"/>
      <c r="Q170" s="99"/>
      <c r="R170" s="99"/>
      <c r="S170" s="98" t="s">
        <v>443</v>
      </c>
      <c r="T170" s="174">
        <v>498</v>
      </c>
      <c r="U170" s="94">
        <v>3739</v>
      </c>
      <c r="V170" s="100"/>
      <c r="W170" s="100"/>
      <c r="X170" s="100"/>
      <c r="Y170" s="100"/>
      <c r="Z170" s="101" t="s">
        <v>1</v>
      </c>
      <c r="AA170" s="100" t="s">
        <v>58</v>
      </c>
      <c r="AB170" s="100"/>
      <c r="AC170" s="100"/>
      <c r="AD170" s="100"/>
      <c r="AE170" s="121">
        <v>20.7</v>
      </c>
      <c r="AF170" s="103">
        <v>49</v>
      </c>
      <c r="AG170" s="103">
        <v>31</v>
      </c>
      <c r="AH170" s="104">
        <v>40</v>
      </c>
      <c r="AI170" s="102">
        <v>2.6</v>
      </c>
      <c r="AJ170" s="105"/>
      <c r="AK170" s="105">
        <v>0</v>
      </c>
      <c r="AL170" s="113">
        <v>18</v>
      </c>
      <c r="AM170" s="106">
        <f>COUNT(AI161:AI170)</f>
        <v>10</v>
      </c>
      <c r="AN170" s="114">
        <f>SUM(AI161:AI170)</f>
        <v>47.13</v>
      </c>
      <c r="AO170" s="108"/>
      <c r="AP170" s="108"/>
      <c r="AQ170" s="108"/>
      <c r="AR170" s="109"/>
      <c r="AS170" s="110"/>
      <c r="AT170" s="110"/>
      <c r="AU170" s="111"/>
      <c r="AV170" s="112" t="s">
        <v>54</v>
      </c>
      <c r="AW170" s="110"/>
      <c r="AX170" s="138">
        <v>170</v>
      </c>
    </row>
    <row r="171" spans="1:50" ht="21" x14ac:dyDescent="0.25">
      <c r="A171" s="138">
        <v>171</v>
      </c>
      <c r="B171" s="94">
        <v>19</v>
      </c>
      <c r="C171" s="95" t="s">
        <v>51</v>
      </c>
      <c r="D171" s="95" t="s">
        <v>47</v>
      </c>
      <c r="E171" s="95" t="s">
        <v>48</v>
      </c>
      <c r="F171" s="95" t="s">
        <v>55</v>
      </c>
      <c r="G171" s="97">
        <v>5</v>
      </c>
      <c r="H171" s="97">
        <v>6</v>
      </c>
      <c r="I171" s="97">
        <v>2025</v>
      </c>
      <c r="J171" s="97">
        <v>335</v>
      </c>
      <c r="K171" s="97" t="s">
        <v>474</v>
      </c>
      <c r="L171" s="98" t="s">
        <v>475</v>
      </c>
      <c r="M171" s="95">
        <v>1</v>
      </c>
      <c r="N171" s="100"/>
      <c r="O171" s="133"/>
      <c r="P171" s="134"/>
      <c r="Q171" s="134"/>
      <c r="R171" s="134"/>
      <c r="S171" s="133" t="s">
        <v>190</v>
      </c>
      <c r="T171" s="174">
        <v>499</v>
      </c>
      <c r="U171" s="94">
        <v>2832</v>
      </c>
      <c r="V171" s="100"/>
      <c r="W171" s="100"/>
      <c r="X171" s="100"/>
      <c r="Y171" s="100"/>
      <c r="Z171" s="122" t="s">
        <v>0</v>
      </c>
      <c r="AA171" s="100" t="s">
        <v>58</v>
      </c>
      <c r="AB171" s="100"/>
      <c r="AC171" s="100"/>
      <c r="AD171" s="100"/>
      <c r="AE171" s="102">
        <v>20</v>
      </c>
      <c r="AF171" s="105">
        <v>78</v>
      </c>
      <c r="AG171" s="105">
        <v>59</v>
      </c>
      <c r="AH171" s="127">
        <v>68</v>
      </c>
      <c r="AI171" s="102">
        <v>7.26</v>
      </c>
      <c r="AJ171" s="127"/>
      <c r="AK171" s="127">
        <v>0</v>
      </c>
      <c r="AL171" s="108"/>
      <c r="AM171" s="108"/>
      <c r="AN171" s="114"/>
      <c r="AO171" s="108"/>
      <c r="AP171" s="108"/>
      <c r="AQ171" s="108"/>
      <c r="AR171" s="109"/>
      <c r="AS171" s="109"/>
      <c r="AT171" s="109"/>
      <c r="AU171" s="122"/>
      <c r="AV171" s="112" t="s">
        <v>54</v>
      </c>
      <c r="AW171" s="109"/>
      <c r="AX171" s="138">
        <v>171</v>
      </c>
    </row>
    <row r="172" spans="1:50" ht="21" x14ac:dyDescent="0.25">
      <c r="A172" s="138">
        <v>172</v>
      </c>
      <c r="B172" s="94"/>
      <c r="C172" s="95" t="s">
        <v>51</v>
      </c>
      <c r="D172" s="95" t="s">
        <v>47</v>
      </c>
      <c r="E172" s="95" t="s">
        <v>48</v>
      </c>
      <c r="F172" s="95" t="s">
        <v>55</v>
      </c>
      <c r="G172" s="97">
        <v>5</v>
      </c>
      <c r="H172" s="97">
        <v>6</v>
      </c>
      <c r="I172" s="97">
        <v>2025</v>
      </c>
      <c r="J172" s="97">
        <v>335</v>
      </c>
      <c r="K172" s="97" t="s">
        <v>474</v>
      </c>
      <c r="L172" s="98" t="s">
        <v>475</v>
      </c>
      <c r="M172" s="95">
        <v>1</v>
      </c>
      <c r="N172" s="97"/>
      <c r="O172" s="98"/>
      <c r="P172" s="99"/>
      <c r="Q172" s="99"/>
      <c r="R172" s="99"/>
      <c r="S172" s="98" t="s">
        <v>439</v>
      </c>
      <c r="T172" s="174">
        <v>500</v>
      </c>
      <c r="U172" s="94">
        <v>3735</v>
      </c>
      <c r="V172" s="100"/>
      <c r="W172" s="100"/>
      <c r="X172" s="100"/>
      <c r="Y172" s="100"/>
      <c r="Z172" s="101" t="s">
        <v>0</v>
      </c>
      <c r="AA172" s="100" t="s">
        <v>58</v>
      </c>
      <c r="AB172" s="100"/>
      <c r="AC172" s="100"/>
      <c r="AD172" s="100"/>
      <c r="AE172" s="121">
        <v>13.6</v>
      </c>
      <c r="AF172" s="103">
        <v>58</v>
      </c>
      <c r="AG172" s="103">
        <v>50</v>
      </c>
      <c r="AH172" s="104">
        <v>54</v>
      </c>
      <c r="AI172" s="121">
        <v>3.11</v>
      </c>
      <c r="AJ172" s="103"/>
      <c r="AK172" s="103">
        <v>0</v>
      </c>
      <c r="AL172" s="113"/>
      <c r="AM172" s="106"/>
      <c r="AN172" s="114"/>
      <c r="AO172" s="108"/>
      <c r="AP172" s="108"/>
      <c r="AQ172" s="108"/>
      <c r="AR172" s="109"/>
      <c r="AS172" s="110"/>
      <c r="AT172" s="110"/>
      <c r="AU172" s="111"/>
      <c r="AV172" s="112" t="s">
        <v>54</v>
      </c>
      <c r="AW172" s="110"/>
      <c r="AX172" s="138">
        <v>172</v>
      </c>
    </row>
    <row r="173" spans="1:50" ht="21" x14ac:dyDescent="0.25">
      <c r="A173" s="138">
        <v>173</v>
      </c>
      <c r="B173" s="94"/>
      <c r="C173" s="95" t="s">
        <v>51</v>
      </c>
      <c r="D173" s="95" t="s">
        <v>47</v>
      </c>
      <c r="E173" s="95" t="s">
        <v>48</v>
      </c>
      <c r="F173" s="95" t="s">
        <v>55</v>
      </c>
      <c r="G173" s="97">
        <v>5</v>
      </c>
      <c r="H173" s="97">
        <v>6</v>
      </c>
      <c r="I173" s="97">
        <v>2025</v>
      </c>
      <c r="J173" s="97">
        <v>335</v>
      </c>
      <c r="K173" s="97" t="s">
        <v>474</v>
      </c>
      <c r="L173" s="98" t="s">
        <v>475</v>
      </c>
      <c r="M173" s="95">
        <v>1</v>
      </c>
      <c r="N173" s="97"/>
      <c r="O173" s="98"/>
      <c r="P173" s="99"/>
      <c r="Q173" s="99"/>
      <c r="R173" s="99"/>
      <c r="S173" s="98" t="s">
        <v>152</v>
      </c>
      <c r="T173" s="174">
        <v>501</v>
      </c>
      <c r="U173" s="94">
        <v>349</v>
      </c>
      <c r="V173" s="100"/>
      <c r="W173" s="100"/>
      <c r="X173" s="100"/>
      <c r="Y173" s="100"/>
      <c r="Z173" s="101" t="s">
        <v>5</v>
      </c>
      <c r="AA173" s="100" t="s">
        <v>58</v>
      </c>
      <c r="AB173" s="100"/>
      <c r="AC173" s="100"/>
      <c r="AD173" s="100"/>
      <c r="AE173" s="102">
        <v>13.7</v>
      </c>
      <c r="AF173" s="103">
        <v>90</v>
      </c>
      <c r="AG173" s="103">
        <v>68</v>
      </c>
      <c r="AH173" s="104">
        <v>79</v>
      </c>
      <c r="AI173" s="102">
        <v>6.32</v>
      </c>
      <c r="AJ173" s="105">
        <v>17</v>
      </c>
      <c r="AK173" s="105">
        <v>5.9</v>
      </c>
      <c r="AL173" s="113"/>
      <c r="AM173" s="106"/>
      <c r="AN173" s="114"/>
      <c r="AO173" s="108"/>
      <c r="AP173" s="108"/>
      <c r="AQ173" s="108"/>
      <c r="AR173" s="109"/>
      <c r="AS173" s="110"/>
      <c r="AT173" s="110"/>
      <c r="AU173" s="111"/>
      <c r="AV173" s="112" t="s">
        <v>54</v>
      </c>
      <c r="AW173" s="110"/>
      <c r="AX173" s="138">
        <v>173</v>
      </c>
    </row>
    <row r="174" spans="1:50" s="1" customFormat="1" ht="21" x14ac:dyDescent="0.25">
      <c r="A174" s="138">
        <v>174</v>
      </c>
      <c r="B174" s="94"/>
      <c r="C174" s="95" t="s">
        <v>51</v>
      </c>
      <c r="D174" s="95" t="s">
        <v>47</v>
      </c>
      <c r="E174" s="95" t="s">
        <v>48</v>
      </c>
      <c r="F174" s="95" t="s">
        <v>55</v>
      </c>
      <c r="G174" s="97">
        <v>5</v>
      </c>
      <c r="H174" s="97">
        <v>6</v>
      </c>
      <c r="I174" s="97">
        <v>2025</v>
      </c>
      <c r="J174" s="97">
        <v>335</v>
      </c>
      <c r="K174" s="97" t="s">
        <v>474</v>
      </c>
      <c r="L174" s="98" t="s">
        <v>475</v>
      </c>
      <c r="M174" s="95">
        <v>1</v>
      </c>
      <c r="N174" s="97"/>
      <c r="O174" s="98"/>
      <c r="P174" s="99"/>
      <c r="Q174" s="99"/>
      <c r="R174" s="99"/>
      <c r="S174" s="98" t="s">
        <v>339</v>
      </c>
      <c r="T174" s="174">
        <v>502</v>
      </c>
      <c r="U174" s="94">
        <v>3430</v>
      </c>
      <c r="V174" s="100"/>
      <c r="W174" s="100"/>
      <c r="X174" s="100"/>
      <c r="Y174" s="100"/>
      <c r="Z174" s="101" t="s">
        <v>0</v>
      </c>
      <c r="AA174" s="100" t="s">
        <v>58</v>
      </c>
      <c r="AB174" s="100"/>
      <c r="AC174" s="100"/>
      <c r="AD174" s="100"/>
      <c r="AE174" s="102">
        <v>20.8</v>
      </c>
      <c r="AF174" s="103">
        <v>73</v>
      </c>
      <c r="AG174" s="103">
        <v>52</v>
      </c>
      <c r="AH174" s="104">
        <v>62</v>
      </c>
      <c r="AI174" s="102">
        <v>6.28</v>
      </c>
      <c r="AJ174" s="105"/>
      <c r="AK174" s="105">
        <v>0</v>
      </c>
      <c r="AL174" s="113"/>
      <c r="AM174" s="106"/>
      <c r="AN174" s="131"/>
      <c r="AO174" s="108"/>
      <c r="AP174" s="108"/>
      <c r="AQ174" s="108"/>
      <c r="AR174" s="109"/>
      <c r="AS174" s="110"/>
      <c r="AT174" s="110"/>
      <c r="AU174" s="111"/>
      <c r="AV174" s="112" t="s">
        <v>54</v>
      </c>
      <c r="AW174" s="110"/>
      <c r="AX174" s="138">
        <v>174</v>
      </c>
    </row>
    <row r="175" spans="1:50" ht="21" x14ac:dyDescent="0.25">
      <c r="A175" s="138">
        <v>175</v>
      </c>
      <c r="B175" s="94"/>
      <c r="C175" s="95" t="s">
        <v>51</v>
      </c>
      <c r="D175" s="95" t="s">
        <v>47</v>
      </c>
      <c r="E175" s="95" t="s">
        <v>48</v>
      </c>
      <c r="F175" s="95" t="s">
        <v>55</v>
      </c>
      <c r="G175" s="97">
        <v>5</v>
      </c>
      <c r="H175" s="97">
        <v>6</v>
      </c>
      <c r="I175" s="97">
        <v>2025</v>
      </c>
      <c r="J175" s="97">
        <v>335</v>
      </c>
      <c r="K175" s="97" t="s">
        <v>474</v>
      </c>
      <c r="L175" s="98" t="s">
        <v>475</v>
      </c>
      <c r="M175" s="95">
        <v>1</v>
      </c>
      <c r="N175" s="97"/>
      <c r="O175" s="98"/>
      <c r="P175" s="99"/>
      <c r="Q175" s="99"/>
      <c r="R175" s="99"/>
      <c r="S175" s="116" t="s">
        <v>95</v>
      </c>
      <c r="T175" s="174">
        <v>503</v>
      </c>
      <c r="U175" s="175">
        <v>219</v>
      </c>
      <c r="V175" s="100"/>
      <c r="W175" s="117"/>
      <c r="X175" s="117"/>
      <c r="Y175" s="117"/>
      <c r="Z175" s="106" t="s">
        <v>4</v>
      </c>
      <c r="AA175" s="117" t="s">
        <v>58</v>
      </c>
      <c r="AB175" s="117"/>
      <c r="AC175" s="117"/>
      <c r="AD175" s="117"/>
      <c r="AE175" s="118">
        <v>19.8</v>
      </c>
      <c r="AF175" s="112">
        <v>52</v>
      </c>
      <c r="AG175" s="112">
        <v>34</v>
      </c>
      <c r="AH175" s="113">
        <v>43</v>
      </c>
      <c r="AI175" s="119">
        <v>2.88</v>
      </c>
      <c r="AJ175" s="120"/>
      <c r="AK175" s="120">
        <v>0</v>
      </c>
      <c r="AL175" s="106"/>
      <c r="AM175" s="106"/>
      <c r="AN175" s="107"/>
      <c r="AO175" s="106"/>
      <c r="AP175" s="106"/>
      <c r="AQ175" s="108"/>
      <c r="AR175" s="109"/>
      <c r="AS175" s="110"/>
      <c r="AT175" s="110"/>
      <c r="AU175" s="110"/>
      <c r="AV175" s="112" t="s">
        <v>54</v>
      </c>
      <c r="AW175" s="110"/>
      <c r="AX175" s="138">
        <v>175</v>
      </c>
    </row>
    <row r="176" spans="1:50" ht="21" x14ac:dyDescent="0.25">
      <c r="A176" s="138">
        <v>176</v>
      </c>
      <c r="B176" s="94"/>
      <c r="C176" s="95" t="s">
        <v>51</v>
      </c>
      <c r="D176" s="95" t="s">
        <v>47</v>
      </c>
      <c r="E176" s="95" t="s">
        <v>48</v>
      </c>
      <c r="F176" s="95" t="s">
        <v>55</v>
      </c>
      <c r="G176" s="97">
        <v>5</v>
      </c>
      <c r="H176" s="97">
        <v>6</v>
      </c>
      <c r="I176" s="97">
        <v>2025</v>
      </c>
      <c r="J176" s="97">
        <v>335</v>
      </c>
      <c r="K176" s="97" t="s">
        <v>474</v>
      </c>
      <c r="L176" s="98" t="s">
        <v>475</v>
      </c>
      <c r="M176" s="95">
        <v>1</v>
      </c>
      <c r="N176" s="97"/>
      <c r="O176" s="98"/>
      <c r="P176" s="99"/>
      <c r="Q176" s="99"/>
      <c r="R176" s="99"/>
      <c r="S176" s="116" t="s">
        <v>124</v>
      </c>
      <c r="T176" s="174">
        <v>504</v>
      </c>
      <c r="U176" s="175">
        <v>247</v>
      </c>
      <c r="V176" s="100"/>
      <c r="W176" s="117"/>
      <c r="X176" s="117"/>
      <c r="Y176" s="117"/>
      <c r="Z176" s="106" t="s">
        <v>6</v>
      </c>
      <c r="AA176" s="117" t="s">
        <v>58</v>
      </c>
      <c r="AB176" s="117"/>
      <c r="AC176" s="117"/>
      <c r="AD176" s="117"/>
      <c r="AE176" s="119">
        <v>21.2</v>
      </c>
      <c r="AF176" s="112">
        <v>54</v>
      </c>
      <c r="AG176" s="112">
        <v>41</v>
      </c>
      <c r="AH176" s="113">
        <v>47</v>
      </c>
      <c r="AI176" s="119">
        <v>3.68</v>
      </c>
      <c r="AJ176" s="105"/>
      <c r="AK176" s="120">
        <v>0</v>
      </c>
      <c r="AL176" s="113"/>
      <c r="AM176" s="106"/>
      <c r="AN176" s="114"/>
      <c r="AO176" s="108"/>
      <c r="AP176" s="108"/>
      <c r="AQ176" s="108"/>
      <c r="AR176" s="109"/>
      <c r="AS176" s="110"/>
      <c r="AT176" s="110"/>
      <c r="AU176" s="110"/>
      <c r="AV176" s="112" t="s">
        <v>54</v>
      </c>
      <c r="AW176" s="110"/>
      <c r="AX176" s="138">
        <v>176</v>
      </c>
    </row>
    <row r="177" spans="1:50" ht="21" x14ac:dyDescent="0.25">
      <c r="A177" s="138">
        <v>177</v>
      </c>
      <c r="B177" s="94"/>
      <c r="C177" s="95" t="s">
        <v>51</v>
      </c>
      <c r="D177" s="95" t="s">
        <v>47</v>
      </c>
      <c r="E177" s="95" t="s">
        <v>48</v>
      </c>
      <c r="F177" s="95" t="s">
        <v>55</v>
      </c>
      <c r="G177" s="97">
        <v>5</v>
      </c>
      <c r="H177" s="97">
        <v>6</v>
      </c>
      <c r="I177" s="97">
        <v>2025</v>
      </c>
      <c r="J177" s="97">
        <v>335</v>
      </c>
      <c r="K177" s="97" t="s">
        <v>474</v>
      </c>
      <c r="L177" s="98" t="s">
        <v>475</v>
      </c>
      <c r="M177" s="95">
        <v>1</v>
      </c>
      <c r="N177" s="97"/>
      <c r="O177" s="98"/>
      <c r="P177" s="99"/>
      <c r="Q177" s="99"/>
      <c r="R177" s="99"/>
      <c r="S177" s="98" t="s">
        <v>450</v>
      </c>
      <c r="T177" s="174">
        <v>505</v>
      </c>
      <c r="U177" s="94">
        <v>3746</v>
      </c>
      <c r="V177" s="100"/>
      <c r="W177" s="100"/>
      <c r="X177" s="100"/>
      <c r="Y177" s="100"/>
      <c r="Z177" s="101" t="s">
        <v>0</v>
      </c>
      <c r="AA177" s="100" t="s">
        <v>58</v>
      </c>
      <c r="AB177" s="100"/>
      <c r="AC177" s="100"/>
      <c r="AD177" s="100"/>
      <c r="AE177" s="121">
        <v>20.2</v>
      </c>
      <c r="AF177" s="103">
        <v>50</v>
      </c>
      <c r="AG177" s="103">
        <v>33</v>
      </c>
      <c r="AH177" s="104">
        <v>41</v>
      </c>
      <c r="AI177" s="102">
        <v>2.67</v>
      </c>
      <c r="AJ177" s="105"/>
      <c r="AK177" s="105">
        <v>0</v>
      </c>
      <c r="AL177" s="113"/>
      <c r="AM177" s="106"/>
      <c r="AN177" s="114"/>
      <c r="AO177" s="108"/>
      <c r="AP177" s="108"/>
      <c r="AQ177" s="108"/>
      <c r="AR177" s="109"/>
      <c r="AS177" s="110"/>
      <c r="AT177" s="110"/>
      <c r="AU177" s="111"/>
      <c r="AV177" s="112" t="s">
        <v>54</v>
      </c>
      <c r="AW177" s="110"/>
      <c r="AX177" s="138">
        <v>177</v>
      </c>
    </row>
    <row r="178" spans="1:50" ht="21" x14ac:dyDescent="0.25">
      <c r="A178" s="138">
        <v>178</v>
      </c>
      <c r="B178" s="94"/>
      <c r="C178" s="95" t="s">
        <v>51</v>
      </c>
      <c r="D178" s="95" t="s">
        <v>47</v>
      </c>
      <c r="E178" s="95" t="s">
        <v>48</v>
      </c>
      <c r="F178" s="95" t="s">
        <v>55</v>
      </c>
      <c r="G178" s="97">
        <v>5</v>
      </c>
      <c r="H178" s="97">
        <v>6</v>
      </c>
      <c r="I178" s="97">
        <v>2025</v>
      </c>
      <c r="J178" s="97">
        <v>335</v>
      </c>
      <c r="K178" s="97" t="s">
        <v>474</v>
      </c>
      <c r="L178" s="98" t="s">
        <v>475</v>
      </c>
      <c r="M178" s="95">
        <v>1</v>
      </c>
      <c r="N178" s="97"/>
      <c r="O178" s="98"/>
      <c r="P178" s="99"/>
      <c r="Q178" s="99"/>
      <c r="R178" s="99"/>
      <c r="S178" s="116" t="s">
        <v>270</v>
      </c>
      <c r="T178" s="174">
        <v>506</v>
      </c>
      <c r="U178" s="175">
        <v>3048</v>
      </c>
      <c r="V178" s="100"/>
      <c r="W178" s="117"/>
      <c r="X178" s="117"/>
      <c r="Y178" s="117"/>
      <c r="Z178" s="106" t="s">
        <v>0</v>
      </c>
      <c r="AA178" s="117" t="s">
        <v>58</v>
      </c>
      <c r="AB178" s="117"/>
      <c r="AC178" s="117"/>
      <c r="AD178" s="117"/>
      <c r="AE178" s="118">
        <v>18.7</v>
      </c>
      <c r="AF178" s="112">
        <v>57</v>
      </c>
      <c r="AG178" s="112">
        <v>41</v>
      </c>
      <c r="AH178" s="113">
        <v>49</v>
      </c>
      <c r="AI178" s="119">
        <v>3.53</v>
      </c>
      <c r="AJ178" s="120"/>
      <c r="AK178" s="120">
        <v>0</v>
      </c>
      <c r="AL178" s="113"/>
      <c r="AM178" s="113"/>
      <c r="AN178" s="115"/>
      <c r="AO178" s="113"/>
      <c r="AP178" s="113"/>
      <c r="AQ178" s="108"/>
      <c r="AR178" s="109"/>
      <c r="AS178" s="110"/>
      <c r="AT178" s="110"/>
      <c r="AU178" s="110"/>
      <c r="AV178" s="112" t="s">
        <v>54</v>
      </c>
      <c r="AW178" s="110"/>
      <c r="AX178" s="138">
        <v>178</v>
      </c>
    </row>
    <row r="179" spans="1:50" ht="21" x14ac:dyDescent="0.25">
      <c r="A179" s="138">
        <v>179</v>
      </c>
      <c r="B179" s="94"/>
      <c r="C179" s="95" t="s">
        <v>51</v>
      </c>
      <c r="D179" s="95" t="s">
        <v>47</v>
      </c>
      <c r="E179" s="95" t="s">
        <v>48</v>
      </c>
      <c r="F179" s="95" t="s">
        <v>55</v>
      </c>
      <c r="G179" s="97">
        <v>5</v>
      </c>
      <c r="H179" s="97">
        <v>6</v>
      </c>
      <c r="I179" s="97">
        <v>2025</v>
      </c>
      <c r="J179" s="97">
        <v>335</v>
      </c>
      <c r="K179" s="97" t="s">
        <v>474</v>
      </c>
      <c r="L179" s="98" t="s">
        <v>475</v>
      </c>
      <c r="M179" s="95">
        <v>1</v>
      </c>
      <c r="N179" s="97"/>
      <c r="O179" s="98"/>
      <c r="P179" s="99"/>
      <c r="Q179" s="99"/>
      <c r="R179" s="99"/>
      <c r="S179" s="116" t="s">
        <v>477</v>
      </c>
      <c r="T179" s="174">
        <v>507</v>
      </c>
      <c r="U179" s="175">
        <v>3734</v>
      </c>
      <c r="V179" s="100"/>
      <c r="W179" s="117"/>
      <c r="X179" s="117"/>
      <c r="Y179" s="117"/>
      <c r="Z179" s="106" t="s">
        <v>3</v>
      </c>
      <c r="AA179" s="117"/>
      <c r="AB179" s="117"/>
      <c r="AC179" s="117"/>
      <c r="AD179" s="117"/>
      <c r="AE179" s="118">
        <v>10.3</v>
      </c>
      <c r="AF179" s="112">
        <v>51</v>
      </c>
      <c r="AG179" s="112">
        <v>34</v>
      </c>
      <c r="AH179" s="113">
        <v>42</v>
      </c>
      <c r="AI179" s="119">
        <v>1.1299999999999999</v>
      </c>
      <c r="AJ179" s="120"/>
      <c r="AK179" s="120"/>
      <c r="AL179" s="113"/>
      <c r="AM179" s="113"/>
      <c r="AN179" s="115"/>
      <c r="AO179" s="113"/>
      <c r="AP179" s="113"/>
      <c r="AQ179" s="108"/>
      <c r="AR179" s="109"/>
      <c r="AS179" s="110"/>
      <c r="AT179" s="110"/>
      <c r="AU179" s="110"/>
      <c r="AV179" s="112" t="s">
        <v>54</v>
      </c>
      <c r="AW179" s="110"/>
      <c r="AX179" s="138">
        <v>179</v>
      </c>
    </row>
    <row r="180" spans="1:50" ht="21" x14ac:dyDescent="0.25">
      <c r="A180" s="138">
        <v>180</v>
      </c>
      <c r="B180" s="94"/>
      <c r="C180" s="95" t="s">
        <v>51</v>
      </c>
      <c r="D180" s="95" t="s">
        <v>47</v>
      </c>
      <c r="E180" s="95" t="s">
        <v>48</v>
      </c>
      <c r="F180" s="95" t="s">
        <v>55</v>
      </c>
      <c r="G180" s="97">
        <v>5</v>
      </c>
      <c r="H180" s="97">
        <v>6</v>
      </c>
      <c r="I180" s="97">
        <v>2025</v>
      </c>
      <c r="J180" s="97">
        <v>335</v>
      </c>
      <c r="K180" s="97" t="s">
        <v>474</v>
      </c>
      <c r="L180" s="98" t="s">
        <v>475</v>
      </c>
      <c r="M180" s="95">
        <v>1</v>
      </c>
      <c r="N180" s="122"/>
      <c r="O180" s="133"/>
      <c r="P180" s="134"/>
      <c r="Q180" s="134"/>
      <c r="R180" s="134"/>
      <c r="S180" s="133" t="s">
        <v>189</v>
      </c>
      <c r="T180" s="174">
        <v>508</v>
      </c>
      <c r="U180" s="94">
        <v>2831</v>
      </c>
      <c r="V180" s="100"/>
      <c r="W180" s="100"/>
      <c r="X180" s="100"/>
      <c r="Y180" s="100"/>
      <c r="Z180" s="122" t="s">
        <v>5</v>
      </c>
      <c r="AA180" s="100" t="s">
        <v>58</v>
      </c>
      <c r="AB180" s="100"/>
      <c r="AC180" s="100"/>
      <c r="AD180" s="100"/>
      <c r="AE180" s="102">
        <v>20</v>
      </c>
      <c r="AF180" s="105">
        <v>83</v>
      </c>
      <c r="AG180" s="105">
        <v>57</v>
      </c>
      <c r="AH180" s="127">
        <v>70</v>
      </c>
      <c r="AI180" s="102">
        <v>7.7</v>
      </c>
      <c r="AJ180" s="127"/>
      <c r="AK180" s="127">
        <v>0</v>
      </c>
      <c r="AL180" s="108"/>
      <c r="AM180" s="108"/>
      <c r="AN180" s="114"/>
      <c r="AO180" s="108"/>
      <c r="AP180" s="108"/>
      <c r="AQ180" s="108"/>
      <c r="AR180" s="109"/>
      <c r="AS180" s="109"/>
      <c r="AT180" s="109"/>
      <c r="AU180" s="122"/>
      <c r="AV180" s="112" t="s">
        <v>54</v>
      </c>
      <c r="AW180" s="109"/>
      <c r="AX180" s="138">
        <v>180</v>
      </c>
    </row>
    <row r="181" spans="1:50" ht="21" x14ac:dyDescent="0.25">
      <c r="A181" s="138">
        <v>181</v>
      </c>
      <c r="B181" s="94"/>
      <c r="C181" s="95" t="s">
        <v>51</v>
      </c>
      <c r="D181" s="95" t="s">
        <v>47</v>
      </c>
      <c r="E181" s="95" t="s">
        <v>48</v>
      </c>
      <c r="F181" s="95" t="s">
        <v>55</v>
      </c>
      <c r="G181" s="97">
        <v>5</v>
      </c>
      <c r="H181" s="97">
        <v>6</v>
      </c>
      <c r="I181" s="97">
        <v>2025</v>
      </c>
      <c r="J181" s="97">
        <v>335</v>
      </c>
      <c r="K181" s="97" t="s">
        <v>474</v>
      </c>
      <c r="L181" s="98" t="s">
        <v>475</v>
      </c>
      <c r="M181" s="95">
        <v>1</v>
      </c>
      <c r="N181" s="97"/>
      <c r="O181" s="98"/>
      <c r="P181" s="99"/>
      <c r="Q181" s="99"/>
      <c r="R181" s="99"/>
      <c r="S181" s="98" t="s">
        <v>452</v>
      </c>
      <c r="T181" s="174">
        <v>509</v>
      </c>
      <c r="U181" s="94">
        <v>3748</v>
      </c>
      <c r="V181" s="100"/>
      <c r="W181" s="100"/>
      <c r="X181" s="100"/>
      <c r="Y181" s="100"/>
      <c r="Z181" s="101" t="s">
        <v>0</v>
      </c>
      <c r="AA181" s="100" t="s">
        <v>58</v>
      </c>
      <c r="AB181" s="100"/>
      <c r="AC181" s="100"/>
      <c r="AD181" s="100"/>
      <c r="AE181" s="121">
        <v>13.5</v>
      </c>
      <c r="AF181" s="103">
        <v>67</v>
      </c>
      <c r="AG181" s="103">
        <v>46</v>
      </c>
      <c r="AH181" s="104">
        <v>56</v>
      </c>
      <c r="AI181" s="121">
        <v>3.33</v>
      </c>
      <c r="AJ181" s="103"/>
      <c r="AK181" s="103">
        <v>0</v>
      </c>
      <c r="AL181" s="113">
        <v>19</v>
      </c>
      <c r="AM181" s="106">
        <f>COUNT(AI171:AI181)</f>
        <v>11</v>
      </c>
      <c r="AN181" s="114">
        <f>SUM(AI171:AI181)</f>
        <v>47.89</v>
      </c>
      <c r="AO181" s="108"/>
      <c r="AP181" s="108"/>
      <c r="AQ181" s="108"/>
      <c r="AR181" s="109"/>
      <c r="AS181" s="110"/>
      <c r="AT181" s="110"/>
      <c r="AU181" s="111"/>
      <c r="AV181" s="112" t="s">
        <v>54</v>
      </c>
      <c r="AW181" s="110"/>
      <c r="AX181" s="138">
        <v>181</v>
      </c>
    </row>
    <row r="182" spans="1:50" ht="21" x14ac:dyDescent="0.25">
      <c r="A182" s="138">
        <v>182</v>
      </c>
      <c r="B182" s="94">
        <v>20</v>
      </c>
      <c r="C182" s="95" t="s">
        <v>51</v>
      </c>
      <c r="D182" s="95" t="s">
        <v>47</v>
      </c>
      <c r="E182" s="95" t="s">
        <v>48</v>
      </c>
      <c r="F182" s="95" t="s">
        <v>55</v>
      </c>
      <c r="G182" s="97">
        <v>5</v>
      </c>
      <c r="H182" s="97">
        <v>6</v>
      </c>
      <c r="I182" s="97">
        <v>2025</v>
      </c>
      <c r="J182" s="97">
        <v>332</v>
      </c>
      <c r="K182" s="97" t="s">
        <v>459</v>
      </c>
      <c r="L182" s="98" t="s">
        <v>460</v>
      </c>
      <c r="M182" s="95">
        <v>1</v>
      </c>
      <c r="N182" s="97"/>
      <c r="O182" s="98"/>
      <c r="P182" s="99"/>
      <c r="Q182" s="99"/>
      <c r="R182" s="99"/>
      <c r="S182" s="98" t="s">
        <v>441</v>
      </c>
      <c r="T182" s="174">
        <v>510</v>
      </c>
      <c r="U182" s="94">
        <v>3737</v>
      </c>
      <c r="V182" s="100"/>
      <c r="W182" s="100"/>
      <c r="X182" s="100"/>
      <c r="Y182" s="100"/>
      <c r="Z182" s="101" t="s">
        <v>0</v>
      </c>
      <c r="AA182" s="100" t="s">
        <v>58</v>
      </c>
      <c r="AB182" s="100"/>
      <c r="AC182" s="100"/>
      <c r="AD182" s="100"/>
      <c r="AE182" s="121">
        <v>20.8</v>
      </c>
      <c r="AF182" s="103">
        <v>88</v>
      </c>
      <c r="AG182" s="103">
        <v>73</v>
      </c>
      <c r="AH182" s="104">
        <v>80</v>
      </c>
      <c r="AI182" s="102">
        <v>10.46</v>
      </c>
      <c r="AJ182" s="105"/>
      <c r="AK182" s="105">
        <v>0</v>
      </c>
      <c r="AL182" s="113"/>
      <c r="AM182" s="106"/>
      <c r="AN182" s="114"/>
      <c r="AO182" s="108"/>
      <c r="AP182" s="108"/>
      <c r="AQ182" s="108"/>
      <c r="AR182" s="109"/>
      <c r="AS182" s="110"/>
      <c r="AT182" s="110"/>
      <c r="AU182" s="111"/>
      <c r="AV182" s="112" t="s">
        <v>54</v>
      </c>
      <c r="AW182" s="110"/>
      <c r="AX182" s="138">
        <v>182</v>
      </c>
    </row>
    <row r="183" spans="1:50" ht="21" x14ac:dyDescent="0.25">
      <c r="A183" s="138">
        <v>183</v>
      </c>
      <c r="B183" s="94"/>
      <c r="C183" s="95" t="s">
        <v>51</v>
      </c>
      <c r="D183" s="95" t="s">
        <v>47</v>
      </c>
      <c r="E183" s="95" t="s">
        <v>48</v>
      </c>
      <c r="F183" s="95" t="s">
        <v>55</v>
      </c>
      <c r="G183" s="97">
        <v>5</v>
      </c>
      <c r="H183" s="97">
        <v>6</v>
      </c>
      <c r="I183" s="97">
        <v>2025</v>
      </c>
      <c r="J183" s="97">
        <v>332</v>
      </c>
      <c r="K183" s="97" t="s">
        <v>459</v>
      </c>
      <c r="L183" s="98" t="s">
        <v>460</v>
      </c>
      <c r="M183" s="95">
        <v>1</v>
      </c>
      <c r="N183" s="97"/>
      <c r="O183" s="98"/>
      <c r="P183" s="99"/>
      <c r="Q183" s="99"/>
      <c r="R183" s="99"/>
      <c r="S183" s="116" t="s">
        <v>320</v>
      </c>
      <c r="T183" s="174">
        <v>511</v>
      </c>
      <c r="U183" s="175">
        <v>3408</v>
      </c>
      <c r="V183" s="100"/>
      <c r="W183" s="117"/>
      <c r="X183" s="117"/>
      <c r="Y183" s="117"/>
      <c r="Z183" s="106" t="s">
        <v>0</v>
      </c>
      <c r="AA183" s="117" t="s">
        <v>58</v>
      </c>
      <c r="AB183" s="117"/>
      <c r="AC183" s="117"/>
      <c r="AD183" s="117"/>
      <c r="AE183" s="118">
        <v>15.4</v>
      </c>
      <c r="AF183" s="112">
        <v>71</v>
      </c>
      <c r="AG183" s="112">
        <v>57</v>
      </c>
      <c r="AH183" s="113">
        <v>64</v>
      </c>
      <c r="AI183" s="119">
        <v>4.95</v>
      </c>
      <c r="AJ183" s="120"/>
      <c r="AK183" s="120">
        <v>0</v>
      </c>
      <c r="AL183" s="113"/>
      <c r="AM183" s="106"/>
      <c r="AN183" s="114"/>
      <c r="AO183" s="108"/>
      <c r="AP183" s="108"/>
      <c r="AQ183" s="108"/>
      <c r="AR183" s="109"/>
      <c r="AS183" s="110"/>
      <c r="AT183" s="110"/>
      <c r="AU183" s="110"/>
      <c r="AV183" s="112" t="s">
        <v>54</v>
      </c>
      <c r="AW183" s="110"/>
      <c r="AX183" s="138">
        <v>183</v>
      </c>
    </row>
    <row r="184" spans="1:50" ht="21" x14ac:dyDescent="0.25">
      <c r="A184" s="138">
        <v>184</v>
      </c>
      <c r="B184" s="94"/>
      <c r="C184" s="95" t="s">
        <v>51</v>
      </c>
      <c r="D184" s="95" t="s">
        <v>47</v>
      </c>
      <c r="E184" s="95" t="s">
        <v>48</v>
      </c>
      <c r="F184" s="95" t="s">
        <v>55</v>
      </c>
      <c r="G184" s="97">
        <v>5</v>
      </c>
      <c r="H184" s="97">
        <v>6</v>
      </c>
      <c r="I184" s="97">
        <v>2025</v>
      </c>
      <c r="J184" s="97">
        <v>332</v>
      </c>
      <c r="K184" s="97" t="s">
        <v>459</v>
      </c>
      <c r="L184" s="98" t="s">
        <v>460</v>
      </c>
      <c r="M184" s="95">
        <v>1</v>
      </c>
      <c r="N184" s="97"/>
      <c r="O184" s="98"/>
      <c r="P184" s="99"/>
      <c r="Q184" s="99"/>
      <c r="R184" s="99"/>
      <c r="S184" s="116" t="s">
        <v>319</v>
      </c>
      <c r="T184" s="174">
        <v>512</v>
      </c>
      <c r="U184" s="175">
        <v>3407</v>
      </c>
      <c r="V184" s="100"/>
      <c r="W184" s="117"/>
      <c r="X184" s="117"/>
      <c r="Y184" s="117"/>
      <c r="Z184" s="106" t="s">
        <v>7</v>
      </c>
      <c r="AA184" s="117" t="s">
        <v>58</v>
      </c>
      <c r="AB184" s="117"/>
      <c r="AC184" s="117"/>
      <c r="AD184" s="117"/>
      <c r="AE184" s="119">
        <v>17.600000000000001</v>
      </c>
      <c r="AF184" s="112">
        <v>66</v>
      </c>
      <c r="AG184" s="112">
        <v>37</v>
      </c>
      <c r="AH184" s="113">
        <v>51</v>
      </c>
      <c r="AI184" s="119">
        <v>3.6</v>
      </c>
      <c r="AJ184" s="120"/>
      <c r="AK184" s="120">
        <v>0</v>
      </c>
      <c r="AL184" s="106"/>
      <c r="AM184" s="106"/>
      <c r="AN184" s="107"/>
      <c r="AO184" s="106"/>
      <c r="AP184" s="106"/>
      <c r="AQ184" s="108"/>
      <c r="AR184" s="109"/>
      <c r="AS184" s="110"/>
      <c r="AT184" s="110"/>
      <c r="AU184" s="110"/>
      <c r="AV184" s="112" t="s">
        <v>54</v>
      </c>
      <c r="AW184" s="110"/>
      <c r="AX184" s="138">
        <v>184</v>
      </c>
    </row>
    <row r="185" spans="1:50" ht="21" x14ac:dyDescent="0.25">
      <c r="A185" s="138">
        <v>185</v>
      </c>
      <c r="B185" s="94"/>
      <c r="C185" s="95" t="s">
        <v>51</v>
      </c>
      <c r="D185" s="95" t="s">
        <v>47</v>
      </c>
      <c r="E185" s="95" t="s">
        <v>48</v>
      </c>
      <c r="F185" s="95" t="s">
        <v>55</v>
      </c>
      <c r="G185" s="97">
        <v>5</v>
      </c>
      <c r="H185" s="97">
        <v>6</v>
      </c>
      <c r="I185" s="97">
        <v>2025</v>
      </c>
      <c r="J185" s="97">
        <v>332</v>
      </c>
      <c r="K185" s="97" t="s">
        <v>459</v>
      </c>
      <c r="L185" s="98" t="s">
        <v>460</v>
      </c>
      <c r="M185" s="95">
        <v>1</v>
      </c>
      <c r="N185" s="97"/>
      <c r="O185" s="95"/>
      <c r="P185" s="99"/>
      <c r="Q185" s="99"/>
      <c r="R185" s="99"/>
      <c r="S185" s="95" t="s">
        <v>324</v>
      </c>
      <c r="T185" s="174">
        <v>513</v>
      </c>
      <c r="U185" s="175">
        <v>3412</v>
      </c>
      <c r="V185" s="100"/>
      <c r="W185" s="100"/>
      <c r="X185" s="100"/>
      <c r="Y185" s="100"/>
      <c r="Z185" s="122" t="s">
        <v>0</v>
      </c>
      <c r="AA185" s="100" t="s">
        <v>58</v>
      </c>
      <c r="AB185" s="123"/>
      <c r="AC185" s="123"/>
      <c r="AD185" s="123"/>
      <c r="AE185" s="114">
        <v>19.100000000000001</v>
      </c>
      <c r="AF185" s="120">
        <v>106</v>
      </c>
      <c r="AG185" s="120">
        <v>95</v>
      </c>
      <c r="AH185" s="108">
        <v>100</v>
      </c>
      <c r="AI185" s="130">
        <v>15</v>
      </c>
      <c r="AJ185" s="128"/>
      <c r="AK185" s="126">
        <v>0</v>
      </c>
      <c r="AL185" s="122"/>
      <c r="AM185" s="122"/>
      <c r="AN185" s="124"/>
      <c r="AO185" s="122"/>
      <c r="AP185" s="122"/>
      <c r="AQ185" s="122"/>
      <c r="AR185" s="122"/>
      <c r="AS185" s="125"/>
      <c r="AT185" s="125"/>
      <c r="AU185" s="125"/>
      <c r="AV185" s="120" t="s">
        <v>54</v>
      </c>
      <c r="AW185" s="125"/>
      <c r="AX185" s="138">
        <v>185</v>
      </c>
    </row>
    <row r="186" spans="1:50" ht="21" x14ac:dyDescent="0.25">
      <c r="A186" s="138">
        <v>186</v>
      </c>
      <c r="B186" s="94"/>
      <c r="C186" s="95" t="s">
        <v>51</v>
      </c>
      <c r="D186" s="95" t="s">
        <v>47</v>
      </c>
      <c r="E186" s="95" t="s">
        <v>48</v>
      </c>
      <c r="F186" s="95" t="s">
        <v>55</v>
      </c>
      <c r="G186" s="97">
        <v>5</v>
      </c>
      <c r="H186" s="97">
        <v>6</v>
      </c>
      <c r="I186" s="97">
        <v>2025</v>
      </c>
      <c r="J186" s="97">
        <v>332</v>
      </c>
      <c r="K186" s="97" t="s">
        <v>459</v>
      </c>
      <c r="L186" s="98" t="s">
        <v>460</v>
      </c>
      <c r="M186" s="95">
        <v>1</v>
      </c>
      <c r="N186" s="97"/>
      <c r="O186" s="98"/>
      <c r="P186" s="99"/>
      <c r="Q186" s="99"/>
      <c r="R186" s="99"/>
      <c r="S186" s="98" t="s">
        <v>161</v>
      </c>
      <c r="T186" s="174">
        <v>514</v>
      </c>
      <c r="U186" s="94">
        <v>2799</v>
      </c>
      <c r="V186" s="100"/>
      <c r="W186" s="100"/>
      <c r="X186" s="100"/>
      <c r="Y186" s="100"/>
      <c r="Z186" s="101" t="s">
        <v>5</v>
      </c>
      <c r="AA186" s="100" t="s">
        <v>58</v>
      </c>
      <c r="AB186" s="100"/>
      <c r="AC186" s="100"/>
      <c r="AD186" s="100"/>
      <c r="AE186" s="102">
        <v>12.6</v>
      </c>
      <c r="AF186" s="103">
        <v>98</v>
      </c>
      <c r="AG186" s="103">
        <v>77</v>
      </c>
      <c r="AH186" s="104">
        <v>87</v>
      </c>
      <c r="AI186" s="102">
        <v>7.21</v>
      </c>
      <c r="AJ186" s="105">
        <v>15</v>
      </c>
      <c r="AK186" s="105">
        <v>3.8</v>
      </c>
      <c r="AL186" s="113"/>
      <c r="AM186" s="113"/>
      <c r="AN186" s="114"/>
      <c r="AO186" s="108"/>
      <c r="AP186" s="108"/>
      <c r="AQ186" s="106"/>
      <c r="AR186" s="106"/>
      <c r="AS186" s="110"/>
      <c r="AT186" s="110"/>
      <c r="AU186" s="111"/>
      <c r="AV186" s="112" t="s">
        <v>54</v>
      </c>
      <c r="AW186" s="110"/>
      <c r="AX186" s="138">
        <v>186</v>
      </c>
    </row>
    <row r="187" spans="1:50" ht="21" x14ac:dyDescent="0.25">
      <c r="A187" s="138">
        <v>187</v>
      </c>
      <c r="B187" s="94"/>
      <c r="C187" s="95" t="s">
        <v>51</v>
      </c>
      <c r="D187" s="95" t="s">
        <v>47</v>
      </c>
      <c r="E187" s="95" t="s">
        <v>48</v>
      </c>
      <c r="F187" s="95" t="s">
        <v>55</v>
      </c>
      <c r="G187" s="97">
        <v>5</v>
      </c>
      <c r="H187" s="97">
        <v>6</v>
      </c>
      <c r="I187" s="97">
        <v>2025</v>
      </c>
      <c r="J187" s="97">
        <v>332</v>
      </c>
      <c r="K187" s="97" t="s">
        <v>459</v>
      </c>
      <c r="L187" s="98" t="s">
        <v>460</v>
      </c>
      <c r="M187" s="95">
        <v>1</v>
      </c>
      <c r="N187" s="97"/>
      <c r="O187" s="98"/>
      <c r="P187" s="99"/>
      <c r="Q187" s="99"/>
      <c r="R187" s="99"/>
      <c r="S187" s="98" t="s">
        <v>447</v>
      </c>
      <c r="T187" s="174">
        <v>515</v>
      </c>
      <c r="U187" s="94">
        <v>3743</v>
      </c>
      <c r="V187" s="100"/>
      <c r="W187" s="100"/>
      <c r="X187" s="100"/>
      <c r="Y187" s="100"/>
      <c r="Z187" s="101" t="s">
        <v>0</v>
      </c>
      <c r="AA187" s="100" t="s">
        <v>58</v>
      </c>
      <c r="AB187" s="100"/>
      <c r="AC187" s="100"/>
      <c r="AD187" s="100"/>
      <c r="AE187" s="121">
        <v>21.2</v>
      </c>
      <c r="AF187" s="103">
        <v>71</v>
      </c>
      <c r="AG187" s="103">
        <v>51</v>
      </c>
      <c r="AH187" s="104">
        <v>61</v>
      </c>
      <c r="AI187" s="102">
        <v>6.2</v>
      </c>
      <c r="AJ187" s="105"/>
      <c r="AK187" s="105">
        <v>0</v>
      </c>
      <c r="AL187" s="113">
        <v>20</v>
      </c>
      <c r="AM187" s="106">
        <f>COUNT(AI182:AI187)</f>
        <v>6</v>
      </c>
      <c r="AN187" s="114">
        <f>SUM(AI182:AI187)</f>
        <v>47.420000000000009</v>
      </c>
      <c r="AO187" s="108"/>
      <c r="AP187" s="108"/>
      <c r="AQ187" s="108"/>
      <c r="AR187" s="109"/>
      <c r="AS187" s="110"/>
      <c r="AT187" s="110"/>
      <c r="AU187" s="111"/>
      <c r="AV187" s="112" t="s">
        <v>54</v>
      </c>
      <c r="AW187" s="110"/>
      <c r="AX187" s="138">
        <v>187</v>
      </c>
    </row>
    <row r="188" spans="1:50" ht="21" x14ac:dyDescent="0.25">
      <c r="A188" s="138">
        <v>188</v>
      </c>
      <c r="B188" s="94">
        <v>21</v>
      </c>
      <c r="C188" s="95" t="s">
        <v>51</v>
      </c>
      <c r="D188" s="95" t="s">
        <v>47</v>
      </c>
      <c r="E188" s="95" t="s">
        <v>48</v>
      </c>
      <c r="F188" s="95" t="s">
        <v>55</v>
      </c>
      <c r="G188" s="97">
        <v>5</v>
      </c>
      <c r="H188" s="97">
        <v>6</v>
      </c>
      <c r="I188" s="97">
        <v>2025</v>
      </c>
      <c r="J188" s="97">
        <v>336</v>
      </c>
      <c r="K188" s="97" t="s">
        <v>468</v>
      </c>
      <c r="L188" s="98" t="s">
        <v>469</v>
      </c>
      <c r="M188" s="95">
        <v>1</v>
      </c>
      <c r="N188" s="97"/>
      <c r="O188" s="98"/>
      <c r="P188" s="99"/>
      <c r="Q188" s="99"/>
      <c r="R188" s="99"/>
      <c r="S188" s="116" t="s">
        <v>297</v>
      </c>
      <c r="T188" s="174">
        <v>516</v>
      </c>
      <c r="U188" s="175">
        <v>3384</v>
      </c>
      <c r="V188" s="100"/>
      <c r="W188" s="117"/>
      <c r="X188" s="117"/>
      <c r="Y188" s="117"/>
      <c r="Z188" s="106" t="s">
        <v>0</v>
      </c>
      <c r="AA188" s="117" t="s">
        <v>58</v>
      </c>
      <c r="AB188" s="117"/>
      <c r="AC188" s="117"/>
      <c r="AD188" s="117"/>
      <c r="AE188" s="119">
        <v>18</v>
      </c>
      <c r="AF188" s="112">
        <v>90</v>
      </c>
      <c r="AG188" s="112">
        <v>72</v>
      </c>
      <c r="AH188" s="113">
        <v>81</v>
      </c>
      <c r="AI188" s="119">
        <v>9.2799999999999994</v>
      </c>
      <c r="AJ188" s="120"/>
      <c r="AK188" s="120">
        <v>0</v>
      </c>
      <c r="AL188" s="106"/>
      <c r="AM188" s="106"/>
      <c r="AN188" s="107"/>
      <c r="AO188" s="106"/>
      <c r="AP188" s="106"/>
      <c r="AQ188" s="108"/>
      <c r="AR188" s="109"/>
      <c r="AS188" s="110"/>
      <c r="AT188" s="110"/>
      <c r="AU188" s="110"/>
      <c r="AV188" s="112" t="s">
        <v>54</v>
      </c>
      <c r="AW188" s="110"/>
      <c r="AX188" s="138">
        <v>188</v>
      </c>
    </row>
    <row r="189" spans="1:50" ht="21" x14ac:dyDescent="0.25">
      <c r="A189" s="138">
        <v>189</v>
      </c>
      <c r="B189" s="94"/>
      <c r="C189" s="95" t="s">
        <v>51</v>
      </c>
      <c r="D189" s="95" t="s">
        <v>47</v>
      </c>
      <c r="E189" s="95" t="s">
        <v>48</v>
      </c>
      <c r="F189" s="95" t="s">
        <v>55</v>
      </c>
      <c r="G189" s="97">
        <v>5</v>
      </c>
      <c r="H189" s="97">
        <v>6</v>
      </c>
      <c r="I189" s="97">
        <v>2025</v>
      </c>
      <c r="J189" s="97">
        <v>336</v>
      </c>
      <c r="K189" s="97" t="s">
        <v>468</v>
      </c>
      <c r="L189" s="98" t="s">
        <v>469</v>
      </c>
      <c r="M189" s="95">
        <v>1</v>
      </c>
      <c r="N189" s="97"/>
      <c r="O189" s="98"/>
      <c r="P189" s="99"/>
      <c r="Q189" s="99"/>
      <c r="R189" s="99"/>
      <c r="S189" s="98" t="s">
        <v>174</v>
      </c>
      <c r="T189" s="174">
        <v>517</v>
      </c>
      <c r="U189" s="94">
        <v>2816</v>
      </c>
      <c r="V189" s="100"/>
      <c r="W189" s="100"/>
      <c r="X189" s="100"/>
      <c r="Y189" s="100"/>
      <c r="Z189" s="101" t="s">
        <v>5</v>
      </c>
      <c r="AA189" s="100" t="s">
        <v>58</v>
      </c>
      <c r="AB189" s="100"/>
      <c r="AC189" s="100"/>
      <c r="AD189" s="100"/>
      <c r="AE189" s="102">
        <v>18.8</v>
      </c>
      <c r="AF189" s="103">
        <v>63</v>
      </c>
      <c r="AG189" s="103">
        <v>52</v>
      </c>
      <c r="AH189" s="104">
        <v>57</v>
      </c>
      <c r="AI189" s="102">
        <v>4.04</v>
      </c>
      <c r="AJ189" s="105">
        <v>20</v>
      </c>
      <c r="AK189" s="105">
        <v>15.7</v>
      </c>
      <c r="AL189" s="113"/>
      <c r="AM189" s="113"/>
      <c r="AN189" s="114"/>
      <c r="AO189" s="108"/>
      <c r="AP189" s="108"/>
      <c r="AQ189" s="106"/>
      <c r="AR189" s="106"/>
      <c r="AS189" s="110"/>
      <c r="AT189" s="110"/>
      <c r="AU189" s="111"/>
      <c r="AV189" s="112" t="s">
        <v>54</v>
      </c>
      <c r="AW189" s="110"/>
      <c r="AX189" s="138">
        <v>189</v>
      </c>
    </row>
    <row r="190" spans="1:50" ht="21" x14ac:dyDescent="0.25">
      <c r="A190" s="138">
        <v>190</v>
      </c>
      <c r="B190" s="94"/>
      <c r="C190" s="95" t="s">
        <v>51</v>
      </c>
      <c r="D190" s="95" t="s">
        <v>47</v>
      </c>
      <c r="E190" s="95" t="s">
        <v>48</v>
      </c>
      <c r="F190" s="95" t="s">
        <v>55</v>
      </c>
      <c r="G190" s="97">
        <v>5</v>
      </c>
      <c r="H190" s="97">
        <v>6</v>
      </c>
      <c r="I190" s="97">
        <v>2025</v>
      </c>
      <c r="J190" s="97">
        <v>336</v>
      </c>
      <c r="K190" s="97" t="s">
        <v>468</v>
      </c>
      <c r="L190" s="98" t="s">
        <v>469</v>
      </c>
      <c r="M190" s="95">
        <v>1</v>
      </c>
      <c r="N190" s="97"/>
      <c r="O190" s="98"/>
      <c r="P190" s="99"/>
      <c r="Q190" s="99"/>
      <c r="R190" s="99"/>
      <c r="S190" s="98" t="s">
        <v>440</v>
      </c>
      <c r="T190" s="174">
        <v>518</v>
      </c>
      <c r="U190" s="94">
        <v>3736</v>
      </c>
      <c r="V190" s="100"/>
      <c r="W190" s="100"/>
      <c r="X190" s="100"/>
      <c r="Y190" s="100"/>
      <c r="Z190" s="101" t="s">
        <v>0</v>
      </c>
      <c r="AA190" s="100" t="s">
        <v>58</v>
      </c>
      <c r="AB190" s="100"/>
      <c r="AC190" s="100"/>
      <c r="AD190" s="100"/>
      <c r="AE190" s="121">
        <v>14.4</v>
      </c>
      <c r="AF190" s="103">
        <v>50</v>
      </c>
      <c r="AG190" s="103">
        <v>37</v>
      </c>
      <c r="AH190" s="104">
        <v>43</v>
      </c>
      <c r="AI190" s="121">
        <v>2.09</v>
      </c>
      <c r="AJ190" s="103"/>
      <c r="AK190" s="103">
        <v>0</v>
      </c>
      <c r="AL190" s="113"/>
      <c r="AM190" s="106"/>
      <c r="AN190" s="114"/>
      <c r="AO190" s="108"/>
      <c r="AP190" s="108"/>
      <c r="AQ190" s="108"/>
      <c r="AR190" s="109"/>
      <c r="AS190" s="110"/>
      <c r="AT190" s="110"/>
      <c r="AU190" s="111"/>
      <c r="AV190" s="112" t="s">
        <v>54</v>
      </c>
      <c r="AW190" s="110"/>
      <c r="AX190" s="138">
        <v>190</v>
      </c>
    </row>
    <row r="191" spans="1:50" ht="21" x14ac:dyDescent="0.25">
      <c r="A191" s="138">
        <v>191</v>
      </c>
      <c r="B191" s="94"/>
      <c r="C191" s="95" t="s">
        <v>51</v>
      </c>
      <c r="D191" s="95" t="s">
        <v>47</v>
      </c>
      <c r="E191" s="95" t="s">
        <v>48</v>
      </c>
      <c r="F191" s="95" t="s">
        <v>55</v>
      </c>
      <c r="G191" s="97">
        <v>5</v>
      </c>
      <c r="H191" s="97">
        <v>6</v>
      </c>
      <c r="I191" s="97">
        <v>2025</v>
      </c>
      <c r="J191" s="97">
        <v>336</v>
      </c>
      <c r="K191" s="97" t="s">
        <v>468</v>
      </c>
      <c r="L191" s="98" t="s">
        <v>469</v>
      </c>
      <c r="M191" s="95">
        <v>1</v>
      </c>
      <c r="N191" s="97"/>
      <c r="O191" s="98"/>
      <c r="P191" s="99"/>
      <c r="Q191" s="99"/>
      <c r="R191" s="99"/>
      <c r="S191" s="98" t="s">
        <v>478</v>
      </c>
      <c r="T191" s="174">
        <v>519</v>
      </c>
      <c r="U191" s="94">
        <v>3247</v>
      </c>
      <c r="V191" s="100"/>
      <c r="W191" s="100"/>
      <c r="X191" s="100"/>
      <c r="Y191" s="100"/>
      <c r="Z191" s="101" t="s">
        <v>3</v>
      </c>
      <c r="AA191" s="100"/>
      <c r="AB191" s="100"/>
      <c r="AC191" s="100"/>
      <c r="AD191" s="100"/>
      <c r="AE191" s="121">
        <v>18.600000000000001</v>
      </c>
      <c r="AF191" s="103">
        <v>54</v>
      </c>
      <c r="AG191" s="103">
        <v>44</v>
      </c>
      <c r="AH191" s="104">
        <v>49</v>
      </c>
      <c r="AI191" s="121">
        <v>3.51</v>
      </c>
      <c r="AJ191" s="103"/>
      <c r="AK191" s="103"/>
      <c r="AL191" s="113"/>
      <c r="AM191" s="106"/>
      <c r="AN191" s="114"/>
      <c r="AO191" s="108"/>
      <c r="AP191" s="108"/>
      <c r="AQ191" s="108"/>
      <c r="AR191" s="109"/>
      <c r="AS191" s="110"/>
      <c r="AT191" s="110"/>
      <c r="AU191" s="111"/>
      <c r="AV191" s="112"/>
      <c r="AW191" s="110"/>
      <c r="AX191" s="138">
        <v>191</v>
      </c>
    </row>
    <row r="192" spans="1:50" ht="21" x14ac:dyDescent="0.25">
      <c r="A192" s="138">
        <v>192</v>
      </c>
      <c r="B192" s="94"/>
      <c r="C192" s="95" t="s">
        <v>51</v>
      </c>
      <c r="D192" s="95" t="s">
        <v>47</v>
      </c>
      <c r="E192" s="95" t="s">
        <v>48</v>
      </c>
      <c r="F192" s="95" t="s">
        <v>55</v>
      </c>
      <c r="G192" s="97">
        <v>5</v>
      </c>
      <c r="H192" s="97">
        <v>6</v>
      </c>
      <c r="I192" s="97">
        <v>2025</v>
      </c>
      <c r="J192" s="97">
        <v>336</v>
      </c>
      <c r="K192" s="97" t="s">
        <v>468</v>
      </c>
      <c r="L192" s="98" t="s">
        <v>469</v>
      </c>
      <c r="M192" s="95">
        <v>1</v>
      </c>
      <c r="N192" s="97"/>
      <c r="O192" s="98"/>
      <c r="P192" s="99"/>
      <c r="Q192" s="99"/>
      <c r="R192" s="99"/>
      <c r="S192" s="116" t="s">
        <v>265</v>
      </c>
      <c r="T192" s="174">
        <v>520</v>
      </c>
      <c r="U192" s="175">
        <v>3041</v>
      </c>
      <c r="V192" s="100"/>
      <c r="W192" s="117"/>
      <c r="X192" s="117"/>
      <c r="Y192" s="117"/>
      <c r="Z192" s="106" t="s">
        <v>3</v>
      </c>
      <c r="AA192" s="117" t="s">
        <v>58</v>
      </c>
      <c r="AB192" s="117"/>
      <c r="AC192" s="117"/>
      <c r="AD192" s="117"/>
      <c r="AE192" s="118">
        <v>18.899999999999999</v>
      </c>
      <c r="AF192" s="112">
        <v>83</v>
      </c>
      <c r="AG192" s="112">
        <v>61</v>
      </c>
      <c r="AH192" s="113">
        <v>72</v>
      </c>
      <c r="AI192" s="119">
        <v>7.7</v>
      </c>
      <c r="AJ192" s="120"/>
      <c r="AK192" s="120">
        <v>0</v>
      </c>
      <c r="AL192" s="113"/>
      <c r="AM192" s="113"/>
      <c r="AN192" s="115"/>
      <c r="AO192" s="113"/>
      <c r="AP192" s="113"/>
      <c r="AQ192" s="108"/>
      <c r="AR192" s="109"/>
      <c r="AS192" s="110"/>
      <c r="AT192" s="110"/>
      <c r="AU192" s="110"/>
      <c r="AV192" s="112" t="s">
        <v>54</v>
      </c>
      <c r="AW192" s="110"/>
      <c r="AX192" s="138">
        <v>192</v>
      </c>
    </row>
    <row r="193" spans="1:50" ht="21" x14ac:dyDescent="0.25">
      <c r="A193" s="138">
        <v>193</v>
      </c>
      <c r="B193" s="94"/>
      <c r="C193" s="95" t="s">
        <v>51</v>
      </c>
      <c r="D193" s="95" t="s">
        <v>47</v>
      </c>
      <c r="E193" s="95" t="s">
        <v>48</v>
      </c>
      <c r="F193" s="95" t="s">
        <v>55</v>
      </c>
      <c r="G193" s="97">
        <v>5</v>
      </c>
      <c r="H193" s="97">
        <v>6</v>
      </c>
      <c r="I193" s="97">
        <v>2025</v>
      </c>
      <c r="J193" s="97">
        <v>336</v>
      </c>
      <c r="K193" s="97" t="s">
        <v>468</v>
      </c>
      <c r="L193" s="98" t="s">
        <v>469</v>
      </c>
      <c r="M193" s="95">
        <v>1</v>
      </c>
      <c r="N193" s="100"/>
      <c r="O193" s="133"/>
      <c r="P193" s="134"/>
      <c r="Q193" s="134"/>
      <c r="R193" s="134"/>
      <c r="S193" s="133" t="s">
        <v>191</v>
      </c>
      <c r="T193" s="174">
        <v>521</v>
      </c>
      <c r="U193" s="94">
        <v>2833</v>
      </c>
      <c r="V193" s="100"/>
      <c r="W193" s="100"/>
      <c r="X193" s="100"/>
      <c r="Y193" s="100"/>
      <c r="Z193" s="122" t="s">
        <v>0</v>
      </c>
      <c r="AA193" s="100" t="s">
        <v>58</v>
      </c>
      <c r="AB193" s="100"/>
      <c r="AC193" s="100"/>
      <c r="AD193" s="100"/>
      <c r="AE193" s="102">
        <v>21.3</v>
      </c>
      <c r="AF193" s="105">
        <v>63</v>
      </c>
      <c r="AG193" s="105">
        <v>49</v>
      </c>
      <c r="AH193" s="127">
        <v>56</v>
      </c>
      <c r="AI193" s="102">
        <v>5.25</v>
      </c>
      <c r="AJ193" s="127"/>
      <c r="AK193" s="127">
        <v>0</v>
      </c>
      <c r="AL193" s="108"/>
      <c r="AM193" s="108"/>
      <c r="AN193" s="114"/>
      <c r="AO193" s="108"/>
      <c r="AP193" s="108"/>
      <c r="AQ193" s="108"/>
      <c r="AR193" s="109"/>
      <c r="AS193" s="109"/>
      <c r="AT193" s="109"/>
      <c r="AU193" s="122"/>
      <c r="AV193" s="112" t="s">
        <v>54</v>
      </c>
      <c r="AW193" s="109"/>
      <c r="AX193" s="138">
        <v>193</v>
      </c>
    </row>
    <row r="194" spans="1:50" ht="21" x14ac:dyDescent="0.25">
      <c r="A194" s="138">
        <v>194</v>
      </c>
      <c r="B194" s="94"/>
      <c r="C194" s="95" t="s">
        <v>51</v>
      </c>
      <c r="D194" s="95" t="s">
        <v>47</v>
      </c>
      <c r="E194" s="95" t="s">
        <v>48</v>
      </c>
      <c r="F194" s="95" t="s">
        <v>55</v>
      </c>
      <c r="G194" s="97">
        <v>5</v>
      </c>
      <c r="H194" s="97">
        <v>6</v>
      </c>
      <c r="I194" s="97">
        <v>2025</v>
      </c>
      <c r="J194" s="97">
        <v>336</v>
      </c>
      <c r="K194" s="97" t="s">
        <v>468</v>
      </c>
      <c r="L194" s="98" t="s">
        <v>469</v>
      </c>
      <c r="M194" s="95">
        <v>1</v>
      </c>
      <c r="N194" s="97"/>
      <c r="O194" s="98"/>
      <c r="P194" s="99"/>
      <c r="Q194" s="99"/>
      <c r="R194" s="99"/>
      <c r="S194" s="98" t="s">
        <v>98</v>
      </c>
      <c r="T194" s="174">
        <v>522</v>
      </c>
      <c r="U194" s="94">
        <v>222</v>
      </c>
      <c r="V194" s="100"/>
      <c r="W194" s="100"/>
      <c r="X194" s="100"/>
      <c r="Y194" s="100"/>
      <c r="Z194" s="101" t="s">
        <v>2</v>
      </c>
      <c r="AA194" s="100" t="s">
        <v>58</v>
      </c>
      <c r="AB194" s="100"/>
      <c r="AC194" s="100"/>
      <c r="AD194" s="100"/>
      <c r="AE194" s="102">
        <v>21</v>
      </c>
      <c r="AF194" s="103">
        <v>58</v>
      </c>
      <c r="AG194" s="103">
        <v>40</v>
      </c>
      <c r="AH194" s="104">
        <v>49</v>
      </c>
      <c r="AI194" s="102">
        <v>3.96</v>
      </c>
      <c r="AJ194" s="105"/>
      <c r="AK194" s="105">
        <v>0</v>
      </c>
      <c r="AL194" s="113"/>
      <c r="AM194" s="106"/>
      <c r="AN194" s="114"/>
      <c r="AO194" s="108"/>
      <c r="AP194" s="108"/>
      <c r="AQ194" s="108"/>
      <c r="AR194" s="109"/>
      <c r="AS194" s="110"/>
      <c r="AT194" s="110"/>
      <c r="AU194" s="111"/>
      <c r="AV194" s="112" t="s">
        <v>54</v>
      </c>
      <c r="AW194" s="110"/>
      <c r="AX194" s="138">
        <v>194</v>
      </c>
    </row>
    <row r="195" spans="1:50" ht="21" x14ac:dyDescent="0.25">
      <c r="A195" s="138">
        <v>195</v>
      </c>
      <c r="B195" s="94"/>
      <c r="C195" s="95" t="s">
        <v>51</v>
      </c>
      <c r="D195" s="95" t="s">
        <v>47</v>
      </c>
      <c r="E195" s="95" t="s">
        <v>48</v>
      </c>
      <c r="F195" s="95" t="s">
        <v>55</v>
      </c>
      <c r="G195" s="97">
        <v>5</v>
      </c>
      <c r="H195" s="97">
        <v>6</v>
      </c>
      <c r="I195" s="97">
        <v>2025</v>
      </c>
      <c r="J195" s="97">
        <v>336</v>
      </c>
      <c r="K195" s="97" t="s">
        <v>468</v>
      </c>
      <c r="L195" s="98" t="s">
        <v>469</v>
      </c>
      <c r="M195" s="95">
        <v>1</v>
      </c>
      <c r="N195" s="97"/>
      <c r="O195" s="98"/>
      <c r="P195" s="99"/>
      <c r="Q195" s="99"/>
      <c r="R195" s="99"/>
      <c r="S195" s="98" t="s">
        <v>334</v>
      </c>
      <c r="T195" s="174">
        <v>523</v>
      </c>
      <c r="U195" s="94">
        <v>3422</v>
      </c>
      <c r="V195" s="100"/>
      <c r="W195" s="100"/>
      <c r="X195" s="100"/>
      <c r="Y195" s="100"/>
      <c r="Z195" s="101" t="s">
        <v>2</v>
      </c>
      <c r="AA195" s="100" t="s">
        <v>58</v>
      </c>
      <c r="AB195" s="100"/>
      <c r="AC195" s="100"/>
      <c r="AD195" s="100"/>
      <c r="AE195" s="102">
        <v>20.5</v>
      </c>
      <c r="AF195" s="103">
        <v>88</v>
      </c>
      <c r="AG195" s="103">
        <v>54</v>
      </c>
      <c r="AH195" s="104">
        <v>71</v>
      </c>
      <c r="AI195" s="102">
        <v>8.1199999999999992</v>
      </c>
      <c r="AJ195" s="105"/>
      <c r="AK195" s="105">
        <v>0</v>
      </c>
      <c r="AL195" s="113"/>
      <c r="AM195" s="106"/>
      <c r="AN195" s="131"/>
      <c r="AO195" s="108"/>
      <c r="AP195" s="108"/>
      <c r="AQ195" s="108"/>
      <c r="AR195" s="109"/>
      <c r="AS195" s="110"/>
      <c r="AT195" s="110"/>
      <c r="AU195" s="111"/>
      <c r="AV195" s="112" t="s">
        <v>54</v>
      </c>
      <c r="AW195" s="110"/>
      <c r="AX195" s="138">
        <v>195</v>
      </c>
    </row>
    <row r="196" spans="1:50" ht="21" x14ac:dyDescent="0.25">
      <c r="A196" s="138">
        <v>196</v>
      </c>
      <c r="B196" s="94"/>
      <c r="C196" s="95" t="s">
        <v>51</v>
      </c>
      <c r="D196" s="95" t="s">
        <v>47</v>
      </c>
      <c r="E196" s="95" t="s">
        <v>48</v>
      </c>
      <c r="F196" s="95" t="s">
        <v>55</v>
      </c>
      <c r="G196" s="97">
        <v>5</v>
      </c>
      <c r="H196" s="97">
        <v>6</v>
      </c>
      <c r="I196" s="97">
        <v>2025</v>
      </c>
      <c r="J196" s="97">
        <v>336</v>
      </c>
      <c r="K196" s="97" t="s">
        <v>468</v>
      </c>
      <c r="L196" s="98" t="s">
        <v>469</v>
      </c>
      <c r="M196" s="95">
        <v>1</v>
      </c>
      <c r="N196" s="97"/>
      <c r="O196" s="98"/>
      <c r="P196" s="99"/>
      <c r="Q196" s="99"/>
      <c r="R196" s="99"/>
      <c r="S196" s="98" t="s">
        <v>175</v>
      </c>
      <c r="T196" s="174">
        <v>524</v>
      </c>
      <c r="U196" s="94">
        <v>2817</v>
      </c>
      <c r="V196" s="100"/>
      <c r="W196" s="100"/>
      <c r="X196" s="100"/>
      <c r="Y196" s="100"/>
      <c r="Z196" s="101" t="s">
        <v>1</v>
      </c>
      <c r="AA196" s="100" t="s">
        <v>58</v>
      </c>
      <c r="AB196" s="100"/>
      <c r="AC196" s="100"/>
      <c r="AD196" s="100"/>
      <c r="AE196" s="102">
        <v>20.2</v>
      </c>
      <c r="AF196" s="103">
        <v>66</v>
      </c>
      <c r="AG196" s="103">
        <v>46</v>
      </c>
      <c r="AH196" s="104">
        <v>56</v>
      </c>
      <c r="AI196" s="102">
        <v>4.9800000000000004</v>
      </c>
      <c r="AJ196" s="105"/>
      <c r="AK196" s="105">
        <v>0</v>
      </c>
      <c r="AL196" s="113">
        <v>21</v>
      </c>
      <c r="AM196" s="113">
        <f>COUNT(AI188:AI196)</f>
        <v>9</v>
      </c>
      <c r="AN196" s="114">
        <f>SUM(AI188:AI196)</f>
        <v>48.929999999999993</v>
      </c>
      <c r="AO196" s="108"/>
      <c r="AP196" s="108"/>
      <c r="AQ196" s="108"/>
      <c r="AR196" s="109"/>
      <c r="AS196" s="110"/>
      <c r="AT196" s="110"/>
      <c r="AU196" s="111"/>
      <c r="AV196" s="112" t="s">
        <v>54</v>
      </c>
      <c r="AW196" s="110"/>
      <c r="AX196" s="138">
        <v>196</v>
      </c>
    </row>
    <row r="197" spans="1:50" ht="21" x14ac:dyDescent="0.25">
      <c r="A197" s="138">
        <v>197</v>
      </c>
      <c r="B197" s="94">
        <v>22</v>
      </c>
      <c r="C197" s="95" t="s">
        <v>467</v>
      </c>
      <c r="D197" s="95" t="s">
        <v>47</v>
      </c>
      <c r="E197" s="95" t="s">
        <v>456</v>
      </c>
      <c r="F197" s="95" t="s">
        <v>55</v>
      </c>
      <c r="G197" s="97">
        <v>5</v>
      </c>
      <c r="H197" s="97">
        <v>6</v>
      </c>
      <c r="I197" s="97">
        <v>2025</v>
      </c>
      <c r="J197" s="97">
        <v>343</v>
      </c>
      <c r="K197" s="97" t="s">
        <v>457</v>
      </c>
      <c r="L197" s="98" t="s">
        <v>458</v>
      </c>
      <c r="M197" s="95">
        <v>1</v>
      </c>
      <c r="N197" s="97"/>
      <c r="O197" s="98"/>
      <c r="P197" s="99"/>
      <c r="Q197" s="99"/>
      <c r="R197" s="99"/>
      <c r="S197" s="98" t="s">
        <v>415</v>
      </c>
      <c r="T197" s="174">
        <v>525</v>
      </c>
      <c r="U197" s="94">
        <v>3508</v>
      </c>
      <c r="V197" s="100"/>
      <c r="W197" s="100"/>
      <c r="X197" s="100"/>
      <c r="Y197" s="100"/>
      <c r="Z197" s="101" t="s">
        <v>0</v>
      </c>
      <c r="AA197" s="100" t="s">
        <v>58</v>
      </c>
      <c r="AB197" s="100"/>
      <c r="AC197" s="100"/>
      <c r="AD197" s="100"/>
      <c r="AE197" s="102">
        <v>20.6</v>
      </c>
      <c r="AF197" s="103">
        <v>60</v>
      </c>
      <c r="AG197" s="103">
        <v>44</v>
      </c>
      <c r="AH197" s="104">
        <v>52</v>
      </c>
      <c r="AI197" s="102">
        <v>4.37</v>
      </c>
      <c r="AJ197" s="105"/>
      <c r="AK197" s="105">
        <v>0</v>
      </c>
      <c r="AL197" s="113"/>
      <c r="AM197" s="106"/>
      <c r="AN197" s="114"/>
      <c r="AO197" s="108"/>
      <c r="AP197" s="108"/>
      <c r="AQ197" s="108"/>
      <c r="AR197" s="109"/>
      <c r="AS197" s="110"/>
      <c r="AT197" s="110"/>
      <c r="AU197" s="111"/>
      <c r="AV197" s="112" t="s">
        <v>54</v>
      </c>
      <c r="AW197" s="110"/>
      <c r="AX197" s="138">
        <v>197</v>
      </c>
    </row>
    <row r="198" spans="1:50" ht="21" x14ac:dyDescent="0.25">
      <c r="A198" s="138">
        <v>198</v>
      </c>
      <c r="B198" s="94"/>
      <c r="C198" s="95" t="s">
        <v>467</v>
      </c>
      <c r="D198" s="95" t="s">
        <v>47</v>
      </c>
      <c r="E198" s="95" t="s">
        <v>456</v>
      </c>
      <c r="F198" s="95" t="s">
        <v>55</v>
      </c>
      <c r="G198" s="97">
        <v>5</v>
      </c>
      <c r="H198" s="97">
        <v>6</v>
      </c>
      <c r="I198" s="97">
        <v>2025</v>
      </c>
      <c r="J198" s="97">
        <v>343</v>
      </c>
      <c r="K198" s="97" t="s">
        <v>457</v>
      </c>
      <c r="L198" s="98" t="s">
        <v>458</v>
      </c>
      <c r="M198" s="95">
        <v>1</v>
      </c>
      <c r="N198" s="97"/>
      <c r="O198" s="98"/>
      <c r="P198" s="99"/>
      <c r="Q198" s="99"/>
      <c r="R198" s="99"/>
      <c r="S198" s="98" t="s">
        <v>451</v>
      </c>
      <c r="T198" s="174">
        <v>526</v>
      </c>
      <c r="U198" s="94">
        <v>3747</v>
      </c>
      <c r="V198" s="100"/>
      <c r="W198" s="100"/>
      <c r="X198" s="100"/>
      <c r="Y198" s="100"/>
      <c r="Z198" s="101" t="s">
        <v>0</v>
      </c>
      <c r="AA198" s="100" t="s">
        <v>58</v>
      </c>
      <c r="AB198" s="100"/>
      <c r="AC198" s="100"/>
      <c r="AD198" s="100"/>
      <c r="AE198" s="121">
        <v>15.6</v>
      </c>
      <c r="AF198" s="103">
        <v>60</v>
      </c>
      <c r="AG198" s="103">
        <v>46</v>
      </c>
      <c r="AH198" s="104">
        <v>53</v>
      </c>
      <c r="AI198" s="121">
        <v>3.44</v>
      </c>
      <c r="AJ198" s="105"/>
      <c r="AK198" s="103">
        <v>0</v>
      </c>
      <c r="AL198" s="113"/>
      <c r="AM198" s="106"/>
      <c r="AN198" s="114"/>
      <c r="AO198" s="108"/>
      <c r="AP198" s="108"/>
      <c r="AQ198" s="108"/>
      <c r="AR198" s="109"/>
      <c r="AS198" s="110"/>
      <c r="AT198" s="110"/>
      <c r="AU198" s="111"/>
      <c r="AV198" s="112" t="s">
        <v>54</v>
      </c>
      <c r="AW198" s="110"/>
      <c r="AX198" s="138">
        <v>198</v>
      </c>
    </row>
    <row r="199" spans="1:50" ht="21" x14ac:dyDescent="0.25">
      <c r="A199" s="138">
        <v>199</v>
      </c>
      <c r="B199" s="94"/>
      <c r="C199" s="95" t="s">
        <v>467</v>
      </c>
      <c r="D199" s="95" t="s">
        <v>47</v>
      </c>
      <c r="E199" s="95" t="s">
        <v>456</v>
      </c>
      <c r="F199" s="95" t="s">
        <v>55</v>
      </c>
      <c r="G199" s="97">
        <v>5</v>
      </c>
      <c r="H199" s="97">
        <v>6</v>
      </c>
      <c r="I199" s="97">
        <v>2025</v>
      </c>
      <c r="J199" s="97">
        <v>343</v>
      </c>
      <c r="K199" s="97" t="s">
        <v>457</v>
      </c>
      <c r="L199" s="98" t="s">
        <v>458</v>
      </c>
      <c r="M199" s="95">
        <v>1</v>
      </c>
      <c r="N199" s="97"/>
      <c r="O199" s="95"/>
      <c r="P199" s="99"/>
      <c r="Q199" s="99"/>
      <c r="R199" s="99"/>
      <c r="S199" s="95" t="s">
        <v>409</v>
      </c>
      <c r="T199" s="174">
        <v>527</v>
      </c>
      <c r="U199" s="94">
        <v>3502</v>
      </c>
      <c r="V199" s="100"/>
      <c r="W199" s="100"/>
      <c r="X199" s="100"/>
      <c r="Y199" s="100"/>
      <c r="Z199" s="122" t="s">
        <v>0</v>
      </c>
      <c r="AA199" s="100" t="s">
        <v>58</v>
      </c>
      <c r="AB199" s="123"/>
      <c r="AC199" s="123"/>
      <c r="AD199" s="123"/>
      <c r="AE199" s="132">
        <v>18</v>
      </c>
      <c r="AF199" s="105">
        <v>75</v>
      </c>
      <c r="AG199" s="105">
        <v>62</v>
      </c>
      <c r="AH199" s="127">
        <v>68</v>
      </c>
      <c r="AI199" s="124">
        <v>6.54</v>
      </c>
      <c r="AJ199" s="128"/>
      <c r="AK199" s="126">
        <v>0</v>
      </c>
      <c r="AL199" s="122"/>
      <c r="AM199" s="122"/>
      <c r="AN199" s="124"/>
      <c r="AO199" s="122"/>
      <c r="AP199" s="122"/>
      <c r="AQ199" s="122"/>
      <c r="AR199" s="122"/>
      <c r="AS199" s="125"/>
      <c r="AT199" s="125"/>
      <c r="AU199" s="125"/>
      <c r="AV199" s="120" t="s">
        <v>54</v>
      </c>
      <c r="AW199" s="125"/>
      <c r="AX199" s="138">
        <v>199</v>
      </c>
    </row>
    <row r="200" spans="1:50" ht="21" x14ac:dyDescent="0.25">
      <c r="A200" s="138">
        <v>200</v>
      </c>
      <c r="B200" s="94"/>
      <c r="C200" s="95" t="s">
        <v>467</v>
      </c>
      <c r="D200" s="95" t="s">
        <v>47</v>
      </c>
      <c r="E200" s="95" t="s">
        <v>456</v>
      </c>
      <c r="F200" s="95" t="s">
        <v>55</v>
      </c>
      <c r="G200" s="97">
        <v>5</v>
      </c>
      <c r="H200" s="97">
        <v>6</v>
      </c>
      <c r="I200" s="97">
        <v>2025</v>
      </c>
      <c r="J200" s="97">
        <v>343</v>
      </c>
      <c r="K200" s="97" t="s">
        <v>457</v>
      </c>
      <c r="L200" s="98" t="s">
        <v>458</v>
      </c>
      <c r="M200" s="95">
        <v>1</v>
      </c>
      <c r="N200" s="97"/>
      <c r="O200" s="98"/>
      <c r="P200" s="99"/>
      <c r="Q200" s="99"/>
      <c r="R200" s="99"/>
      <c r="S200" s="98" t="s">
        <v>178</v>
      </c>
      <c r="T200" s="174">
        <v>528</v>
      </c>
      <c r="U200" s="94">
        <v>2820</v>
      </c>
      <c r="V200" s="100"/>
      <c r="W200" s="100"/>
      <c r="X200" s="100"/>
      <c r="Y200" s="100"/>
      <c r="Z200" s="101" t="s">
        <v>5</v>
      </c>
      <c r="AA200" s="100" t="s">
        <v>58</v>
      </c>
      <c r="AB200" s="100"/>
      <c r="AC200" s="100"/>
      <c r="AD200" s="100"/>
      <c r="AE200" s="102">
        <v>16</v>
      </c>
      <c r="AF200" s="103">
        <v>100</v>
      </c>
      <c r="AG200" s="103">
        <v>76</v>
      </c>
      <c r="AH200" s="104">
        <v>88</v>
      </c>
      <c r="AI200" s="102">
        <v>9.73</v>
      </c>
      <c r="AJ200" s="105"/>
      <c r="AK200" s="105">
        <v>0</v>
      </c>
      <c r="AL200" s="113"/>
      <c r="AM200" s="113"/>
      <c r="AN200" s="114"/>
      <c r="AO200" s="108"/>
      <c r="AP200" s="108"/>
      <c r="AQ200" s="108"/>
      <c r="AR200" s="109"/>
      <c r="AS200" s="110"/>
      <c r="AT200" s="110"/>
      <c r="AU200" s="111"/>
      <c r="AV200" s="112" t="s">
        <v>54</v>
      </c>
      <c r="AW200" s="110"/>
      <c r="AX200" s="138">
        <v>200</v>
      </c>
    </row>
    <row r="201" spans="1:50" ht="21" x14ac:dyDescent="0.25">
      <c r="A201" s="138">
        <v>201</v>
      </c>
      <c r="B201" s="94"/>
      <c r="C201" s="95" t="s">
        <v>467</v>
      </c>
      <c r="D201" s="95" t="s">
        <v>47</v>
      </c>
      <c r="E201" s="95" t="s">
        <v>456</v>
      </c>
      <c r="F201" s="95" t="s">
        <v>55</v>
      </c>
      <c r="G201" s="97">
        <v>5</v>
      </c>
      <c r="H201" s="97">
        <v>6</v>
      </c>
      <c r="I201" s="97">
        <v>2025</v>
      </c>
      <c r="J201" s="97">
        <v>343</v>
      </c>
      <c r="K201" s="97" t="s">
        <v>457</v>
      </c>
      <c r="L201" s="98" t="s">
        <v>458</v>
      </c>
      <c r="M201" s="95">
        <v>1</v>
      </c>
      <c r="N201" s="97"/>
      <c r="O201" s="98"/>
      <c r="P201" s="99"/>
      <c r="Q201" s="99"/>
      <c r="R201" s="99"/>
      <c r="S201" s="116" t="s">
        <v>184</v>
      </c>
      <c r="T201" s="174">
        <v>529</v>
      </c>
      <c r="U201" s="175">
        <v>2826</v>
      </c>
      <c r="V201" s="100"/>
      <c r="W201" s="117"/>
      <c r="X201" s="117"/>
      <c r="Y201" s="117"/>
      <c r="Z201" s="106" t="s">
        <v>5</v>
      </c>
      <c r="AA201" s="117" t="s">
        <v>58</v>
      </c>
      <c r="AB201" s="117"/>
      <c r="AC201" s="117"/>
      <c r="AD201" s="117"/>
      <c r="AE201" s="118">
        <v>21.1</v>
      </c>
      <c r="AF201" s="112">
        <v>80</v>
      </c>
      <c r="AG201" s="112">
        <v>60</v>
      </c>
      <c r="AH201" s="113">
        <v>70</v>
      </c>
      <c r="AI201" s="119">
        <v>8.1199999999999992</v>
      </c>
      <c r="AJ201" s="120"/>
      <c r="AK201" s="120">
        <v>0</v>
      </c>
      <c r="AL201" s="101"/>
      <c r="AM201" s="104"/>
      <c r="AN201" s="136"/>
      <c r="AO201" s="104"/>
      <c r="AP201" s="104"/>
      <c r="AQ201" s="108"/>
      <c r="AR201" s="109"/>
      <c r="AS201" s="110"/>
      <c r="AT201" s="110"/>
      <c r="AU201" s="110"/>
      <c r="AV201" s="112" t="s">
        <v>54</v>
      </c>
      <c r="AW201" s="110"/>
      <c r="AX201" s="138">
        <v>201</v>
      </c>
    </row>
    <row r="202" spans="1:50" ht="21" x14ac:dyDescent="0.25">
      <c r="A202" s="138">
        <v>202</v>
      </c>
      <c r="B202" s="94"/>
      <c r="C202" s="95" t="s">
        <v>467</v>
      </c>
      <c r="D202" s="95" t="s">
        <v>47</v>
      </c>
      <c r="E202" s="95" t="s">
        <v>456</v>
      </c>
      <c r="F202" s="95" t="s">
        <v>55</v>
      </c>
      <c r="G202" s="97">
        <v>5</v>
      </c>
      <c r="H202" s="97">
        <v>6</v>
      </c>
      <c r="I202" s="97">
        <v>2025</v>
      </c>
      <c r="J202" s="97">
        <v>343</v>
      </c>
      <c r="K202" s="97" t="s">
        <v>457</v>
      </c>
      <c r="L202" s="98" t="s">
        <v>458</v>
      </c>
      <c r="M202" s="95">
        <v>1</v>
      </c>
      <c r="N202" s="97"/>
      <c r="O202" s="98"/>
      <c r="P202" s="99"/>
      <c r="Q202" s="99"/>
      <c r="R202" s="99"/>
      <c r="S202" s="98" t="s">
        <v>82</v>
      </c>
      <c r="T202" s="174">
        <v>530</v>
      </c>
      <c r="U202" s="94">
        <v>206</v>
      </c>
      <c r="V202" s="100"/>
      <c r="W202" s="100"/>
      <c r="X202" s="100"/>
      <c r="Y202" s="100"/>
      <c r="Z202" s="101" t="s">
        <v>0</v>
      </c>
      <c r="AA202" s="100" t="s">
        <v>58</v>
      </c>
      <c r="AB202" s="100"/>
      <c r="AC202" s="100"/>
      <c r="AD202" s="100"/>
      <c r="AE202" s="102">
        <v>14.9</v>
      </c>
      <c r="AF202" s="103">
        <v>61</v>
      </c>
      <c r="AG202" s="103">
        <v>45</v>
      </c>
      <c r="AH202" s="104">
        <v>53</v>
      </c>
      <c r="AI202" s="102">
        <v>3.29</v>
      </c>
      <c r="AJ202" s="105"/>
      <c r="AK202" s="105">
        <v>0</v>
      </c>
      <c r="AL202" s="106"/>
      <c r="AM202" s="106"/>
      <c r="AN202" s="107"/>
      <c r="AO202" s="106"/>
      <c r="AP202" s="106"/>
      <c r="AQ202" s="108"/>
      <c r="AR202" s="109"/>
      <c r="AS202" s="110"/>
      <c r="AT202" s="110"/>
      <c r="AU202" s="111"/>
      <c r="AV202" s="112" t="s">
        <v>54</v>
      </c>
      <c r="AW202" s="110"/>
      <c r="AX202" s="138">
        <v>202</v>
      </c>
    </row>
    <row r="203" spans="1:50" ht="21" x14ac:dyDescent="0.25">
      <c r="A203" s="138">
        <v>203</v>
      </c>
      <c r="B203" s="94"/>
      <c r="C203" s="95" t="s">
        <v>467</v>
      </c>
      <c r="D203" s="95" t="s">
        <v>47</v>
      </c>
      <c r="E203" s="95" t="s">
        <v>456</v>
      </c>
      <c r="F203" s="95" t="s">
        <v>55</v>
      </c>
      <c r="G203" s="97">
        <v>5</v>
      </c>
      <c r="H203" s="97">
        <v>6</v>
      </c>
      <c r="I203" s="97">
        <v>2025</v>
      </c>
      <c r="J203" s="97">
        <v>343</v>
      </c>
      <c r="K203" s="97" t="s">
        <v>457</v>
      </c>
      <c r="L203" s="98" t="s">
        <v>458</v>
      </c>
      <c r="M203" s="95">
        <v>1</v>
      </c>
      <c r="N203" s="97"/>
      <c r="O203" s="98"/>
      <c r="P203" s="99"/>
      <c r="Q203" s="99"/>
      <c r="R203" s="99"/>
      <c r="S203" s="116" t="s">
        <v>181</v>
      </c>
      <c r="T203" s="174">
        <v>531</v>
      </c>
      <c r="U203" s="175">
        <v>2823</v>
      </c>
      <c r="V203" s="100"/>
      <c r="W203" s="117"/>
      <c r="X203" s="117"/>
      <c r="Y203" s="117"/>
      <c r="Z203" s="106" t="s">
        <v>0</v>
      </c>
      <c r="AA203" s="117" t="s">
        <v>58</v>
      </c>
      <c r="AB203" s="117"/>
      <c r="AC203" s="117"/>
      <c r="AD203" s="117"/>
      <c r="AE203" s="118">
        <v>19.5</v>
      </c>
      <c r="AF203" s="112">
        <v>62</v>
      </c>
      <c r="AG203" s="112">
        <v>43</v>
      </c>
      <c r="AH203" s="113">
        <v>52</v>
      </c>
      <c r="AI203" s="119">
        <v>4.1399999999999997</v>
      </c>
      <c r="AJ203" s="120"/>
      <c r="AK203" s="120">
        <v>0</v>
      </c>
      <c r="AL203" s="113"/>
      <c r="AM203" s="113"/>
      <c r="AN203" s="114"/>
      <c r="AO203" s="108"/>
      <c r="AP203" s="108"/>
      <c r="AQ203" s="108"/>
      <c r="AR203" s="109"/>
      <c r="AS203" s="110"/>
      <c r="AT203" s="110"/>
      <c r="AU203" s="110"/>
      <c r="AV203" s="112" t="s">
        <v>54</v>
      </c>
      <c r="AW203" s="110"/>
      <c r="AX203" s="138">
        <v>203</v>
      </c>
    </row>
    <row r="204" spans="1:50" ht="21" x14ac:dyDescent="0.25">
      <c r="A204" s="138">
        <v>204</v>
      </c>
      <c r="B204" s="94"/>
      <c r="C204" s="95" t="s">
        <v>467</v>
      </c>
      <c r="D204" s="95" t="s">
        <v>47</v>
      </c>
      <c r="E204" s="95" t="s">
        <v>456</v>
      </c>
      <c r="F204" s="95" t="s">
        <v>55</v>
      </c>
      <c r="G204" s="97">
        <v>5</v>
      </c>
      <c r="H204" s="97">
        <v>6</v>
      </c>
      <c r="I204" s="97">
        <v>2025</v>
      </c>
      <c r="J204" s="97">
        <v>343</v>
      </c>
      <c r="K204" s="97" t="s">
        <v>457</v>
      </c>
      <c r="L204" s="98" t="s">
        <v>458</v>
      </c>
      <c r="M204" s="95">
        <v>1</v>
      </c>
      <c r="N204" s="97"/>
      <c r="O204" s="98"/>
      <c r="P204" s="99"/>
      <c r="Q204" s="99"/>
      <c r="R204" s="99"/>
      <c r="S204" s="98" t="s">
        <v>330</v>
      </c>
      <c r="T204" s="174">
        <v>532</v>
      </c>
      <c r="U204" s="94">
        <v>3418</v>
      </c>
      <c r="V204" s="100"/>
      <c r="W204" s="100"/>
      <c r="X204" s="100"/>
      <c r="Y204" s="100"/>
      <c r="Z204" s="101" t="s">
        <v>0</v>
      </c>
      <c r="AA204" s="100" t="s">
        <v>58</v>
      </c>
      <c r="AB204" s="100"/>
      <c r="AC204" s="100"/>
      <c r="AD204" s="100"/>
      <c r="AE204" s="102">
        <v>14.8</v>
      </c>
      <c r="AF204" s="103">
        <v>71</v>
      </c>
      <c r="AG204" s="103">
        <v>67</v>
      </c>
      <c r="AH204" s="104">
        <v>69</v>
      </c>
      <c r="AI204" s="102">
        <v>5.53</v>
      </c>
      <c r="AJ204" s="105"/>
      <c r="AK204" s="105">
        <v>0</v>
      </c>
      <c r="AL204" s="113">
        <v>22</v>
      </c>
      <c r="AM204" s="106">
        <f>COUNT(AI197:AI204)</f>
        <v>8</v>
      </c>
      <c r="AN204" s="131">
        <f>SUM(AI197:AI204)</f>
        <v>45.160000000000004</v>
      </c>
      <c r="AO204" s="108"/>
      <c r="AP204" s="108"/>
      <c r="AQ204" s="106"/>
      <c r="AR204" s="106"/>
      <c r="AS204" s="110"/>
      <c r="AT204" s="110"/>
      <c r="AU204" s="111"/>
      <c r="AV204" s="112" t="s">
        <v>54</v>
      </c>
      <c r="AW204" s="110"/>
      <c r="AX204" s="138">
        <v>204</v>
      </c>
    </row>
    <row r="205" spans="1:50" ht="21" x14ac:dyDescent="0.25">
      <c r="A205" s="138">
        <v>205</v>
      </c>
      <c r="B205" s="94">
        <v>23</v>
      </c>
      <c r="C205" s="95" t="s">
        <v>472</v>
      </c>
      <c r="D205" s="95" t="s">
        <v>47</v>
      </c>
      <c r="E205" s="95" t="s">
        <v>48</v>
      </c>
      <c r="F205" s="95" t="s">
        <v>55</v>
      </c>
      <c r="G205" s="97">
        <v>5</v>
      </c>
      <c r="H205" s="97">
        <v>6</v>
      </c>
      <c r="I205" s="97">
        <v>2025</v>
      </c>
      <c r="J205" s="97">
        <v>339</v>
      </c>
      <c r="K205" s="97" t="s">
        <v>461</v>
      </c>
      <c r="L205" s="98" t="s">
        <v>462</v>
      </c>
      <c r="M205" s="95">
        <v>1</v>
      </c>
      <c r="N205" s="97"/>
      <c r="O205" s="98"/>
      <c r="P205" s="99"/>
      <c r="Q205" s="99"/>
      <c r="R205" s="99"/>
      <c r="S205" s="98" t="s">
        <v>176</v>
      </c>
      <c r="T205" s="174">
        <v>533</v>
      </c>
      <c r="U205" s="94">
        <v>2818</v>
      </c>
      <c r="V205" s="100"/>
      <c r="W205" s="100"/>
      <c r="X205" s="100"/>
      <c r="Y205" s="100"/>
      <c r="Z205" s="101" t="s">
        <v>8</v>
      </c>
      <c r="AA205" s="100" t="s">
        <v>58</v>
      </c>
      <c r="AB205" s="100"/>
      <c r="AC205" s="100"/>
      <c r="AD205" s="100"/>
      <c r="AE205" s="102">
        <v>16</v>
      </c>
      <c r="AF205" s="103">
        <v>76</v>
      </c>
      <c r="AG205" s="103">
        <v>56</v>
      </c>
      <c r="AH205" s="104">
        <v>66</v>
      </c>
      <c r="AI205" s="102">
        <v>5.47</v>
      </c>
      <c r="AJ205" s="105"/>
      <c r="AK205" s="105">
        <v>0</v>
      </c>
      <c r="AL205" s="113"/>
      <c r="AM205" s="113"/>
      <c r="AN205" s="114"/>
      <c r="AO205" s="108"/>
      <c r="AP205" s="108"/>
      <c r="AQ205" s="108"/>
      <c r="AR205" s="109"/>
      <c r="AS205" s="110"/>
      <c r="AT205" s="110"/>
      <c r="AU205" s="111"/>
      <c r="AV205" s="112" t="s">
        <v>54</v>
      </c>
      <c r="AW205" s="110"/>
      <c r="AX205" s="138">
        <v>205</v>
      </c>
    </row>
    <row r="206" spans="1:50" ht="21" x14ac:dyDescent="0.25">
      <c r="A206" s="138">
        <v>206</v>
      </c>
      <c r="B206" s="94"/>
      <c r="C206" s="95" t="s">
        <v>472</v>
      </c>
      <c r="D206" s="95" t="s">
        <v>47</v>
      </c>
      <c r="E206" s="95" t="s">
        <v>48</v>
      </c>
      <c r="F206" s="95" t="s">
        <v>55</v>
      </c>
      <c r="G206" s="97">
        <v>5</v>
      </c>
      <c r="H206" s="97">
        <v>6</v>
      </c>
      <c r="I206" s="97">
        <v>2025</v>
      </c>
      <c r="J206" s="97">
        <v>339</v>
      </c>
      <c r="K206" s="97" t="s">
        <v>461</v>
      </c>
      <c r="L206" s="98" t="s">
        <v>462</v>
      </c>
      <c r="M206" s="95">
        <v>1</v>
      </c>
      <c r="N206" s="97"/>
      <c r="O206" s="98"/>
      <c r="P206" s="99"/>
      <c r="Q206" s="99"/>
      <c r="R206" s="99"/>
      <c r="S206" s="98" t="s">
        <v>309</v>
      </c>
      <c r="T206" s="174">
        <v>534</v>
      </c>
      <c r="U206" s="94">
        <v>3397</v>
      </c>
      <c r="V206" s="100"/>
      <c r="W206" s="100"/>
      <c r="X206" s="100"/>
      <c r="Y206" s="100"/>
      <c r="Z206" s="101" t="s">
        <v>8</v>
      </c>
      <c r="AA206" s="100" t="s">
        <v>58</v>
      </c>
      <c r="AB206" s="100"/>
      <c r="AC206" s="100"/>
      <c r="AD206" s="100"/>
      <c r="AE206" s="102">
        <v>13.7</v>
      </c>
      <c r="AF206" s="103">
        <v>57</v>
      </c>
      <c r="AG206" s="103">
        <v>43</v>
      </c>
      <c r="AH206" s="104">
        <v>50</v>
      </c>
      <c r="AI206" s="102">
        <v>2.29</v>
      </c>
      <c r="AJ206" s="105">
        <v>17</v>
      </c>
      <c r="AK206" s="105">
        <v>14.7</v>
      </c>
      <c r="AL206" s="113"/>
      <c r="AM206" s="113"/>
      <c r="AN206" s="114"/>
      <c r="AO206" s="108"/>
      <c r="AP206" s="108"/>
      <c r="AQ206" s="108"/>
      <c r="AR206" s="109"/>
      <c r="AS206" s="110"/>
      <c r="AT206" s="110"/>
      <c r="AU206" s="111"/>
      <c r="AV206" s="112" t="s">
        <v>54</v>
      </c>
      <c r="AW206" s="110"/>
      <c r="AX206" s="138">
        <v>206</v>
      </c>
    </row>
    <row r="207" spans="1:50" ht="21" x14ac:dyDescent="0.25">
      <c r="A207" s="138">
        <v>207</v>
      </c>
      <c r="B207" s="94"/>
      <c r="C207" s="95" t="s">
        <v>472</v>
      </c>
      <c r="D207" s="95" t="s">
        <v>47</v>
      </c>
      <c r="E207" s="95" t="s">
        <v>48</v>
      </c>
      <c r="F207" s="95" t="s">
        <v>55</v>
      </c>
      <c r="G207" s="97">
        <v>5</v>
      </c>
      <c r="H207" s="97">
        <v>6</v>
      </c>
      <c r="I207" s="97">
        <v>2025</v>
      </c>
      <c r="J207" s="97">
        <v>339</v>
      </c>
      <c r="K207" s="97" t="s">
        <v>461</v>
      </c>
      <c r="L207" s="98" t="s">
        <v>462</v>
      </c>
      <c r="M207" s="95">
        <v>1</v>
      </c>
      <c r="N207" s="97"/>
      <c r="O207" s="98"/>
      <c r="P207" s="99"/>
      <c r="Q207" s="99"/>
      <c r="R207" s="99"/>
      <c r="S207" s="98" t="s">
        <v>303</v>
      </c>
      <c r="T207" s="174">
        <v>535</v>
      </c>
      <c r="U207" s="94">
        <v>3390</v>
      </c>
      <c r="V207" s="100"/>
      <c r="W207" s="100"/>
      <c r="X207" s="100"/>
      <c r="Y207" s="100"/>
      <c r="Z207" s="101" t="s">
        <v>0</v>
      </c>
      <c r="AA207" s="100" t="s">
        <v>58</v>
      </c>
      <c r="AB207" s="100"/>
      <c r="AC207" s="100"/>
      <c r="AD207" s="100"/>
      <c r="AE207" s="102">
        <v>18.600000000000001</v>
      </c>
      <c r="AF207" s="103">
        <v>88</v>
      </c>
      <c r="AG207" s="103">
        <v>68</v>
      </c>
      <c r="AH207" s="104">
        <v>78</v>
      </c>
      <c r="AI207" s="102">
        <v>7.99</v>
      </c>
      <c r="AJ207" s="105">
        <v>22</v>
      </c>
      <c r="AK207" s="105">
        <v>10.1</v>
      </c>
      <c r="AL207" s="113"/>
      <c r="AM207" s="113"/>
      <c r="AN207" s="114"/>
      <c r="AO207" s="108"/>
      <c r="AP207" s="108"/>
      <c r="AQ207" s="108"/>
      <c r="AR207" s="109"/>
      <c r="AS207" s="110"/>
      <c r="AT207" s="110"/>
      <c r="AU207" s="111"/>
      <c r="AV207" s="112" t="s">
        <v>54</v>
      </c>
      <c r="AW207" s="110"/>
      <c r="AX207" s="138">
        <v>207</v>
      </c>
    </row>
    <row r="208" spans="1:50" ht="21" x14ac:dyDescent="0.25">
      <c r="A208" s="138">
        <v>208</v>
      </c>
      <c r="B208" s="94"/>
      <c r="C208" s="95" t="s">
        <v>472</v>
      </c>
      <c r="D208" s="95" t="s">
        <v>47</v>
      </c>
      <c r="E208" s="95" t="s">
        <v>48</v>
      </c>
      <c r="F208" s="95" t="s">
        <v>55</v>
      </c>
      <c r="G208" s="97">
        <v>5</v>
      </c>
      <c r="H208" s="97">
        <v>6</v>
      </c>
      <c r="I208" s="97">
        <v>2025</v>
      </c>
      <c r="J208" s="97">
        <v>339</v>
      </c>
      <c r="K208" s="97" t="s">
        <v>461</v>
      </c>
      <c r="L208" s="98" t="s">
        <v>462</v>
      </c>
      <c r="M208" s="95">
        <v>1</v>
      </c>
      <c r="N208" s="97"/>
      <c r="O208" s="98"/>
      <c r="P208" s="99"/>
      <c r="Q208" s="99"/>
      <c r="R208" s="99"/>
      <c r="S208" s="116" t="s">
        <v>180</v>
      </c>
      <c r="T208" s="174">
        <v>536</v>
      </c>
      <c r="U208" s="175">
        <v>2822</v>
      </c>
      <c r="V208" s="100"/>
      <c r="W208" s="117"/>
      <c r="X208" s="117"/>
      <c r="Y208" s="117"/>
      <c r="Z208" s="106" t="s">
        <v>1</v>
      </c>
      <c r="AA208" s="117" t="s">
        <v>58</v>
      </c>
      <c r="AB208" s="117"/>
      <c r="AC208" s="117"/>
      <c r="AD208" s="117"/>
      <c r="AE208" s="119">
        <v>20.5</v>
      </c>
      <c r="AF208" s="112">
        <v>57</v>
      </c>
      <c r="AG208" s="112">
        <v>36</v>
      </c>
      <c r="AH208" s="113">
        <v>46</v>
      </c>
      <c r="AI208" s="119">
        <v>3.41</v>
      </c>
      <c r="AJ208" s="120"/>
      <c r="AK208" s="120">
        <v>0</v>
      </c>
      <c r="AL208" s="113"/>
      <c r="AM208" s="106"/>
      <c r="AN208" s="114"/>
      <c r="AO208" s="108"/>
      <c r="AP208" s="108"/>
      <c r="AQ208" s="108"/>
      <c r="AR208" s="109"/>
      <c r="AS208" s="110"/>
      <c r="AT208" s="110"/>
      <c r="AU208" s="110"/>
      <c r="AV208" s="112" t="s">
        <v>54</v>
      </c>
      <c r="AW208" s="110"/>
      <c r="AX208" s="138">
        <v>208</v>
      </c>
    </row>
    <row r="209" spans="1:50" ht="21" x14ac:dyDescent="0.25">
      <c r="A209" s="138">
        <v>209</v>
      </c>
      <c r="B209" s="94"/>
      <c r="C209" s="95" t="s">
        <v>472</v>
      </c>
      <c r="D209" s="95" t="s">
        <v>47</v>
      </c>
      <c r="E209" s="95" t="s">
        <v>48</v>
      </c>
      <c r="F209" s="95" t="s">
        <v>55</v>
      </c>
      <c r="G209" s="97">
        <v>5</v>
      </c>
      <c r="H209" s="97">
        <v>6</v>
      </c>
      <c r="I209" s="97">
        <v>2025</v>
      </c>
      <c r="J209" s="97">
        <v>339</v>
      </c>
      <c r="K209" s="97" t="s">
        <v>461</v>
      </c>
      <c r="L209" s="98" t="s">
        <v>462</v>
      </c>
      <c r="M209" s="95">
        <v>1</v>
      </c>
      <c r="N209" s="97"/>
      <c r="O209" s="98"/>
      <c r="P209" s="99"/>
      <c r="Q209" s="99"/>
      <c r="R209" s="99"/>
      <c r="S209" s="98" t="s">
        <v>286</v>
      </c>
      <c r="T209" s="174">
        <v>537</v>
      </c>
      <c r="U209" s="94">
        <v>3207</v>
      </c>
      <c r="V209" s="100"/>
      <c r="W209" s="100"/>
      <c r="X209" s="100"/>
      <c r="Y209" s="100"/>
      <c r="Z209" s="101" t="s">
        <v>3</v>
      </c>
      <c r="AA209" s="100" t="s">
        <v>58</v>
      </c>
      <c r="AB209" s="100"/>
      <c r="AC209" s="100"/>
      <c r="AD209" s="100"/>
      <c r="AE209" s="102">
        <v>18.3</v>
      </c>
      <c r="AF209" s="103">
        <v>68</v>
      </c>
      <c r="AG209" s="103">
        <v>50</v>
      </c>
      <c r="AH209" s="104">
        <v>59</v>
      </c>
      <c r="AI209" s="102">
        <v>5</v>
      </c>
      <c r="AJ209" s="105"/>
      <c r="AK209" s="105">
        <v>0</v>
      </c>
      <c r="AL209" s="113"/>
      <c r="AM209" s="113"/>
      <c r="AN209" s="114"/>
      <c r="AO209" s="108"/>
      <c r="AP209" s="108"/>
      <c r="AQ209" s="108"/>
      <c r="AR209" s="109"/>
      <c r="AS209" s="110"/>
      <c r="AT209" s="110"/>
      <c r="AU209" s="111"/>
      <c r="AV209" s="112" t="s">
        <v>54</v>
      </c>
      <c r="AW209" s="110"/>
      <c r="AX209" s="138">
        <v>209</v>
      </c>
    </row>
    <row r="210" spans="1:50" ht="21" x14ac:dyDescent="0.25">
      <c r="A210" s="138">
        <v>210</v>
      </c>
      <c r="B210" s="94"/>
      <c r="C210" s="95" t="s">
        <v>472</v>
      </c>
      <c r="D210" s="95" t="s">
        <v>47</v>
      </c>
      <c r="E210" s="95" t="s">
        <v>48</v>
      </c>
      <c r="F210" s="95" t="s">
        <v>55</v>
      </c>
      <c r="G210" s="97">
        <v>5</v>
      </c>
      <c r="H210" s="97">
        <v>6</v>
      </c>
      <c r="I210" s="97">
        <v>2025</v>
      </c>
      <c r="J210" s="97">
        <v>339</v>
      </c>
      <c r="K210" s="97" t="s">
        <v>461</v>
      </c>
      <c r="L210" s="98" t="s">
        <v>462</v>
      </c>
      <c r="M210" s="95">
        <v>1</v>
      </c>
      <c r="N210" s="97"/>
      <c r="O210" s="98"/>
      <c r="P210" s="99"/>
      <c r="Q210" s="99"/>
      <c r="R210" s="99"/>
      <c r="S210" s="116" t="s">
        <v>310</v>
      </c>
      <c r="T210" s="174">
        <v>538</v>
      </c>
      <c r="U210" s="175">
        <v>3398</v>
      </c>
      <c r="V210" s="100"/>
      <c r="W210" s="117"/>
      <c r="X210" s="117"/>
      <c r="Y210" s="117"/>
      <c r="Z210" s="106" t="s">
        <v>3</v>
      </c>
      <c r="AA210" s="117" t="s">
        <v>58</v>
      </c>
      <c r="AB210" s="117"/>
      <c r="AC210" s="117"/>
      <c r="AD210" s="117"/>
      <c r="AE210" s="118">
        <v>20</v>
      </c>
      <c r="AF210" s="112">
        <v>80</v>
      </c>
      <c r="AG210" s="112">
        <v>65</v>
      </c>
      <c r="AH210" s="113">
        <v>72</v>
      </c>
      <c r="AI210" s="119">
        <v>8.14</v>
      </c>
      <c r="AJ210" s="120"/>
      <c r="AK210" s="120">
        <v>0</v>
      </c>
      <c r="AL210" s="113"/>
      <c r="AM210" s="113"/>
      <c r="AN210" s="114"/>
      <c r="AO210" s="108"/>
      <c r="AP210" s="108"/>
      <c r="AQ210" s="108"/>
      <c r="AR210" s="109"/>
      <c r="AS210" s="110"/>
      <c r="AT210" s="110"/>
      <c r="AU210" s="110"/>
      <c r="AV210" s="112" t="s">
        <v>54</v>
      </c>
      <c r="AW210" s="110"/>
      <c r="AX210" s="138">
        <v>210</v>
      </c>
    </row>
    <row r="211" spans="1:50" ht="21" x14ac:dyDescent="0.25">
      <c r="A211" s="138">
        <v>211</v>
      </c>
      <c r="B211" s="94"/>
      <c r="C211" s="95" t="s">
        <v>472</v>
      </c>
      <c r="D211" s="95" t="s">
        <v>47</v>
      </c>
      <c r="E211" s="95" t="s">
        <v>48</v>
      </c>
      <c r="F211" s="95" t="s">
        <v>55</v>
      </c>
      <c r="G211" s="97">
        <v>5</v>
      </c>
      <c r="H211" s="97">
        <v>6</v>
      </c>
      <c r="I211" s="97">
        <v>2025</v>
      </c>
      <c r="J211" s="97">
        <v>339</v>
      </c>
      <c r="K211" s="97" t="s">
        <v>461</v>
      </c>
      <c r="L211" s="98" t="s">
        <v>462</v>
      </c>
      <c r="M211" s="95">
        <v>1</v>
      </c>
      <c r="N211" s="97"/>
      <c r="O211" s="98"/>
      <c r="P211" s="99"/>
      <c r="Q211" s="99"/>
      <c r="R211" s="99"/>
      <c r="S211" s="116" t="s">
        <v>179</v>
      </c>
      <c r="T211" s="174">
        <v>539</v>
      </c>
      <c r="U211" s="175">
        <v>2821</v>
      </c>
      <c r="V211" s="100"/>
      <c r="W211" s="117"/>
      <c r="X211" s="117"/>
      <c r="Y211" s="117"/>
      <c r="Z211" s="106" t="s">
        <v>3</v>
      </c>
      <c r="AA211" s="117" t="s">
        <v>58</v>
      </c>
      <c r="AB211" s="117"/>
      <c r="AC211" s="117"/>
      <c r="AD211" s="117"/>
      <c r="AE211" s="118">
        <v>20</v>
      </c>
      <c r="AF211" s="112">
        <v>61</v>
      </c>
      <c r="AG211" s="112">
        <v>41</v>
      </c>
      <c r="AH211" s="113">
        <v>51</v>
      </c>
      <c r="AI211" s="119">
        <v>4.09</v>
      </c>
      <c r="AJ211" s="120"/>
      <c r="AK211" s="120">
        <v>0</v>
      </c>
      <c r="AL211" s="113"/>
      <c r="AM211" s="113"/>
      <c r="AN211" s="114"/>
      <c r="AO211" s="108"/>
      <c r="AP211" s="108"/>
      <c r="AQ211" s="113"/>
      <c r="AR211" s="106"/>
      <c r="AS211" s="110"/>
      <c r="AT211" s="110"/>
      <c r="AU211" s="110"/>
      <c r="AV211" s="112" t="s">
        <v>54</v>
      </c>
      <c r="AW211" s="110"/>
      <c r="AX211" s="138">
        <v>211</v>
      </c>
    </row>
    <row r="212" spans="1:50" ht="21" x14ac:dyDescent="0.25">
      <c r="A212" s="138">
        <v>212</v>
      </c>
      <c r="B212" s="94"/>
      <c r="C212" s="95" t="s">
        <v>472</v>
      </c>
      <c r="D212" s="95" t="s">
        <v>47</v>
      </c>
      <c r="E212" s="95" t="s">
        <v>48</v>
      </c>
      <c r="F212" s="95" t="s">
        <v>55</v>
      </c>
      <c r="G212" s="97">
        <v>5</v>
      </c>
      <c r="H212" s="97">
        <v>6</v>
      </c>
      <c r="I212" s="97">
        <v>2025</v>
      </c>
      <c r="J212" s="97">
        <v>339</v>
      </c>
      <c r="K212" s="97" t="s">
        <v>461</v>
      </c>
      <c r="L212" s="98" t="s">
        <v>462</v>
      </c>
      <c r="M212" s="95">
        <v>1</v>
      </c>
      <c r="N212" s="97"/>
      <c r="O212" s="98"/>
      <c r="P212" s="99"/>
      <c r="Q212" s="99"/>
      <c r="R212" s="99"/>
      <c r="S212" s="116" t="s">
        <v>177</v>
      </c>
      <c r="T212" s="174">
        <v>540</v>
      </c>
      <c r="U212" s="175">
        <v>2819</v>
      </c>
      <c r="V212" s="100"/>
      <c r="W212" s="117"/>
      <c r="X212" s="117"/>
      <c r="Y212" s="117"/>
      <c r="Z212" s="106" t="s">
        <v>3</v>
      </c>
      <c r="AA212" s="117" t="s">
        <v>58</v>
      </c>
      <c r="AB212" s="117"/>
      <c r="AC212" s="117"/>
      <c r="AD212" s="117"/>
      <c r="AE212" s="118">
        <v>17.5</v>
      </c>
      <c r="AF212" s="112">
        <v>55</v>
      </c>
      <c r="AG212" s="112">
        <v>42</v>
      </c>
      <c r="AH212" s="113">
        <v>48</v>
      </c>
      <c r="AI212" s="119">
        <v>3.17</v>
      </c>
      <c r="AJ212" s="120"/>
      <c r="AK212" s="120">
        <v>0</v>
      </c>
      <c r="AL212" s="113"/>
      <c r="AM212" s="113"/>
      <c r="AN212" s="114"/>
      <c r="AO212" s="108"/>
      <c r="AP212" s="108"/>
      <c r="AQ212" s="113"/>
      <c r="AR212" s="106"/>
      <c r="AS212" s="110"/>
      <c r="AT212" s="110"/>
      <c r="AU212" s="110"/>
      <c r="AV212" s="112" t="s">
        <v>54</v>
      </c>
      <c r="AW212" s="110"/>
      <c r="AX212" s="138">
        <v>212</v>
      </c>
    </row>
    <row r="213" spans="1:50" ht="21" x14ac:dyDescent="0.25">
      <c r="A213" s="138">
        <v>213</v>
      </c>
      <c r="B213" s="94"/>
      <c r="C213" s="95" t="s">
        <v>472</v>
      </c>
      <c r="D213" s="95" t="s">
        <v>47</v>
      </c>
      <c r="E213" s="95" t="s">
        <v>48</v>
      </c>
      <c r="F213" s="95" t="s">
        <v>55</v>
      </c>
      <c r="G213" s="97">
        <v>5</v>
      </c>
      <c r="H213" s="97">
        <v>6</v>
      </c>
      <c r="I213" s="97">
        <v>2025</v>
      </c>
      <c r="J213" s="97">
        <v>339</v>
      </c>
      <c r="K213" s="97" t="s">
        <v>461</v>
      </c>
      <c r="L213" s="98" t="s">
        <v>462</v>
      </c>
      <c r="M213" s="95">
        <v>1</v>
      </c>
      <c r="N213" s="97"/>
      <c r="O213" s="95"/>
      <c r="P213" s="99"/>
      <c r="Q213" s="99"/>
      <c r="R213" s="99"/>
      <c r="S213" s="95" t="s">
        <v>325</v>
      </c>
      <c r="T213" s="174">
        <v>541</v>
      </c>
      <c r="U213" s="94">
        <v>3413</v>
      </c>
      <c r="V213" s="100"/>
      <c r="W213" s="100"/>
      <c r="X213" s="100"/>
      <c r="Y213" s="100"/>
      <c r="Z213" s="122" t="s">
        <v>0</v>
      </c>
      <c r="AA213" s="100" t="s">
        <v>58</v>
      </c>
      <c r="AB213" s="100"/>
      <c r="AC213" s="100"/>
      <c r="AD213" s="100"/>
      <c r="AE213" s="102">
        <v>21</v>
      </c>
      <c r="AF213" s="105">
        <v>58</v>
      </c>
      <c r="AG213" s="105">
        <v>44</v>
      </c>
      <c r="AH213" s="127">
        <v>51</v>
      </c>
      <c r="AI213" s="102">
        <v>4.29</v>
      </c>
      <c r="AJ213" s="105"/>
      <c r="AK213" s="105">
        <v>0</v>
      </c>
      <c r="AL213" s="108">
        <v>23</v>
      </c>
      <c r="AM213" s="109">
        <f>COUNT(AI205:AI213)</f>
        <v>9</v>
      </c>
      <c r="AN213" s="114">
        <f>SUM(AI205:AI213)</f>
        <v>43.85</v>
      </c>
      <c r="AO213" s="108"/>
      <c r="AP213" s="108"/>
      <c r="AQ213" s="108"/>
      <c r="AR213" s="109"/>
      <c r="AS213" s="128"/>
      <c r="AT213" s="128"/>
      <c r="AU213" s="125"/>
      <c r="AV213" s="120" t="s">
        <v>54</v>
      </c>
      <c r="AW213" s="128"/>
      <c r="AX213" s="138">
        <v>213</v>
      </c>
    </row>
    <row r="214" spans="1:50" ht="21" x14ac:dyDescent="0.25">
      <c r="A214" s="138">
        <v>214</v>
      </c>
      <c r="B214" s="94">
        <v>24</v>
      </c>
      <c r="C214" s="95" t="s">
        <v>467</v>
      </c>
      <c r="D214" s="95" t="s">
        <v>47</v>
      </c>
      <c r="E214" s="95" t="s">
        <v>48</v>
      </c>
      <c r="F214" s="95" t="s">
        <v>55</v>
      </c>
      <c r="G214" s="97">
        <v>5</v>
      </c>
      <c r="H214" s="97">
        <v>6</v>
      </c>
      <c r="I214" s="97">
        <v>2025</v>
      </c>
      <c r="J214" s="97">
        <v>341</v>
      </c>
      <c r="K214" s="97" t="s">
        <v>49</v>
      </c>
      <c r="L214" s="98" t="s">
        <v>50</v>
      </c>
      <c r="M214" s="95">
        <v>1</v>
      </c>
      <c r="N214" s="97"/>
      <c r="O214" s="98"/>
      <c r="P214" s="99"/>
      <c r="Q214" s="99"/>
      <c r="R214" s="99"/>
      <c r="S214" s="116" t="s">
        <v>187</v>
      </c>
      <c r="T214" s="174">
        <v>542</v>
      </c>
      <c r="U214" s="175">
        <v>2829</v>
      </c>
      <c r="V214" s="100"/>
      <c r="W214" s="117"/>
      <c r="X214" s="117"/>
      <c r="Y214" s="117"/>
      <c r="Z214" s="106" t="s">
        <v>5</v>
      </c>
      <c r="AA214" s="117" t="s">
        <v>58</v>
      </c>
      <c r="AB214" s="117"/>
      <c r="AC214" s="117"/>
      <c r="AD214" s="117"/>
      <c r="AE214" s="118">
        <v>19.5</v>
      </c>
      <c r="AF214" s="112">
        <v>69</v>
      </c>
      <c r="AG214" s="112">
        <v>48</v>
      </c>
      <c r="AH214" s="113">
        <v>58</v>
      </c>
      <c r="AI214" s="119">
        <v>5.15</v>
      </c>
      <c r="AJ214" s="120"/>
      <c r="AK214" s="120">
        <v>0</v>
      </c>
      <c r="AL214" s="113"/>
      <c r="AM214" s="113"/>
      <c r="AN214" s="114"/>
      <c r="AO214" s="108"/>
      <c r="AP214" s="108"/>
      <c r="AQ214" s="108"/>
      <c r="AR214" s="109"/>
      <c r="AS214" s="110"/>
      <c r="AT214" s="110"/>
      <c r="AU214" s="110"/>
      <c r="AV214" s="112" t="s">
        <v>54</v>
      </c>
      <c r="AW214" s="110"/>
      <c r="AX214" s="138">
        <v>214</v>
      </c>
    </row>
    <row r="215" spans="1:50" ht="21" x14ac:dyDescent="0.25">
      <c r="A215" s="138">
        <v>215</v>
      </c>
      <c r="B215" s="94"/>
      <c r="C215" s="95" t="s">
        <v>467</v>
      </c>
      <c r="D215" s="95" t="s">
        <v>47</v>
      </c>
      <c r="E215" s="95" t="s">
        <v>48</v>
      </c>
      <c r="F215" s="95" t="s">
        <v>55</v>
      </c>
      <c r="G215" s="97">
        <v>5</v>
      </c>
      <c r="H215" s="97">
        <v>6</v>
      </c>
      <c r="I215" s="97">
        <v>2025</v>
      </c>
      <c r="J215" s="97">
        <v>341</v>
      </c>
      <c r="K215" s="97" t="s">
        <v>49</v>
      </c>
      <c r="L215" s="98" t="s">
        <v>50</v>
      </c>
      <c r="M215" s="95">
        <v>1</v>
      </c>
      <c r="N215" s="97"/>
      <c r="O215" s="98"/>
      <c r="P215" s="99"/>
      <c r="Q215" s="99"/>
      <c r="R215" s="99"/>
      <c r="S215" s="98" t="s">
        <v>444</v>
      </c>
      <c r="T215" s="174">
        <v>543</v>
      </c>
      <c r="U215" s="94">
        <v>3740</v>
      </c>
      <c r="V215" s="100"/>
      <c r="W215" s="100"/>
      <c r="X215" s="100"/>
      <c r="Y215" s="100"/>
      <c r="Z215" s="101" t="s">
        <v>3</v>
      </c>
      <c r="AA215" s="100" t="s">
        <v>58</v>
      </c>
      <c r="AB215" s="100"/>
      <c r="AC215" s="100"/>
      <c r="AD215" s="100"/>
      <c r="AE215" s="121">
        <v>16.2</v>
      </c>
      <c r="AF215" s="103">
        <v>54</v>
      </c>
      <c r="AG215" s="103">
        <v>43</v>
      </c>
      <c r="AH215" s="104">
        <v>48</v>
      </c>
      <c r="AI215" s="121">
        <v>2.93</v>
      </c>
      <c r="AJ215" s="103"/>
      <c r="AK215" s="103">
        <v>0</v>
      </c>
      <c r="AL215" s="113"/>
      <c r="AM215" s="106"/>
      <c r="AN215" s="114"/>
      <c r="AO215" s="108"/>
      <c r="AP215" s="108"/>
      <c r="AQ215" s="108"/>
      <c r="AR215" s="109"/>
      <c r="AS215" s="110"/>
      <c r="AT215" s="110"/>
      <c r="AU215" s="111"/>
      <c r="AV215" s="112" t="s">
        <v>54</v>
      </c>
      <c r="AW215" s="110"/>
      <c r="AX215" s="138">
        <v>215</v>
      </c>
    </row>
    <row r="216" spans="1:50" ht="21" x14ac:dyDescent="0.25">
      <c r="A216" s="138">
        <v>216</v>
      </c>
      <c r="B216" s="94"/>
      <c r="C216" s="95" t="s">
        <v>467</v>
      </c>
      <c r="D216" s="95" t="s">
        <v>47</v>
      </c>
      <c r="E216" s="95" t="s">
        <v>48</v>
      </c>
      <c r="F216" s="95" t="s">
        <v>55</v>
      </c>
      <c r="G216" s="97">
        <v>5</v>
      </c>
      <c r="H216" s="97">
        <v>6</v>
      </c>
      <c r="I216" s="97">
        <v>2025</v>
      </c>
      <c r="J216" s="97">
        <v>341</v>
      </c>
      <c r="K216" s="97" t="s">
        <v>49</v>
      </c>
      <c r="L216" s="98" t="s">
        <v>50</v>
      </c>
      <c r="M216" s="95">
        <v>1</v>
      </c>
      <c r="N216" s="97"/>
      <c r="O216" s="98"/>
      <c r="P216" s="99"/>
      <c r="Q216" s="99"/>
      <c r="R216" s="99"/>
      <c r="S216" s="98" t="s">
        <v>316</v>
      </c>
      <c r="T216" s="174">
        <v>544</v>
      </c>
      <c r="U216" s="94">
        <v>3404</v>
      </c>
      <c r="V216" s="100"/>
      <c r="W216" s="100"/>
      <c r="X216" s="100"/>
      <c r="Y216" s="100"/>
      <c r="Z216" s="101" t="s">
        <v>0</v>
      </c>
      <c r="AA216" s="100" t="s">
        <v>58</v>
      </c>
      <c r="AB216" s="100"/>
      <c r="AC216" s="100"/>
      <c r="AD216" s="100"/>
      <c r="AE216" s="102">
        <v>14.4</v>
      </c>
      <c r="AF216" s="103">
        <v>78</v>
      </c>
      <c r="AG216" s="103">
        <v>65</v>
      </c>
      <c r="AH216" s="104">
        <v>71</v>
      </c>
      <c r="AI216" s="102">
        <v>5.7</v>
      </c>
      <c r="AJ216" s="105"/>
      <c r="AK216" s="105">
        <v>0</v>
      </c>
      <c r="AL216" s="106"/>
      <c r="AM216" s="106"/>
      <c r="AN216" s="107"/>
      <c r="AO216" s="106"/>
      <c r="AP216" s="106"/>
      <c r="AQ216" s="113"/>
      <c r="AR216" s="106"/>
      <c r="AS216" s="110"/>
      <c r="AT216" s="110"/>
      <c r="AU216" s="111"/>
      <c r="AV216" s="112" t="s">
        <v>54</v>
      </c>
      <c r="AW216" s="110"/>
      <c r="AX216" s="138">
        <v>216</v>
      </c>
    </row>
    <row r="217" spans="1:50" ht="21" x14ac:dyDescent="0.25">
      <c r="A217" s="138">
        <v>217</v>
      </c>
      <c r="B217" s="94"/>
      <c r="C217" s="95" t="s">
        <v>467</v>
      </c>
      <c r="D217" s="95" t="s">
        <v>47</v>
      </c>
      <c r="E217" s="95" t="s">
        <v>48</v>
      </c>
      <c r="F217" s="95" t="s">
        <v>55</v>
      </c>
      <c r="G217" s="97">
        <v>5</v>
      </c>
      <c r="H217" s="97">
        <v>6</v>
      </c>
      <c r="I217" s="97">
        <v>2025</v>
      </c>
      <c r="J217" s="97">
        <v>341</v>
      </c>
      <c r="K217" s="97" t="s">
        <v>49</v>
      </c>
      <c r="L217" s="98" t="s">
        <v>50</v>
      </c>
      <c r="M217" s="95">
        <v>1</v>
      </c>
      <c r="N217" s="97"/>
      <c r="O217" s="98"/>
      <c r="P217" s="99"/>
      <c r="Q217" s="99"/>
      <c r="R217" s="99"/>
      <c r="S217" s="98" t="s">
        <v>262</v>
      </c>
      <c r="T217" s="174">
        <v>545</v>
      </c>
      <c r="U217" s="94">
        <v>3038</v>
      </c>
      <c r="V217" s="100"/>
      <c r="W217" s="100"/>
      <c r="X217" s="100"/>
      <c r="Y217" s="100"/>
      <c r="Z217" s="101" t="s">
        <v>0</v>
      </c>
      <c r="AA217" s="100" t="s">
        <v>58</v>
      </c>
      <c r="AB217" s="100"/>
      <c r="AC217" s="100"/>
      <c r="AD217" s="100"/>
      <c r="AE217" s="102">
        <v>18.5</v>
      </c>
      <c r="AF217" s="103">
        <v>86</v>
      </c>
      <c r="AG217" s="103">
        <v>66</v>
      </c>
      <c r="AH217" s="104">
        <v>76</v>
      </c>
      <c r="AI217" s="102">
        <v>8.39</v>
      </c>
      <c r="AJ217" s="105"/>
      <c r="AK217" s="105">
        <v>0</v>
      </c>
      <c r="AL217" s="113"/>
      <c r="AM217" s="113"/>
      <c r="AN217" s="114"/>
      <c r="AO217" s="108"/>
      <c r="AP217" s="108"/>
      <c r="AQ217" s="108"/>
      <c r="AR217" s="109"/>
      <c r="AS217" s="110"/>
      <c r="AT217" s="110"/>
      <c r="AU217" s="111"/>
      <c r="AV217" s="112" t="s">
        <v>54</v>
      </c>
      <c r="AW217" s="110"/>
      <c r="AX217" s="138">
        <v>217</v>
      </c>
    </row>
    <row r="218" spans="1:50" ht="21" x14ac:dyDescent="0.25">
      <c r="A218" s="138">
        <v>218</v>
      </c>
      <c r="B218" s="94"/>
      <c r="C218" s="95" t="s">
        <v>467</v>
      </c>
      <c r="D218" s="95" t="s">
        <v>47</v>
      </c>
      <c r="E218" s="95" t="s">
        <v>48</v>
      </c>
      <c r="F218" s="95" t="s">
        <v>55</v>
      </c>
      <c r="G218" s="97">
        <v>5</v>
      </c>
      <c r="H218" s="97">
        <v>6</v>
      </c>
      <c r="I218" s="97">
        <v>2025</v>
      </c>
      <c r="J218" s="97">
        <v>341</v>
      </c>
      <c r="K218" s="97" t="s">
        <v>49</v>
      </c>
      <c r="L218" s="98" t="s">
        <v>50</v>
      </c>
      <c r="M218" s="95">
        <v>1</v>
      </c>
      <c r="N218" s="97"/>
      <c r="O218" s="98"/>
      <c r="P218" s="99"/>
      <c r="Q218" s="99"/>
      <c r="R218" s="99"/>
      <c r="S218" s="98" t="s">
        <v>321</v>
      </c>
      <c r="T218" s="174">
        <v>546</v>
      </c>
      <c r="U218" s="94">
        <v>3409</v>
      </c>
      <c r="V218" s="100"/>
      <c r="W218" s="100"/>
      <c r="X218" s="100"/>
      <c r="Y218" s="100"/>
      <c r="Z218" s="101" t="s">
        <v>0</v>
      </c>
      <c r="AA218" s="100" t="s">
        <v>58</v>
      </c>
      <c r="AB218" s="100"/>
      <c r="AC218" s="100"/>
      <c r="AD218" s="100"/>
      <c r="AE218" s="102">
        <v>11.9</v>
      </c>
      <c r="AF218" s="103">
        <v>70</v>
      </c>
      <c r="AG218" s="103">
        <v>53</v>
      </c>
      <c r="AH218" s="104">
        <v>61</v>
      </c>
      <c r="AI218" s="102">
        <v>3.48</v>
      </c>
      <c r="AJ218" s="105"/>
      <c r="AK218" s="105">
        <v>0</v>
      </c>
      <c r="AL218" s="113"/>
      <c r="AM218" s="106"/>
      <c r="AN218" s="114"/>
      <c r="AO218" s="108"/>
      <c r="AP218" s="108"/>
      <c r="AQ218" s="108"/>
      <c r="AR218" s="109"/>
      <c r="AS218" s="110"/>
      <c r="AT218" s="110"/>
      <c r="AU218" s="111"/>
      <c r="AV218" s="112" t="s">
        <v>54</v>
      </c>
      <c r="AW218" s="110"/>
      <c r="AX218" s="138">
        <v>218</v>
      </c>
    </row>
    <row r="219" spans="1:50" ht="21" x14ac:dyDescent="0.25">
      <c r="A219" s="138">
        <v>219</v>
      </c>
      <c r="B219" s="94"/>
      <c r="C219" s="95" t="s">
        <v>467</v>
      </c>
      <c r="D219" s="95" t="s">
        <v>47</v>
      </c>
      <c r="E219" s="95" t="s">
        <v>48</v>
      </c>
      <c r="F219" s="95" t="s">
        <v>55</v>
      </c>
      <c r="G219" s="97">
        <v>5</v>
      </c>
      <c r="H219" s="97">
        <v>6</v>
      </c>
      <c r="I219" s="97">
        <v>2025</v>
      </c>
      <c r="J219" s="97">
        <v>341</v>
      </c>
      <c r="K219" s="97" t="s">
        <v>49</v>
      </c>
      <c r="L219" s="98" t="s">
        <v>50</v>
      </c>
      <c r="M219" s="95">
        <v>1</v>
      </c>
      <c r="N219" s="97"/>
      <c r="O219" s="98"/>
      <c r="P219" s="99"/>
      <c r="Q219" s="99"/>
      <c r="R219" s="99"/>
      <c r="S219" s="116" t="s">
        <v>182</v>
      </c>
      <c r="T219" s="174">
        <v>547</v>
      </c>
      <c r="U219" s="175">
        <v>2824</v>
      </c>
      <c r="V219" s="100"/>
      <c r="W219" s="117"/>
      <c r="X219" s="117"/>
      <c r="Y219" s="117"/>
      <c r="Z219" s="106" t="s">
        <v>5</v>
      </c>
      <c r="AA219" s="117" t="s">
        <v>58</v>
      </c>
      <c r="AB219" s="117"/>
      <c r="AC219" s="117"/>
      <c r="AD219" s="117"/>
      <c r="AE219" s="118">
        <v>21</v>
      </c>
      <c r="AF219" s="112">
        <v>61</v>
      </c>
      <c r="AG219" s="112">
        <v>42</v>
      </c>
      <c r="AH219" s="113">
        <v>51</v>
      </c>
      <c r="AI219" s="119">
        <v>4.29</v>
      </c>
      <c r="AJ219" s="120"/>
      <c r="AK219" s="120">
        <v>0</v>
      </c>
      <c r="AL219" s="113"/>
      <c r="AM219" s="113"/>
      <c r="AN219" s="114"/>
      <c r="AO219" s="108"/>
      <c r="AP219" s="108"/>
      <c r="AQ219" s="108"/>
      <c r="AR219" s="109"/>
      <c r="AS219" s="110"/>
      <c r="AT219" s="110"/>
      <c r="AU219" s="110"/>
      <c r="AV219" s="112" t="s">
        <v>54</v>
      </c>
      <c r="AW219" s="110"/>
      <c r="AX219" s="138">
        <v>219</v>
      </c>
    </row>
    <row r="220" spans="1:50" ht="21" x14ac:dyDescent="0.25">
      <c r="A220" s="138">
        <v>220</v>
      </c>
      <c r="B220" s="94"/>
      <c r="C220" s="95" t="s">
        <v>467</v>
      </c>
      <c r="D220" s="95" t="s">
        <v>47</v>
      </c>
      <c r="E220" s="95" t="s">
        <v>48</v>
      </c>
      <c r="F220" s="95" t="s">
        <v>55</v>
      </c>
      <c r="G220" s="97">
        <v>5</v>
      </c>
      <c r="H220" s="97">
        <v>6</v>
      </c>
      <c r="I220" s="97">
        <v>2025</v>
      </c>
      <c r="J220" s="97">
        <v>341</v>
      </c>
      <c r="K220" s="97" t="s">
        <v>49</v>
      </c>
      <c r="L220" s="98" t="s">
        <v>50</v>
      </c>
      <c r="M220" s="95">
        <v>1</v>
      </c>
      <c r="N220" s="97"/>
      <c r="O220" s="98"/>
      <c r="P220" s="99"/>
      <c r="Q220" s="99"/>
      <c r="R220" s="99"/>
      <c r="S220" s="98" t="s">
        <v>318</v>
      </c>
      <c r="T220" s="174">
        <v>548</v>
      </c>
      <c r="U220" s="94">
        <v>3406</v>
      </c>
      <c r="V220" s="100"/>
      <c r="W220" s="100"/>
      <c r="X220" s="100"/>
      <c r="Y220" s="100"/>
      <c r="Z220" s="101" t="s">
        <v>5</v>
      </c>
      <c r="AA220" s="100" t="s">
        <v>58</v>
      </c>
      <c r="AB220" s="100"/>
      <c r="AC220" s="100"/>
      <c r="AD220" s="100"/>
      <c r="AE220" s="102">
        <v>16.7</v>
      </c>
      <c r="AF220" s="103">
        <v>72</v>
      </c>
      <c r="AG220" s="103">
        <v>59</v>
      </c>
      <c r="AH220" s="104">
        <v>65</v>
      </c>
      <c r="AI220" s="102">
        <v>5.54</v>
      </c>
      <c r="AJ220" s="105"/>
      <c r="AK220" s="105">
        <v>0</v>
      </c>
      <c r="AL220" s="113"/>
      <c r="AM220" s="106"/>
      <c r="AN220" s="131"/>
      <c r="AO220" s="108"/>
      <c r="AP220" s="108"/>
      <c r="AQ220" s="108"/>
      <c r="AR220" s="109"/>
      <c r="AS220" s="110"/>
      <c r="AT220" s="110"/>
      <c r="AU220" s="111"/>
      <c r="AV220" s="112" t="s">
        <v>54</v>
      </c>
      <c r="AW220" s="110"/>
      <c r="AX220" s="138">
        <v>220</v>
      </c>
    </row>
    <row r="221" spans="1:50" ht="21" x14ac:dyDescent="0.25">
      <c r="A221" s="138">
        <v>221</v>
      </c>
      <c r="B221" s="94"/>
      <c r="C221" s="95" t="s">
        <v>467</v>
      </c>
      <c r="D221" s="95" t="s">
        <v>47</v>
      </c>
      <c r="E221" s="95" t="s">
        <v>48</v>
      </c>
      <c r="F221" s="95" t="s">
        <v>55</v>
      </c>
      <c r="G221" s="97">
        <v>5</v>
      </c>
      <c r="H221" s="97">
        <v>6</v>
      </c>
      <c r="I221" s="97">
        <v>2025</v>
      </c>
      <c r="J221" s="97">
        <v>341</v>
      </c>
      <c r="K221" s="97" t="s">
        <v>49</v>
      </c>
      <c r="L221" s="98" t="s">
        <v>50</v>
      </c>
      <c r="M221" s="95">
        <v>1</v>
      </c>
      <c r="N221" s="97"/>
      <c r="O221" s="98"/>
      <c r="P221" s="99"/>
      <c r="Q221" s="99"/>
      <c r="R221" s="99"/>
      <c r="S221" s="98" t="s">
        <v>335</v>
      </c>
      <c r="T221" s="174">
        <v>549</v>
      </c>
      <c r="U221" s="94">
        <v>3423</v>
      </c>
      <c r="V221" s="100"/>
      <c r="W221" s="100"/>
      <c r="X221" s="100"/>
      <c r="Y221" s="100"/>
      <c r="Z221" s="101" t="s">
        <v>0</v>
      </c>
      <c r="AA221" s="100" t="s">
        <v>58</v>
      </c>
      <c r="AB221" s="100"/>
      <c r="AC221" s="100"/>
      <c r="AD221" s="100"/>
      <c r="AE221" s="102">
        <v>18.899999999999999</v>
      </c>
      <c r="AF221" s="103">
        <v>68</v>
      </c>
      <c r="AG221" s="103">
        <v>46</v>
      </c>
      <c r="AH221" s="104">
        <v>57</v>
      </c>
      <c r="AI221" s="102">
        <v>4.82</v>
      </c>
      <c r="AJ221" s="105"/>
      <c r="AK221" s="105">
        <v>0</v>
      </c>
      <c r="AL221" s="113"/>
      <c r="AM221" s="106"/>
      <c r="AN221" s="131"/>
      <c r="AO221" s="108"/>
      <c r="AP221" s="108"/>
      <c r="AQ221" s="108"/>
      <c r="AR221" s="109"/>
      <c r="AS221" s="110"/>
      <c r="AT221" s="110"/>
      <c r="AU221" s="111"/>
      <c r="AV221" s="112" t="s">
        <v>54</v>
      </c>
      <c r="AW221" s="110"/>
      <c r="AX221" s="138">
        <v>221</v>
      </c>
    </row>
    <row r="222" spans="1:50" ht="21" x14ac:dyDescent="0.25">
      <c r="A222" s="138">
        <v>222</v>
      </c>
      <c r="B222" s="94"/>
      <c r="C222" s="95" t="s">
        <v>467</v>
      </c>
      <c r="D222" s="95" t="s">
        <v>47</v>
      </c>
      <c r="E222" s="95" t="s">
        <v>48</v>
      </c>
      <c r="F222" s="95" t="s">
        <v>55</v>
      </c>
      <c r="G222" s="97">
        <v>5</v>
      </c>
      <c r="H222" s="97">
        <v>6</v>
      </c>
      <c r="I222" s="97">
        <v>2025</v>
      </c>
      <c r="J222" s="97">
        <v>341</v>
      </c>
      <c r="K222" s="97" t="s">
        <v>49</v>
      </c>
      <c r="L222" s="98" t="s">
        <v>50</v>
      </c>
      <c r="M222" s="95">
        <v>1</v>
      </c>
      <c r="N222" s="97"/>
      <c r="O222" s="98"/>
      <c r="P222" s="99"/>
      <c r="Q222" s="99"/>
      <c r="R222" s="99"/>
      <c r="S222" s="98" t="s">
        <v>170</v>
      </c>
      <c r="T222" s="174">
        <v>550</v>
      </c>
      <c r="U222" s="94">
        <v>2808</v>
      </c>
      <c r="V222" s="100"/>
      <c r="W222" s="100"/>
      <c r="X222" s="100"/>
      <c r="Y222" s="100"/>
      <c r="Z222" s="101" t="s">
        <v>3</v>
      </c>
      <c r="AA222" s="100" t="s">
        <v>58</v>
      </c>
      <c r="AB222" s="100"/>
      <c r="AC222" s="100"/>
      <c r="AD222" s="100"/>
      <c r="AE222" s="102">
        <v>16</v>
      </c>
      <c r="AF222" s="103">
        <v>63</v>
      </c>
      <c r="AG222" s="103">
        <v>41</v>
      </c>
      <c r="AH222" s="104">
        <v>52</v>
      </c>
      <c r="AI222" s="102">
        <v>3.4</v>
      </c>
      <c r="AJ222" s="105"/>
      <c r="AK222" s="105">
        <v>0</v>
      </c>
      <c r="AL222" s="106"/>
      <c r="AM222" s="106"/>
      <c r="AN222" s="107"/>
      <c r="AO222" s="106"/>
      <c r="AP222" s="106"/>
      <c r="AQ222" s="106"/>
      <c r="AR222" s="106"/>
      <c r="AS222" s="110"/>
      <c r="AT222" s="110"/>
      <c r="AU222" s="111"/>
      <c r="AV222" s="112" t="s">
        <v>54</v>
      </c>
      <c r="AW222" s="110"/>
      <c r="AX222" s="138">
        <v>222</v>
      </c>
    </row>
    <row r="223" spans="1:50" ht="21" x14ac:dyDescent="0.25">
      <c r="A223" s="138">
        <v>223</v>
      </c>
      <c r="B223" s="94"/>
      <c r="C223" s="95" t="s">
        <v>467</v>
      </c>
      <c r="D223" s="95" t="s">
        <v>47</v>
      </c>
      <c r="E223" s="95" t="s">
        <v>48</v>
      </c>
      <c r="F223" s="95" t="s">
        <v>55</v>
      </c>
      <c r="G223" s="97">
        <v>5</v>
      </c>
      <c r="H223" s="97">
        <v>6</v>
      </c>
      <c r="I223" s="97">
        <v>2025</v>
      </c>
      <c r="J223" s="97">
        <v>341</v>
      </c>
      <c r="K223" s="97" t="s">
        <v>49</v>
      </c>
      <c r="L223" s="98" t="s">
        <v>50</v>
      </c>
      <c r="M223" s="95">
        <v>1</v>
      </c>
      <c r="N223" s="97"/>
      <c r="O223" s="98"/>
      <c r="P223" s="99"/>
      <c r="Q223" s="99"/>
      <c r="R223" s="99"/>
      <c r="S223" s="98" t="s">
        <v>248</v>
      </c>
      <c r="T223" s="174">
        <v>551</v>
      </c>
      <c r="U223" s="94">
        <v>3024</v>
      </c>
      <c r="V223" s="100"/>
      <c r="W223" s="100"/>
      <c r="X223" s="100"/>
      <c r="Y223" s="100"/>
      <c r="Z223" s="101" t="s">
        <v>8</v>
      </c>
      <c r="AA223" s="100" t="s">
        <v>58</v>
      </c>
      <c r="AB223" s="100"/>
      <c r="AC223" s="100"/>
      <c r="AD223" s="100"/>
      <c r="AE223" s="102">
        <v>21</v>
      </c>
      <c r="AF223" s="103">
        <v>50</v>
      </c>
      <c r="AG223" s="103">
        <v>36</v>
      </c>
      <c r="AH223" s="104">
        <v>43</v>
      </c>
      <c r="AI223" s="102">
        <v>3.05</v>
      </c>
      <c r="AJ223" s="105"/>
      <c r="AK223" s="105">
        <v>0</v>
      </c>
      <c r="AL223" s="113">
        <v>24</v>
      </c>
      <c r="AM223" s="113">
        <f>COUNT(AI214:AI223)</f>
        <v>10</v>
      </c>
      <c r="AN223" s="114">
        <f>SUM(AI214:AI223)</f>
        <v>46.75</v>
      </c>
      <c r="AO223" s="108"/>
      <c r="AP223" s="108"/>
      <c r="AQ223" s="108"/>
      <c r="AR223" s="109"/>
      <c r="AS223" s="110"/>
      <c r="AT223" s="110"/>
      <c r="AU223" s="111"/>
      <c r="AV223" s="112" t="s">
        <v>54</v>
      </c>
      <c r="AW223" s="110"/>
      <c r="AX223" s="138">
        <v>223</v>
      </c>
    </row>
    <row r="224" spans="1:50" ht="21" x14ac:dyDescent="0.25">
      <c r="A224" s="138">
        <v>224</v>
      </c>
      <c r="B224" s="94">
        <v>25</v>
      </c>
      <c r="C224" s="95" t="s">
        <v>472</v>
      </c>
      <c r="D224" s="95" t="s">
        <v>47</v>
      </c>
      <c r="E224" s="95" t="s">
        <v>48</v>
      </c>
      <c r="F224" s="95" t="s">
        <v>473</v>
      </c>
      <c r="G224" s="97">
        <v>5</v>
      </c>
      <c r="H224" s="97">
        <v>6</v>
      </c>
      <c r="I224" s="97">
        <v>2025</v>
      </c>
      <c r="J224" s="97">
        <v>338</v>
      </c>
      <c r="K224" s="97" t="s">
        <v>463</v>
      </c>
      <c r="L224" s="98" t="s">
        <v>464</v>
      </c>
      <c r="M224" s="95">
        <v>1</v>
      </c>
      <c r="N224" s="97"/>
      <c r="O224" s="98"/>
      <c r="P224" s="99"/>
      <c r="Q224" s="99"/>
      <c r="R224" s="99"/>
      <c r="S224" s="116" t="s">
        <v>314</v>
      </c>
      <c r="T224" s="174">
        <v>552</v>
      </c>
      <c r="U224" s="175">
        <v>3402</v>
      </c>
      <c r="V224" s="100"/>
      <c r="W224" s="117"/>
      <c r="X224" s="117"/>
      <c r="Y224" s="117"/>
      <c r="Z224" s="106" t="s">
        <v>3</v>
      </c>
      <c r="AA224" s="117" t="s">
        <v>58</v>
      </c>
      <c r="AB224" s="117"/>
      <c r="AC224" s="117"/>
      <c r="AD224" s="117"/>
      <c r="AE224" s="118">
        <v>12</v>
      </c>
      <c r="AF224" s="112">
        <v>63</v>
      </c>
      <c r="AG224" s="112">
        <v>60</v>
      </c>
      <c r="AH224" s="113">
        <v>61</v>
      </c>
      <c r="AI224" s="119">
        <v>3.51</v>
      </c>
      <c r="AJ224" s="120"/>
      <c r="AK224" s="120">
        <v>0</v>
      </c>
      <c r="AL224" s="113"/>
      <c r="AM224" s="113"/>
      <c r="AN224" s="114"/>
      <c r="AO224" s="108"/>
      <c r="AP224" s="108"/>
      <c r="AQ224" s="108"/>
      <c r="AR224" s="109"/>
      <c r="AS224" s="110"/>
      <c r="AT224" s="110"/>
      <c r="AU224" s="110"/>
      <c r="AV224" s="112" t="s">
        <v>54</v>
      </c>
      <c r="AW224" s="110"/>
      <c r="AX224" s="138">
        <v>224</v>
      </c>
    </row>
    <row r="225" spans="1:50" ht="21" x14ac:dyDescent="0.25">
      <c r="A225" s="138">
        <v>225</v>
      </c>
      <c r="B225" s="94"/>
      <c r="C225" s="95" t="s">
        <v>472</v>
      </c>
      <c r="D225" s="95" t="s">
        <v>47</v>
      </c>
      <c r="E225" s="95" t="s">
        <v>48</v>
      </c>
      <c r="F225" s="95" t="s">
        <v>473</v>
      </c>
      <c r="G225" s="97">
        <v>5</v>
      </c>
      <c r="H225" s="97">
        <v>6</v>
      </c>
      <c r="I225" s="97">
        <v>2025</v>
      </c>
      <c r="J225" s="97">
        <v>338</v>
      </c>
      <c r="K225" s="97" t="s">
        <v>463</v>
      </c>
      <c r="L225" s="98" t="s">
        <v>464</v>
      </c>
      <c r="M225" s="95">
        <v>1</v>
      </c>
      <c r="N225" s="97"/>
      <c r="O225" s="98"/>
      <c r="P225" s="99"/>
      <c r="Q225" s="99"/>
      <c r="R225" s="99"/>
      <c r="S225" s="98" t="s">
        <v>398</v>
      </c>
      <c r="T225" s="174">
        <v>553</v>
      </c>
      <c r="U225" s="94">
        <v>3490</v>
      </c>
      <c r="V225" s="100"/>
      <c r="W225" s="100"/>
      <c r="X225" s="100"/>
      <c r="Y225" s="100"/>
      <c r="Z225" s="101" t="s">
        <v>0</v>
      </c>
      <c r="AA225" s="100" t="s">
        <v>58</v>
      </c>
      <c r="AB225" s="100"/>
      <c r="AC225" s="100"/>
      <c r="AD225" s="100"/>
      <c r="AE225" s="102">
        <v>20</v>
      </c>
      <c r="AF225" s="103">
        <v>51</v>
      </c>
      <c r="AG225" s="103">
        <v>37</v>
      </c>
      <c r="AH225" s="104">
        <v>44</v>
      </c>
      <c r="AI225" s="102">
        <v>3.04</v>
      </c>
      <c r="AJ225" s="105"/>
      <c r="AK225" s="105">
        <v>0</v>
      </c>
      <c r="AL225" s="113"/>
      <c r="AM225" s="106"/>
      <c r="AN225" s="114"/>
      <c r="AO225" s="108"/>
      <c r="AP225" s="108"/>
      <c r="AQ225" s="108"/>
      <c r="AR225" s="109"/>
      <c r="AS225" s="110"/>
      <c r="AT225" s="110"/>
      <c r="AU225" s="111"/>
      <c r="AV225" s="112" t="s">
        <v>54</v>
      </c>
      <c r="AW225" s="110"/>
      <c r="AX225" s="138">
        <v>225</v>
      </c>
    </row>
    <row r="226" spans="1:50" ht="21" x14ac:dyDescent="0.25">
      <c r="A226" s="138">
        <v>226</v>
      </c>
      <c r="B226" s="94"/>
      <c r="C226" s="95" t="s">
        <v>472</v>
      </c>
      <c r="D226" s="95" t="s">
        <v>47</v>
      </c>
      <c r="E226" s="95" t="s">
        <v>48</v>
      </c>
      <c r="F226" s="95" t="s">
        <v>473</v>
      </c>
      <c r="G226" s="97">
        <v>5</v>
      </c>
      <c r="H226" s="97">
        <v>6</v>
      </c>
      <c r="I226" s="97">
        <v>2025</v>
      </c>
      <c r="J226" s="97">
        <v>338</v>
      </c>
      <c r="K226" s="97" t="s">
        <v>463</v>
      </c>
      <c r="L226" s="98" t="s">
        <v>464</v>
      </c>
      <c r="M226" s="95">
        <v>1</v>
      </c>
      <c r="N226" s="97"/>
      <c r="O226" s="95"/>
      <c r="P226" s="99"/>
      <c r="Q226" s="99"/>
      <c r="R226" s="99"/>
      <c r="S226" s="95" t="s">
        <v>346</v>
      </c>
      <c r="T226" s="174">
        <v>554</v>
      </c>
      <c r="U226" s="175">
        <v>3437</v>
      </c>
      <c r="V226" s="100"/>
      <c r="W226" s="100"/>
      <c r="X226" s="100"/>
      <c r="Y226" s="100"/>
      <c r="Z226" s="122" t="s">
        <v>5</v>
      </c>
      <c r="AA226" s="100" t="s">
        <v>58</v>
      </c>
      <c r="AB226" s="123"/>
      <c r="AC226" s="123"/>
      <c r="AD226" s="123"/>
      <c r="AE226" s="114">
        <v>15</v>
      </c>
      <c r="AF226" s="120">
        <v>91</v>
      </c>
      <c r="AG226" s="120">
        <v>72</v>
      </c>
      <c r="AH226" s="108">
        <v>81</v>
      </c>
      <c r="AI226" s="114">
        <v>7.13</v>
      </c>
      <c r="AJ226" s="120">
        <v>20</v>
      </c>
      <c r="AK226" s="126">
        <v>7.8</v>
      </c>
      <c r="AL226" s="122"/>
      <c r="AM226" s="122"/>
      <c r="AN226" s="124"/>
      <c r="AO226" s="122"/>
      <c r="AP226" s="122"/>
      <c r="AQ226" s="122"/>
      <c r="AR226" s="122"/>
      <c r="AS226" s="125"/>
      <c r="AT226" s="125"/>
      <c r="AU226" s="125"/>
      <c r="AV226" s="120" t="s">
        <v>54</v>
      </c>
      <c r="AW226" s="125"/>
      <c r="AX226" s="138">
        <v>226</v>
      </c>
    </row>
    <row r="227" spans="1:50" ht="21" x14ac:dyDescent="0.25">
      <c r="A227" s="138">
        <v>227</v>
      </c>
      <c r="B227" s="94"/>
      <c r="C227" s="95" t="s">
        <v>472</v>
      </c>
      <c r="D227" s="95" t="s">
        <v>47</v>
      </c>
      <c r="E227" s="95" t="s">
        <v>48</v>
      </c>
      <c r="F227" s="95" t="s">
        <v>473</v>
      </c>
      <c r="G227" s="97">
        <v>5</v>
      </c>
      <c r="H227" s="97">
        <v>6</v>
      </c>
      <c r="I227" s="97">
        <v>2025</v>
      </c>
      <c r="J227" s="97">
        <v>338</v>
      </c>
      <c r="K227" s="97" t="s">
        <v>463</v>
      </c>
      <c r="L227" s="98" t="s">
        <v>464</v>
      </c>
      <c r="M227" s="95">
        <v>1</v>
      </c>
      <c r="N227" s="97"/>
      <c r="O227" s="98"/>
      <c r="P227" s="99"/>
      <c r="Q227" s="99"/>
      <c r="R227" s="99"/>
      <c r="S227" s="98" t="s">
        <v>322</v>
      </c>
      <c r="T227" s="174">
        <v>555</v>
      </c>
      <c r="U227" s="94">
        <v>3410</v>
      </c>
      <c r="V227" s="100"/>
      <c r="W227" s="100"/>
      <c r="X227" s="100"/>
      <c r="Y227" s="100"/>
      <c r="Z227" s="101" t="s">
        <v>0</v>
      </c>
      <c r="AA227" s="100" t="s">
        <v>58</v>
      </c>
      <c r="AB227" s="100"/>
      <c r="AC227" s="100"/>
      <c r="AD227" s="100"/>
      <c r="AE227" s="121">
        <v>15.8</v>
      </c>
      <c r="AF227" s="103">
        <v>98</v>
      </c>
      <c r="AG227" s="103">
        <v>70</v>
      </c>
      <c r="AH227" s="104">
        <v>84</v>
      </c>
      <c r="AI227" s="121">
        <v>8.76</v>
      </c>
      <c r="AJ227" s="105"/>
      <c r="AK227" s="103">
        <v>0</v>
      </c>
      <c r="AL227" s="113"/>
      <c r="AM227" s="106"/>
      <c r="AN227" s="114"/>
      <c r="AO227" s="108"/>
      <c r="AP227" s="108"/>
      <c r="AQ227" s="108"/>
      <c r="AR227" s="109"/>
      <c r="AS227" s="110"/>
      <c r="AT227" s="110"/>
      <c r="AU227" s="111"/>
      <c r="AV227" s="112" t="s">
        <v>54</v>
      </c>
      <c r="AW227" s="110"/>
      <c r="AX227" s="138">
        <v>227</v>
      </c>
    </row>
    <row r="228" spans="1:50" ht="21" x14ac:dyDescent="0.25">
      <c r="A228" s="138">
        <v>228</v>
      </c>
      <c r="B228" s="94"/>
      <c r="C228" s="95" t="s">
        <v>472</v>
      </c>
      <c r="D228" s="95" t="s">
        <v>47</v>
      </c>
      <c r="E228" s="95" t="s">
        <v>48</v>
      </c>
      <c r="F228" s="95" t="s">
        <v>473</v>
      </c>
      <c r="G228" s="97">
        <v>5</v>
      </c>
      <c r="H228" s="97">
        <v>6</v>
      </c>
      <c r="I228" s="97">
        <v>2025</v>
      </c>
      <c r="J228" s="97">
        <v>338</v>
      </c>
      <c r="K228" s="97" t="s">
        <v>463</v>
      </c>
      <c r="L228" s="98" t="s">
        <v>464</v>
      </c>
      <c r="M228" s="95">
        <v>1</v>
      </c>
      <c r="N228" s="97"/>
      <c r="O228" s="95"/>
      <c r="P228" s="99"/>
      <c r="Q228" s="99"/>
      <c r="R228" s="99"/>
      <c r="S228" s="95" t="s">
        <v>326</v>
      </c>
      <c r="T228" s="174">
        <v>556</v>
      </c>
      <c r="U228" s="94">
        <v>3414</v>
      </c>
      <c r="V228" s="100"/>
      <c r="W228" s="100"/>
      <c r="X228" s="100"/>
      <c r="Y228" s="100"/>
      <c r="Z228" s="122" t="s">
        <v>0</v>
      </c>
      <c r="AA228" s="100" t="s">
        <v>58</v>
      </c>
      <c r="AB228" s="100"/>
      <c r="AC228" s="100"/>
      <c r="AD228" s="100"/>
      <c r="AE228" s="102">
        <v>20.7</v>
      </c>
      <c r="AF228" s="105">
        <v>56</v>
      </c>
      <c r="AG228" s="105">
        <v>40</v>
      </c>
      <c r="AH228" s="127">
        <v>48</v>
      </c>
      <c r="AI228" s="102">
        <v>3.75</v>
      </c>
      <c r="AJ228" s="105"/>
      <c r="AK228" s="105">
        <v>0</v>
      </c>
      <c r="AL228" s="108"/>
      <c r="AM228" s="109"/>
      <c r="AN228" s="114"/>
      <c r="AO228" s="108"/>
      <c r="AP228" s="108"/>
      <c r="AQ228" s="108"/>
      <c r="AR228" s="109"/>
      <c r="AS228" s="128"/>
      <c r="AT228" s="128"/>
      <c r="AU228" s="125"/>
      <c r="AV228" s="120" t="s">
        <v>54</v>
      </c>
      <c r="AW228" s="128"/>
      <c r="AX228" s="138">
        <v>228</v>
      </c>
    </row>
    <row r="229" spans="1:50" ht="21" x14ac:dyDescent="0.25">
      <c r="A229" s="138">
        <v>229</v>
      </c>
      <c r="B229" s="94"/>
      <c r="C229" s="95" t="s">
        <v>472</v>
      </c>
      <c r="D229" s="95" t="s">
        <v>47</v>
      </c>
      <c r="E229" s="95" t="s">
        <v>48</v>
      </c>
      <c r="F229" s="95" t="s">
        <v>473</v>
      </c>
      <c r="G229" s="97">
        <v>5</v>
      </c>
      <c r="H229" s="97">
        <v>6</v>
      </c>
      <c r="I229" s="97">
        <v>2025</v>
      </c>
      <c r="J229" s="97">
        <v>338</v>
      </c>
      <c r="K229" s="97" t="s">
        <v>463</v>
      </c>
      <c r="L229" s="98" t="s">
        <v>464</v>
      </c>
      <c r="M229" s="95">
        <v>1</v>
      </c>
      <c r="N229" s="97"/>
      <c r="O229" s="98"/>
      <c r="P229" s="99"/>
      <c r="Q229" s="99"/>
      <c r="R229" s="99"/>
      <c r="S229" s="116" t="s">
        <v>307</v>
      </c>
      <c r="T229" s="174">
        <v>557</v>
      </c>
      <c r="U229" s="175">
        <v>3395</v>
      </c>
      <c r="V229" s="100"/>
      <c r="W229" s="117"/>
      <c r="X229" s="117"/>
      <c r="Y229" s="117"/>
      <c r="Z229" s="106" t="s">
        <v>0</v>
      </c>
      <c r="AA229" s="117" t="s">
        <v>58</v>
      </c>
      <c r="AB229" s="117"/>
      <c r="AC229" s="117"/>
      <c r="AD229" s="117"/>
      <c r="AE229" s="118">
        <v>14.5</v>
      </c>
      <c r="AF229" s="112">
        <v>83</v>
      </c>
      <c r="AG229" s="112">
        <v>71</v>
      </c>
      <c r="AH229" s="113">
        <v>77</v>
      </c>
      <c r="AI229" s="119">
        <v>6.75</v>
      </c>
      <c r="AJ229" s="120"/>
      <c r="AK229" s="120">
        <v>0</v>
      </c>
      <c r="AL229" s="113"/>
      <c r="AM229" s="113"/>
      <c r="AN229" s="115"/>
      <c r="AO229" s="113"/>
      <c r="AP229" s="113"/>
      <c r="AQ229" s="108"/>
      <c r="AR229" s="109"/>
      <c r="AS229" s="110"/>
      <c r="AT229" s="110"/>
      <c r="AU229" s="110"/>
      <c r="AV229" s="112" t="s">
        <v>54</v>
      </c>
      <c r="AW229" s="110"/>
      <c r="AX229" s="138">
        <v>229</v>
      </c>
    </row>
    <row r="230" spans="1:50" ht="21" x14ac:dyDescent="0.25">
      <c r="A230" s="138">
        <v>230</v>
      </c>
      <c r="B230" s="94"/>
      <c r="C230" s="95" t="s">
        <v>472</v>
      </c>
      <c r="D230" s="95" t="s">
        <v>47</v>
      </c>
      <c r="E230" s="95" t="s">
        <v>48</v>
      </c>
      <c r="F230" s="95" t="s">
        <v>473</v>
      </c>
      <c r="G230" s="97">
        <v>5</v>
      </c>
      <c r="H230" s="97">
        <v>6</v>
      </c>
      <c r="I230" s="97">
        <v>2025</v>
      </c>
      <c r="J230" s="97">
        <v>338</v>
      </c>
      <c r="K230" s="97" t="s">
        <v>463</v>
      </c>
      <c r="L230" s="98" t="s">
        <v>464</v>
      </c>
      <c r="M230" s="95">
        <v>1</v>
      </c>
      <c r="N230" s="97"/>
      <c r="O230" s="98"/>
      <c r="P230" s="99"/>
      <c r="Q230" s="99"/>
      <c r="R230" s="99"/>
      <c r="S230" s="98" t="s">
        <v>384</v>
      </c>
      <c r="T230" s="174">
        <v>558</v>
      </c>
      <c r="U230" s="94">
        <v>3475</v>
      </c>
      <c r="V230" s="100"/>
      <c r="W230" s="100"/>
      <c r="X230" s="100"/>
      <c r="Y230" s="100"/>
      <c r="Z230" s="101" t="s">
        <v>0</v>
      </c>
      <c r="AA230" s="100" t="s">
        <v>58</v>
      </c>
      <c r="AB230" s="100"/>
      <c r="AC230" s="100"/>
      <c r="AD230" s="100"/>
      <c r="AE230" s="102">
        <v>21.1</v>
      </c>
      <c r="AF230" s="103">
        <v>77</v>
      </c>
      <c r="AG230" s="103">
        <v>58</v>
      </c>
      <c r="AH230" s="104">
        <v>67</v>
      </c>
      <c r="AI230" s="102">
        <v>7.44</v>
      </c>
      <c r="AJ230" s="105"/>
      <c r="AK230" s="105">
        <v>0</v>
      </c>
      <c r="AL230" s="113"/>
      <c r="AM230" s="106"/>
      <c r="AN230" s="114"/>
      <c r="AO230" s="108"/>
      <c r="AP230" s="108"/>
      <c r="AQ230" s="108"/>
      <c r="AR230" s="109"/>
      <c r="AS230" s="110"/>
      <c r="AT230" s="110"/>
      <c r="AU230" s="111"/>
      <c r="AV230" s="112" t="s">
        <v>54</v>
      </c>
      <c r="AW230" s="110"/>
      <c r="AX230" s="138">
        <v>230</v>
      </c>
    </row>
    <row r="231" spans="1:50" ht="21" x14ac:dyDescent="0.25">
      <c r="A231" s="138">
        <v>231</v>
      </c>
      <c r="B231" s="94"/>
      <c r="C231" s="95" t="s">
        <v>472</v>
      </c>
      <c r="D231" s="95" t="s">
        <v>47</v>
      </c>
      <c r="E231" s="95" t="s">
        <v>48</v>
      </c>
      <c r="F231" s="95" t="s">
        <v>473</v>
      </c>
      <c r="G231" s="97">
        <v>5</v>
      </c>
      <c r="H231" s="97">
        <v>6</v>
      </c>
      <c r="I231" s="97">
        <v>2025</v>
      </c>
      <c r="J231" s="97">
        <v>338</v>
      </c>
      <c r="K231" s="97" t="s">
        <v>463</v>
      </c>
      <c r="L231" s="98" t="s">
        <v>464</v>
      </c>
      <c r="M231" s="95">
        <v>1</v>
      </c>
      <c r="N231" s="97"/>
      <c r="O231" s="98"/>
      <c r="P231" s="99"/>
      <c r="Q231" s="99"/>
      <c r="R231" s="99"/>
      <c r="S231" s="116" t="s">
        <v>299</v>
      </c>
      <c r="T231" s="174">
        <v>559</v>
      </c>
      <c r="U231" s="175">
        <v>3386</v>
      </c>
      <c r="V231" s="100"/>
      <c r="W231" s="117"/>
      <c r="X231" s="117"/>
      <c r="Y231" s="117"/>
      <c r="Z231" s="106" t="s">
        <v>4</v>
      </c>
      <c r="AA231" s="117" t="s">
        <v>58</v>
      </c>
      <c r="AB231" s="117"/>
      <c r="AC231" s="117"/>
      <c r="AD231" s="117"/>
      <c r="AE231" s="118">
        <v>14.1</v>
      </c>
      <c r="AF231" s="112">
        <v>52</v>
      </c>
      <c r="AG231" s="112">
        <v>49</v>
      </c>
      <c r="AH231" s="113">
        <v>50</v>
      </c>
      <c r="AI231" s="119">
        <v>2.77</v>
      </c>
      <c r="AJ231" s="120"/>
      <c r="AK231" s="120">
        <v>0</v>
      </c>
      <c r="AL231" s="113"/>
      <c r="AM231" s="113"/>
      <c r="AN231" s="115"/>
      <c r="AO231" s="113"/>
      <c r="AP231" s="113"/>
      <c r="AQ231" s="108"/>
      <c r="AR231" s="109"/>
      <c r="AS231" s="110"/>
      <c r="AT231" s="110"/>
      <c r="AU231" s="110"/>
      <c r="AV231" s="112" t="s">
        <v>54</v>
      </c>
      <c r="AW231" s="110"/>
      <c r="AX231" s="138">
        <v>231</v>
      </c>
    </row>
    <row r="232" spans="1:50" ht="21" x14ac:dyDescent="0.25">
      <c r="A232" s="138">
        <v>232</v>
      </c>
      <c r="B232" s="94"/>
      <c r="C232" s="95" t="s">
        <v>472</v>
      </c>
      <c r="D232" s="95" t="s">
        <v>47</v>
      </c>
      <c r="E232" s="95" t="s">
        <v>48</v>
      </c>
      <c r="F232" s="95" t="s">
        <v>473</v>
      </c>
      <c r="G232" s="97">
        <v>5</v>
      </c>
      <c r="H232" s="97">
        <v>6</v>
      </c>
      <c r="I232" s="97">
        <v>2025</v>
      </c>
      <c r="J232" s="97">
        <v>338</v>
      </c>
      <c r="K232" s="97" t="s">
        <v>463</v>
      </c>
      <c r="L232" s="98" t="s">
        <v>464</v>
      </c>
      <c r="M232" s="95">
        <v>1</v>
      </c>
      <c r="N232" s="97"/>
      <c r="O232" s="98"/>
      <c r="P232" s="99"/>
      <c r="Q232" s="99"/>
      <c r="R232" s="99"/>
      <c r="S232" s="116" t="s">
        <v>382</v>
      </c>
      <c r="T232" s="174">
        <v>560</v>
      </c>
      <c r="U232" s="175">
        <v>3473</v>
      </c>
      <c r="V232" s="100"/>
      <c r="W232" s="117"/>
      <c r="X232" s="117"/>
      <c r="Y232" s="117"/>
      <c r="Z232" s="106" t="s">
        <v>0</v>
      </c>
      <c r="AA232" s="117" t="s">
        <v>58</v>
      </c>
      <c r="AB232" s="117"/>
      <c r="AC232" s="117"/>
      <c r="AD232" s="117"/>
      <c r="AE232" s="119">
        <v>17.8</v>
      </c>
      <c r="AF232" s="112">
        <v>55</v>
      </c>
      <c r="AG232" s="112">
        <v>39</v>
      </c>
      <c r="AH232" s="113">
        <v>47</v>
      </c>
      <c r="AI232" s="118">
        <v>3.09</v>
      </c>
      <c r="AJ232" s="112"/>
      <c r="AK232" s="112">
        <v>0</v>
      </c>
      <c r="AL232" s="113">
        <v>25</v>
      </c>
      <c r="AM232" s="106">
        <f>COUNT(AI224:AI232)</f>
        <v>9</v>
      </c>
      <c r="AN232" s="131">
        <f>SUM(AI224:AI232)</f>
        <v>46.239999999999995</v>
      </c>
      <c r="AO232" s="108"/>
      <c r="AP232" s="108"/>
      <c r="AQ232" s="108"/>
      <c r="AR232" s="109"/>
      <c r="AS232" s="110"/>
      <c r="AT232" s="110"/>
      <c r="AU232" s="110"/>
      <c r="AV232" s="112" t="s">
        <v>54</v>
      </c>
      <c r="AW232" s="110"/>
      <c r="AX232" s="138">
        <v>232</v>
      </c>
    </row>
    <row r="233" spans="1:50" ht="21" x14ac:dyDescent="0.25">
      <c r="A233" s="138">
        <v>233</v>
      </c>
      <c r="B233" s="94">
        <v>26</v>
      </c>
      <c r="C233" s="95" t="s">
        <v>51</v>
      </c>
      <c r="D233" s="95" t="s">
        <v>47</v>
      </c>
      <c r="E233" s="95" t="s">
        <v>456</v>
      </c>
      <c r="F233" s="95" t="s">
        <v>473</v>
      </c>
      <c r="G233" s="97">
        <v>5</v>
      </c>
      <c r="H233" s="97">
        <v>6</v>
      </c>
      <c r="I233" s="97">
        <v>2025</v>
      </c>
      <c r="J233" s="97">
        <v>331</v>
      </c>
      <c r="K233" s="97" t="s">
        <v>470</v>
      </c>
      <c r="L233" s="98" t="s">
        <v>479</v>
      </c>
      <c r="M233" s="95">
        <v>1</v>
      </c>
      <c r="N233" s="97"/>
      <c r="O233" s="98"/>
      <c r="P233" s="99"/>
      <c r="Q233" s="99"/>
      <c r="R233" s="99"/>
      <c r="S233" s="98" t="s">
        <v>94</v>
      </c>
      <c r="T233" s="174">
        <v>561</v>
      </c>
      <c r="U233" s="94">
        <v>218</v>
      </c>
      <c r="V233" s="100"/>
      <c r="W233" s="100"/>
      <c r="X233" s="100"/>
      <c r="Y233" s="100"/>
      <c r="Z233" s="101" t="s">
        <v>3</v>
      </c>
      <c r="AA233" s="100" t="s">
        <v>58</v>
      </c>
      <c r="AB233" s="100"/>
      <c r="AC233" s="100"/>
      <c r="AD233" s="100"/>
      <c r="AE233" s="102">
        <v>21.4</v>
      </c>
      <c r="AF233" s="103">
        <v>59</v>
      </c>
      <c r="AG233" s="103">
        <v>44</v>
      </c>
      <c r="AH233" s="104">
        <v>51</v>
      </c>
      <c r="AI233" s="102">
        <v>4.37</v>
      </c>
      <c r="AJ233" s="105"/>
      <c r="AK233" s="105">
        <v>0</v>
      </c>
      <c r="AL233" s="113"/>
      <c r="AM233" s="113"/>
      <c r="AN233" s="114"/>
      <c r="AO233" s="108"/>
      <c r="AP233" s="108"/>
      <c r="AQ233" s="108"/>
      <c r="AR233" s="109"/>
      <c r="AS233" s="110"/>
      <c r="AT233" s="110"/>
      <c r="AU233" s="111"/>
      <c r="AV233" s="112" t="s">
        <v>54</v>
      </c>
      <c r="AW233" s="110"/>
      <c r="AX233" s="138">
        <v>233</v>
      </c>
    </row>
    <row r="234" spans="1:50" ht="21" x14ac:dyDescent="0.25">
      <c r="A234" s="138">
        <v>234</v>
      </c>
      <c r="B234" s="137"/>
      <c r="C234" s="95" t="s">
        <v>51</v>
      </c>
      <c r="D234" s="95" t="s">
        <v>47</v>
      </c>
      <c r="E234" s="95" t="s">
        <v>456</v>
      </c>
      <c r="F234" s="95" t="s">
        <v>473</v>
      </c>
      <c r="G234" s="97">
        <v>5</v>
      </c>
      <c r="H234" s="97">
        <v>6</v>
      </c>
      <c r="I234" s="97">
        <v>2025</v>
      </c>
      <c r="J234" s="97">
        <v>331</v>
      </c>
      <c r="K234" s="97" t="s">
        <v>470</v>
      </c>
      <c r="L234" s="98" t="s">
        <v>479</v>
      </c>
      <c r="M234" s="95">
        <v>1</v>
      </c>
      <c r="N234" s="97"/>
      <c r="O234" s="98"/>
      <c r="P234" s="99"/>
      <c r="Q234" s="99"/>
      <c r="R234" s="99"/>
      <c r="S234" s="98" t="s">
        <v>311</v>
      </c>
      <c r="T234" s="174">
        <v>562</v>
      </c>
      <c r="U234" s="94">
        <v>3399</v>
      </c>
      <c r="V234" s="100"/>
      <c r="W234" s="100"/>
      <c r="X234" s="100"/>
      <c r="Y234" s="100"/>
      <c r="Z234" s="101" t="s">
        <v>0</v>
      </c>
      <c r="AA234" s="100" t="s">
        <v>58</v>
      </c>
      <c r="AB234" s="100"/>
      <c r="AC234" s="100"/>
      <c r="AD234" s="100"/>
      <c r="AE234" s="102">
        <v>14.2</v>
      </c>
      <c r="AF234" s="103">
        <v>71</v>
      </c>
      <c r="AG234" s="103">
        <v>57</v>
      </c>
      <c r="AH234" s="104">
        <v>64</v>
      </c>
      <c r="AI234" s="102">
        <v>4.29</v>
      </c>
      <c r="AJ234" s="105">
        <v>14</v>
      </c>
      <c r="AK234" s="105">
        <v>6.1</v>
      </c>
      <c r="AL234" s="113"/>
      <c r="AM234" s="106"/>
      <c r="AN234" s="131"/>
      <c r="AO234" s="108"/>
      <c r="AP234" s="108"/>
      <c r="AQ234" s="108"/>
      <c r="AR234" s="109"/>
      <c r="AS234" s="110"/>
      <c r="AT234" s="110"/>
      <c r="AU234" s="111"/>
      <c r="AV234" s="112" t="s">
        <v>54</v>
      </c>
      <c r="AW234" s="110"/>
      <c r="AX234" s="138">
        <v>234</v>
      </c>
    </row>
    <row r="235" spans="1:50" ht="21" x14ac:dyDescent="0.25">
      <c r="A235" s="138">
        <v>235</v>
      </c>
      <c r="B235" s="94"/>
      <c r="C235" s="95" t="s">
        <v>51</v>
      </c>
      <c r="D235" s="95" t="s">
        <v>47</v>
      </c>
      <c r="E235" s="95" t="s">
        <v>456</v>
      </c>
      <c r="F235" s="95" t="s">
        <v>473</v>
      </c>
      <c r="G235" s="97">
        <v>5</v>
      </c>
      <c r="H235" s="97">
        <v>6</v>
      </c>
      <c r="I235" s="97">
        <v>2025</v>
      </c>
      <c r="J235" s="97">
        <v>331</v>
      </c>
      <c r="K235" s="97" t="s">
        <v>470</v>
      </c>
      <c r="L235" s="98" t="s">
        <v>479</v>
      </c>
      <c r="M235" s="95">
        <v>1</v>
      </c>
      <c r="N235" s="97"/>
      <c r="O235" s="98"/>
      <c r="P235" s="99"/>
      <c r="Q235" s="99"/>
      <c r="R235" s="99"/>
      <c r="S235" s="98" t="s">
        <v>331</v>
      </c>
      <c r="T235" s="174">
        <v>563</v>
      </c>
      <c r="U235" s="94">
        <v>3419</v>
      </c>
      <c r="V235" s="100"/>
      <c r="W235" s="100"/>
      <c r="X235" s="100"/>
      <c r="Y235" s="100"/>
      <c r="Z235" s="101" t="s">
        <v>2</v>
      </c>
      <c r="AA235" s="100" t="s">
        <v>58</v>
      </c>
      <c r="AB235" s="100"/>
      <c r="AC235" s="100"/>
      <c r="AD235" s="100"/>
      <c r="AE235" s="102">
        <v>20.7</v>
      </c>
      <c r="AF235" s="103">
        <v>96</v>
      </c>
      <c r="AG235" s="103">
        <v>71</v>
      </c>
      <c r="AH235" s="104">
        <v>83</v>
      </c>
      <c r="AI235" s="102">
        <v>11.2</v>
      </c>
      <c r="AJ235" s="105"/>
      <c r="AK235" s="105">
        <v>0</v>
      </c>
      <c r="AL235" s="113"/>
      <c r="AM235" s="106"/>
      <c r="AN235" s="131"/>
      <c r="AO235" s="108"/>
      <c r="AP235" s="108"/>
      <c r="AQ235" s="106"/>
      <c r="AR235" s="106"/>
      <c r="AS235" s="110"/>
      <c r="AT235" s="110"/>
      <c r="AU235" s="111"/>
      <c r="AV235" s="112" t="s">
        <v>54</v>
      </c>
      <c r="AW235" s="110"/>
      <c r="AX235" s="138">
        <v>235</v>
      </c>
    </row>
    <row r="236" spans="1:50" ht="21" x14ac:dyDescent="0.25">
      <c r="A236" s="138">
        <v>236</v>
      </c>
      <c r="B236" s="94"/>
      <c r="C236" s="95" t="s">
        <v>51</v>
      </c>
      <c r="D236" s="95" t="s">
        <v>47</v>
      </c>
      <c r="E236" s="95" t="s">
        <v>456</v>
      </c>
      <c r="F236" s="95" t="s">
        <v>473</v>
      </c>
      <c r="G236" s="97">
        <v>5</v>
      </c>
      <c r="H236" s="97">
        <v>6</v>
      </c>
      <c r="I236" s="97">
        <v>2025</v>
      </c>
      <c r="J236" s="97">
        <v>331</v>
      </c>
      <c r="K236" s="97" t="s">
        <v>470</v>
      </c>
      <c r="L236" s="98" t="s">
        <v>479</v>
      </c>
      <c r="M236" s="95">
        <v>1</v>
      </c>
      <c r="N236" s="97"/>
      <c r="O236" s="98"/>
      <c r="P236" s="99"/>
      <c r="Q236" s="99"/>
      <c r="R236" s="99"/>
      <c r="S236" s="98" t="s">
        <v>252</v>
      </c>
      <c r="T236" s="174">
        <v>564</v>
      </c>
      <c r="U236" s="94">
        <v>3028</v>
      </c>
      <c r="V236" s="100"/>
      <c r="W236" s="100"/>
      <c r="X236" s="100"/>
      <c r="Y236" s="100"/>
      <c r="Z236" s="101" t="s">
        <v>6</v>
      </c>
      <c r="AA236" s="100" t="s">
        <v>58</v>
      </c>
      <c r="AB236" s="100"/>
      <c r="AC236" s="100"/>
      <c r="AD236" s="100"/>
      <c r="AE236" s="102">
        <v>17.600000000000001</v>
      </c>
      <c r="AF236" s="103">
        <v>65</v>
      </c>
      <c r="AG236" s="103">
        <v>53</v>
      </c>
      <c r="AH236" s="104">
        <v>59</v>
      </c>
      <c r="AI236" s="102">
        <v>4.8099999999999996</v>
      </c>
      <c r="AJ236" s="105"/>
      <c r="AK236" s="105">
        <v>0</v>
      </c>
      <c r="AL236" s="106"/>
      <c r="AM236" s="106"/>
      <c r="AN236" s="107"/>
      <c r="AO236" s="106"/>
      <c r="AP236" s="106"/>
      <c r="AQ236" s="108"/>
      <c r="AR236" s="109"/>
      <c r="AS236" s="110"/>
      <c r="AT236" s="110"/>
      <c r="AU236" s="111"/>
      <c r="AV236" s="112" t="s">
        <v>54</v>
      </c>
      <c r="AW236" s="110"/>
      <c r="AX236" s="138">
        <v>236</v>
      </c>
    </row>
    <row r="237" spans="1:50" ht="21" x14ac:dyDescent="0.25">
      <c r="A237" s="138">
        <v>237</v>
      </c>
      <c r="B237" s="94"/>
      <c r="C237" s="95" t="s">
        <v>51</v>
      </c>
      <c r="D237" s="95" t="s">
        <v>47</v>
      </c>
      <c r="E237" s="95" t="s">
        <v>456</v>
      </c>
      <c r="F237" s="95" t="s">
        <v>473</v>
      </c>
      <c r="G237" s="97">
        <v>5</v>
      </c>
      <c r="H237" s="97">
        <v>6</v>
      </c>
      <c r="I237" s="97">
        <v>2025</v>
      </c>
      <c r="J237" s="97">
        <v>331</v>
      </c>
      <c r="K237" s="97" t="s">
        <v>470</v>
      </c>
      <c r="L237" s="98" t="s">
        <v>479</v>
      </c>
      <c r="M237" s="95">
        <v>1</v>
      </c>
      <c r="N237" s="97"/>
      <c r="O237" s="98"/>
      <c r="P237" s="99"/>
      <c r="Q237" s="99"/>
      <c r="R237" s="99"/>
      <c r="S237" s="98" t="s">
        <v>446</v>
      </c>
      <c r="T237" s="174">
        <v>565</v>
      </c>
      <c r="U237" s="94">
        <v>3742</v>
      </c>
      <c r="V237" s="100"/>
      <c r="W237" s="100"/>
      <c r="X237" s="100"/>
      <c r="Y237" s="100"/>
      <c r="Z237" s="101" t="s">
        <v>0</v>
      </c>
      <c r="AA237" s="100" t="s">
        <v>58</v>
      </c>
      <c r="AB237" s="100"/>
      <c r="AC237" s="100"/>
      <c r="AD237" s="100"/>
      <c r="AE237" s="121">
        <v>19.3</v>
      </c>
      <c r="AF237" s="103">
        <v>71</v>
      </c>
      <c r="AG237" s="103">
        <v>52</v>
      </c>
      <c r="AH237" s="104">
        <v>61</v>
      </c>
      <c r="AI237" s="102">
        <v>5.64</v>
      </c>
      <c r="AJ237" s="105"/>
      <c r="AK237" s="105">
        <v>0</v>
      </c>
      <c r="AL237" s="113"/>
      <c r="AM237" s="106"/>
      <c r="AN237" s="114"/>
      <c r="AO237" s="108"/>
      <c r="AP237" s="108"/>
      <c r="AQ237" s="108"/>
      <c r="AR237" s="109"/>
      <c r="AS237" s="110"/>
      <c r="AT237" s="110"/>
      <c r="AU237" s="111"/>
      <c r="AV237" s="112" t="s">
        <v>54</v>
      </c>
      <c r="AW237" s="110"/>
      <c r="AX237" s="138">
        <v>237</v>
      </c>
    </row>
    <row r="238" spans="1:50" ht="21" x14ac:dyDescent="0.25">
      <c r="A238" s="138">
        <v>238</v>
      </c>
      <c r="B238" s="94"/>
      <c r="C238" s="95" t="s">
        <v>51</v>
      </c>
      <c r="D238" s="95" t="s">
        <v>47</v>
      </c>
      <c r="E238" s="95" t="s">
        <v>456</v>
      </c>
      <c r="F238" s="95" t="s">
        <v>473</v>
      </c>
      <c r="G238" s="97">
        <v>5</v>
      </c>
      <c r="H238" s="97">
        <v>6</v>
      </c>
      <c r="I238" s="97">
        <v>2025</v>
      </c>
      <c r="J238" s="97">
        <v>331</v>
      </c>
      <c r="K238" s="97" t="s">
        <v>470</v>
      </c>
      <c r="L238" s="98" t="s">
        <v>479</v>
      </c>
      <c r="M238" s="95">
        <v>1</v>
      </c>
      <c r="N238" s="97"/>
      <c r="O238" s="98"/>
      <c r="P238" s="99"/>
      <c r="Q238" s="99"/>
      <c r="R238" s="99"/>
      <c r="S238" s="98" t="s">
        <v>332</v>
      </c>
      <c r="T238" s="174">
        <v>566</v>
      </c>
      <c r="U238" s="94">
        <v>3420</v>
      </c>
      <c r="V238" s="100"/>
      <c r="W238" s="100"/>
      <c r="X238" s="100"/>
      <c r="Y238" s="100"/>
      <c r="Z238" s="101" t="s">
        <v>0</v>
      </c>
      <c r="AA238" s="100" t="s">
        <v>58</v>
      </c>
      <c r="AB238" s="100"/>
      <c r="AC238" s="100"/>
      <c r="AD238" s="100"/>
      <c r="AE238" s="121">
        <v>21</v>
      </c>
      <c r="AF238" s="103">
        <v>60</v>
      </c>
      <c r="AG238" s="103">
        <v>38</v>
      </c>
      <c r="AH238" s="104">
        <v>49</v>
      </c>
      <c r="AI238" s="121">
        <v>3.96</v>
      </c>
      <c r="AJ238" s="120"/>
      <c r="AK238" s="103">
        <v>0</v>
      </c>
      <c r="AL238" s="113"/>
      <c r="AM238" s="106"/>
      <c r="AN238" s="114"/>
      <c r="AO238" s="108"/>
      <c r="AP238" s="108"/>
      <c r="AQ238" s="108"/>
      <c r="AR238" s="109"/>
      <c r="AS238" s="110"/>
      <c r="AT238" s="110"/>
      <c r="AU238" s="111"/>
      <c r="AV238" s="112" t="s">
        <v>54</v>
      </c>
      <c r="AW238" s="110"/>
      <c r="AX238" s="138">
        <v>238</v>
      </c>
    </row>
    <row r="239" spans="1:50" ht="21" x14ac:dyDescent="0.25">
      <c r="A239" s="138">
        <v>239</v>
      </c>
      <c r="B239" s="94"/>
      <c r="C239" s="95" t="s">
        <v>51</v>
      </c>
      <c r="D239" s="95" t="s">
        <v>47</v>
      </c>
      <c r="E239" s="95" t="s">
        <v>456</v>
      </c>
      <c r="F239" s="95" t="s">
        <v>473</v>
      </c>
      <c r="G239" s="97">
        <v>5</v>
      </c>
      <c r="H239" s="97">
        <v>6</v>
      </c>
      <c r="I239" s="97">
        <v>2025</v>
      </c>
      <c r="J239" s="97">
        <v>331</v>
      </c>
      <c r="K239" s="97" t="s">
        <v>470</v>
      </c>
      <c r="L239" s="98" t="s">
        <v>479</v>
      </c>
      <c r="M239" s="95">
        <v>1</v>
      </c>
      <c r="N239" s="97"/>
      <c r="O239" s="98"/>
      <c r="P239" s="99"/>
      <c r="Q239" s="99"/>
      <c r="R239" s="99"/>
      <c r="S239" s="98" t="s">
        <v>442</v>
      </c>
      <c r="T239" s="174">
        <v>567</v>
      </c>
      <c r="U239" s="94">
        <v>3738</v>
      </c>
      <c r="V239" s="100"/>
      <c r="W239" s="100"/>
      <c r="X239" s="100"/>
      <c r="Y239" s="100"/>
      <c r="Z239" s="101" t="s">
        <v>3</v>
      </c>
      <c r="AA239" s="100" t="s">
        <v>58</v>
      </c>
      <c r="AB239" s="100"/>
      <c r="AC239" s="100"/>
      <c r="AD239" s="100"/>
      <c r="AE239" s="121">
        <v>20.2</v>
      </c>
      <c r="AF239" s="103">
        <v>70</v>
      </c>
      <c r="AG239" s="103">
        <v>42</v>
      </c>
      <c r="AH239" s="104">
        <v>56</v>
      </c>
      <c r="AI239" s="102">
        <v>4.9800000000000004</v>
      </c>
      <c r="AJ239" s="105"/>
      <c r="AK239" s="105">
        <v>0</v>
      </c>
      <c r="AL239" s="113"/>
      <c r="AM239" s="106"/>
      <c r="AN239" s="114"/>
      <c r="AO239" s="108"/>
      <c r="AP239" s="108"/>
      <c r="AQ239" s="108"/>
      <c r="AR239" s="109"/>
      <c r="AS239" s="110"/>
      <c r="AT239" s="110"/>
      <c r="AU239" s="111"/>
      <c r="AV239" s="112" t="s">
        <v>54</v>
      </c>
      <c r="AW239" s="110"/>
      <c r="AX239" s="138">
        <v>239</v>
      </c>
    </row>
    <row r="240" spans="1:50" ht="21" x14ac:dyDescent="0.25">
      <c r="A240" s="138">
        <v>240</v>
      </c>
      <c r="B240" s="94"/>
      <c r="C240" s="95" t="s">
        <v>51</v>
      </c>
      <c r="D240" s="95" t="s">
        <v>47</v>
      </c>
      <c r="E240" s="95" t="s">
        <v>456</v>
      </c>
      <c r="F240" s="95" t="s">
        <v>473</v>
      </c>
      <c r="G240" s="97">
        <v>5</v>
      </c>
      <c r="H240" s="97">
        <v>6</v>
      </c>
      <c r="I240" s="97">
        <v>2025</v>
      </c>
      <c r="J240" s="97">
        <v>331</v>
      </c>
      <c r="K240" s="97" t="s">
        <v>470</v>
      </c>
      <c r="L240" s="98" t="s">
        <v>479</v>
      </c>
      <c r="M240" s="95">
        <v>1</v>
      </c>
      <c r="N240" s="97"/>
      <c r="O240" s="98"/>
      <c r="P240" s="99"/>
      <c r="Q240" s="99"/>
      <c r="R240" s="99"/>
      <c r="S240" s="116" t="s">
        <v>97</v>
      </c>
      <c r="T240" s="174">
        <v>568</v>
      </c>
      <c r="U240" s="175">
        <v>221</v>
      </c>
      <c r="V240" s="100"/>
      <c r="W240" s="117"/>
      <c r="X240" s="117"/>
      <c r="Y240" s="117"/>
      <c r="Z240" s="106" t="s">
        <v>0</v>
      </c>
      <c r="AA240" s="117" t="s">
        <v>58</v>
      </c>
      <c r="AB240" s="117"/>
      <c r="AC240" s="117"/>
      <c r="AD240" s="117"/>
      <c r="AE240" s="119">
        <v>21</v>
      </c>
      <c r="AF240" s="112">
        <v>55</v>
      </c>
      <c r="AG240" s="112">
        <v>40</v>
      </c>
      <c r="AH240" s="113">
        <v>47</v>
      </c>
      <c r="AI240" s="118">
        <v>3.64</v>
      </c>
      <c r="AJ240" s="112"/>
      <c r="AK240" s="112">
        <v>0</v>
      </c>
      <c r="AL240" s="113"/>
      <c r="AM240" s="113"/>
      <c r="AN240" s="114"/>
      <c r="AO240" s="108"/>
      <c r="AP240" s="108"/>
      <c r="AQ240" s="108"/>
      <c r="AR240" s="109"/>
      <c r="AS240" s="110"/>
      <c r="AT240" s="110"/>
      <c r="AU240" s="110"/>
      <c r="AV240" s="112" t="s">
        <v>54</v>
      </c>
      <c r="AW240" s="110"/>
      <c r="AX240" s="138">
        <v>240</v>
      </c>
    </row>
    <row r="241" spans="1:50" ht="21" x14ac:dyDescent="0.25">
      <c r="A241" s="138">
        <v>241</v>
      </c>
      <c r="B241" s="94"/>
      <c r="C241" s="95" t="s">
        <v>51</v>
      </c>
      <c r="D241" s="95" t="s">
        <v>47</v>
      </c>
      <c r="E241" s="95" t="s">
        <v>456</v>
      </c>
      <c r="F241" s="95" t="s">
        <v>473</v>
      </c>
      <c r="G241" s="97">
        <v>5</v>
      </c>
      <c r="H241" s="97">
        <v>6</v>
      </c>
      <c r="I241" s="97">
        <v>2025</v>
      </c>
      <c r="J241" s="97">
        <v>331</v>
      </c>
      <c r="K241" s="97" t="s">
        <v>470</v>
      </c>
      <c r="L241" s="98" t="s">
        <v>479</v>
      </c>
      <c r="M241" s="95">
        <v>1</v>
      </c>
      <c r="N241" s="97"/>
      <c r="O241" s="98"/>
      <c r="P241" s="99"/>
      <c r="Q241" s="99"/>
      <c r="R241" s="99"/>
      <c r="S241" s="98" t="s">
        <v>448</v>
      </c>
      <c r="T241" s="174">
        <v>569</v>
      </c>
      <c r="U241" s="94">
        <v>3744</v>
      </c>
      <c r="V241" s="100"/>
      <c r="W241" s="100"/>
      <c r="X241" s="100"/>
      <c r="Y241" s="100"/>
      <c r="Z241" s="101" t="s">
        <v>6</v>
      </c>
      <c r="AA241" s="100" t="s">
        <v>58</v>
      </c>
      <c r="AB241" s="100"/>
      <c r="AC241" s="100"/>
      <c r="AD241" s="100"/>
      <c r="AE241" s="121">
        <v>20.7</v>
      </c>
      <c r="AF241" s="103">
        <v>58</v>
      </c>
      <c r="AG241" s="103">
        <v>48</v>
      </c>
      <c r="AH241" s="104">
        <v>53</v>
      </c>
      <c r="AI241" s="121">
        <v>4.57</v>
      </c>
      <c r="AJ241" s="103"/>
      <c r="AK241" s="103">
        <v>0</v>
      </c>
      <c r="AL241" s="113"/>
      <c r="AM241" s="106"/>
      <c r="AN241" s="114"/>
      <c r="AO241" s="108"/>
      <c r="AP241" s="108"/>
      <c r="AQ241" s="108"/>
      <c r="AR241" s="109"/>
      <c r="AS241" s="110"/>
      <c r="AT241" s="110"/>
      <c r="AU241" s="111"/>
      <c r="AV241" s="112" t="s">
        <v>54</v>
      </c>
      <c r="AW241" s="110"/>
      <c r="AX241" s="138">
        <v>241</v>
      </c>
    </row>
    <row r="242" spans="1:50" ht="21" x14ac:dyDescent="0.25">
      <c r="A242" s="138">
        <v>242</v>
      </c>
      <c r="B242" s="94"/>
      <c r="C242" s="95" t="s">
        <v>51</v>
      </c>
      <c r="D242" s="95" t="s">
        <v>47</v>
      </c>
      <c r="E242" s="95" t="s">
        <v>456</v>
      </c>
      <c r="F242" s="95" t="s">
        <v>473</v>
      </c>
      <c r="G242" s="97">
        <v>5</v>
      </c>
      <c r="H242" s="97">
        <v>6</v>
      </c>
      <c r="I242" s="97">
        <v>2025</v>
      </c>
      <c r="J242" s="97">
        <v>331</v>
      </c>
      <c r="K242" s="97" t="s">
        <v>470</v>
      </c>
      <c r="L242" s="98" t="s">
        <v>479</v>
      </c>
      <c r="M242" s="95">
        <v>1</v>
      </c>
      <c r="N242" s="97"/>
      <c r="O242" s="98"/>
      <c r="P242" s="99"/>
      <c r="Q242" s="99"/>
      <c r="R242" s="99"/>
      <c r="S242" s="116" t="s">
        <v>167</v>
      </c>
      <c r="T242" s="174">
        <v>570</v>
      </c>
      <c r="U242" s="175">
        <v>2806</v>
      </c>
      <c r="V242" s="100"/>
      <c r="W242" s="117"/>
      <c r="X242" s="117"/>
      <c r="Y242" s="117"/>
      <c r="Z242" s="106" t="s">
        <v>0</v>
      </c>
      <c r="AA242" s="117" t="s">
        <v>58</v>
      </c>
      <c r="AB242" s="117"/>
      <c r="AC242" s="117"/>
      <c r="AD242" s="117"/>
      <c r="AE242" s="118">
        <v>17.600000000000001</v>
      </c>
      <c r="AF242" s="112">
        <v>63</v>
      </c>
      <c r="AG242" s="112">
        <v>46</v>
      </c>
      <c r="AH242" s="113">
        <v>54</v>
      </c>
      <c r="AI242" s="119">
        <v>3.73</v>
      </c>
      <c r="AJ242" s="120">
        <v>24</v>
      </c>
      <c r="AK242" s="120">
        <v>24.2</v>
      </c>
      <c r="AL242" s="113">
        <v>26</v>
      </c>
      <c r="AM242" s="113">
        <f>COUNT(AI233:AI242)</f>
        <v>10</v>
      </c>
      <c r="AN242" s="115">
        <f>SUM(AI233:AI242)</f>
        <v>51.19</v>
      </c>
      <c r="AO242" s="113"/>
      <c r="AP242" s="113"/>
      <c r="AQ242" s="113"/>
      <c r="AR242" s="106"/>
      <c r="AS242" s="110"/>
      <c r="AT242" s="110"/>
      <c r="AU242" s="110"/>
      <c r="AV242" s="112" t="s">
        <v>54</v>
      </c>
      <c r="AW242" s="110"/>
      <c r="AX242" s="138">
        <v>242</v>
      </c>
    </row>
    <row r="243" spans="1:50" ht="21" x14ac:dyDescent="0.25">
      <c r="A243" s="138">
        <v>243</v>
      </c>
      <c r="B243" s="94">
        <v>27</v>
      </c>
      <c r="C243" s="95" t="s">
        <v>51</v>
      </c>
      <c r="D243" s="95" t="s">
        <v>47</v>
      </c>
      <c r="E243" s="95" t="s">
        <v>456</v>
      </c>
      <c r="F243" s="95" t="s">
        <v>473</v>
      </c>
      <c r="G243" s="97">
        <v>5</v>
      </c>
      <c r="H243" s="97">
        <v>6</v>
      </c>
      <c r="I243" s="97">
        <v>2025</v>
      </c>
      <c r="J243" s="97">
        <v>345</v>
      </c>
      <c r="K243" s="97" t="s">
        <v>56</v>
      </c>
      <c r="L243" s="98" t="s">
        <v>57</v>
      </c>
      <c r="M243" s="95">
        <v>2</v>
      </c>
      <c r="N243" s="97"/>
      <c r="O243" s="98"/>
      <c r="P243" s="99"/>
      <c r="Q243" s="99"/>
      <c r="R243" s="99"/>
      <c r="S243" s="98" t="s">
        <v>413</v>
      </c>
      <c r="T243" s="174">
        <v>571</v>
      </c>
      <c r="U243" s="94">
        <v>3506</v>
      </c>
      <c r="V243" s="100"/>
      <c r="W243" s="100"/>
      <c r="X243" s="100"/>
      <c r="Y243" s="100"/>
      <c r="Z243" s="101" t="s">
        <v>0</v>
      </c>
      <c r="AA243" s="100" t="s">
        <v>58</v>
      </c>
      <c r="AB243" s="100"/>
      <c r="AC243" s="100"/>
      <c r="AD243" s="100"/>
      <c r="AE243" s="102">
        <v>20.3</v>
      </c>
      <c r="AF243" s="103">
        <v>48</v>
      </c>
      <c r="AG243" s="103">
        <v>33</v>
      </c>
      <c r="AH243" s="104">
        <v>40</v>
      </c>
      <c r="AI243" s="102">
        <v>2.5499999999999998</v>
      </c>
      <c r="AJ243" s="105"/>
      <c r="AK243" s="105">
        <v>0</v>
      </c>
      <c r="AL243" s="113"/>
      <c r="AM243" s="106"/>
      <c r="AN243" s="114"/>
      <c r="AO243" s="108"/>
      <c r="AP243" s="108"/>
      <c r="AQ243" s="108"/>
      <c r="AR243" s="109"/>
      <c r="AS243" s="110"/>
      <c r="AT243" s="110"/>
      <c r="AU243" s="111"/>
      <c r="AV243" s="112" t="s">
        <v>54</v>
      </c>
      <c r="AW243" s="110"/>
      <c r="AX243" s="138">
        <v>243</v>
      </c>
    </row>
    <row r="244" spans="1:50" ht="21" x14ac:dyDescent="0.25">
      <c r="A244" s="138">
        <v>244</v>
      </c>
      <c r="B244" s="94"/>
      <c r="C244" s="95" t="s">
        <v>51</v>
      </c>
      <c r="D244" s="95" t="s">
        <v>47</v>
      </c>
      <c r="E244" s="95" t="s">
        <v>456</v>
      </c>
      <c r="F244" s="95" t="s">
        <v>473</v>
      </c>
      <c r="G244" s="97">
        <v>5</v>
      </c>
      <c r="H244" s="97">
        <v>6</v>
      </c>
      <c r="I244" s="97">
        <v>2025</v>
      </c>
      <c r="J244" s="97">
        <v>345</v>
      </c>
      <c r="K244" s="97" t="s">
        <v>56</v>
      </c>
      <c r="L244" s="98" t="s">
        <v>57</v>
      </c>
      <c r="M244" s="95">
        <v>2</v>
      </c>
      <c r="N244" s="97"/>
      <c r="O244" s="98"/>
      <c r="P244" s="99"/>
      <c r="Q244" s="99"/>
      <c r="R244" s="99"/>
      <c r="S244" s="116" t="s">
        <v>84</v>
      </c>
      <c r="T244" s="174">
        <v>572</v>
      </c>
      <c r="U244" s="175">
        <v>208</v>
      </c>
      <c r="V244" s="100"/>
      <c r="W244" s="117"/>
      <c r="X244" s="117"/>
      <c r="Y244" s="117"/>
      <c r="Z244" s="106" t="s">
        <v>0</v>
      </c>
      <c r="AA244" s="117" t="s">
        <v>58</v>
      </c>
      <c r="AB244" s="117"/>
      <c r="AC244" s="117"/>
      <c r="AD244" s="117"/>
      <c r="AE244" s="118">
        <v>13.7</v>
      </c>
      <c r="AF244" s="112">
        <v>63</v>
      </c>
      <c r="AG244" s="112">
        <v>50</v>
      </c>
      <c r="AH244" s="113">
        <v>56</v>
      </c>
      <c r="AI244" s="119">
        <v>3.37</v>
      </c>
      <c r="AJ244" s="120"/>
      <c r="AK244" s="120">
        <v>0</v>
      </c>
      <c r="AL244" s="106"/>
      <c r="AM244" s="106"/>
      <c r="AN244" s="107"/>
      <c r="AO244" s="106"/>
      <c r="AP244" s="106"/>
      <c r="AQ244" s="108"/>
      <c r="AR244" s="109"/>
      <c r="AS244" s="110"/>
      <c r="AT244" s="110"/>
      <c r="AU244" s="110"/>
      <c r="AV244" s="112" t="s">
        <v>54</v>
      </c>
      <c r="AW244" s="110"/>
      <c r="AX244" s="138">
        <v>244</v>
      </c>
    </row>
    <row r="245" spans="1:50" ht="21" x14ac:dyDescent="0.25">
      <c r="A245" s="138">
        <v>245</v>
      </c>
      <c r="B245" s="94"/>
      <c r="C245" s="95" t="s">
        <v>51</v>
      </c>
      <c r="D245" s="95" t="s">
        <v>47</v>
      </c>
      <c r="E245" s="95" t="s">
        <v>456</v>
      </c>
      <c r="F245" s="95" t="s">
        <v>473</v>
      </c>
      <c r="G245" s="97">
        <v>5</v>
      </c>
      <c r="H245" s="97">
        <v>6</v>
      </c>
      <c r="I245" s="97">
        <v>2025</v>
      </c>
      <c r="J245" s="97">
        <v>345</v>
      </c>
      <c r="K245" s="97" t="s">
        <v>56</v>
      </c>
      <c r="L245" s="98" t="s">
        <v>57</v>
      </c>
      <c r="M245" s="95">
        <v>2</v>
      </c>
      <c r="N245" s="97"/>
      <c r="O245" s="98"/>
      <c r="P245" s="99"/>
      <c r="Q245" s="99"/>
      <c r="R245" s="99"/>
      <c r="S245" s="98" t="s">
        <v>383</v>
      </c>
      <c r="T245" s="174">
        <v>573</v>
      </c>
      <c r="U245" s="94">
        <v>3474</v>
      </c>
      <c r="V245" s="100"/>
      <c r="W245" s="100"/>
      <c r="X245" s="100"/>
      <c r="Y245" s="100"/>
      <c r="Z245" s="101" t="s">
        <v>0</v>
      </c>
      <c r="AA245" s="100" t="s">
        <v>58</v>
      </c>
      <c r="AB245" s="100"/>
      <c r="AC245" s="100"/>
      <c r="AD245" s="100"/>
      <c r="AE245" s="102">
        <v>19.100000000000001</v>
      </c>
      <c r="AF245" s="103">
        <v>84</v>
      </c>
      <c r="AG245" s="103">
        <v>69</v>
      </c>
      <c r="AH245" s="104">
        <v>76</v>
      </c>
      <c r="AI245" s="102">
        <v>8.0500000000000007</v>
      </c>
      <c r="AJ245" s="105">
        <v>18</v>
      </c>
      <c r="AK245" s="105">
        <v>7.1</v>
      </c>
      <c r="AL245" s="113"/>
      <c r="AM245" s="106"/>
      <c r="AN245" s="114"/>
      <c r="AO245" s="108"/>
      <c r="AP245" s="108"/>
      <c r="AQ245" s="108"/>
      <c r="AR245" s="109"/>
      <c r="AS245" s="110"/>
      <c r="AT245" s="110"/>
      <c r="AU245" s="111"/>
      <c r="AV245" s="112" t="s">
        <v>54</v>
      </c>
      <c r="AW245" s="110"/>
      <c r="AX245" s="138">
        <v>245</v>
      </c>
    </row>
    <row r="246" spans="1:50" ht="21" x14ac:dyDescent="0.25">
      <c r="A246" s="138">
        <v>246</v>
      </c>
      <c r="B246" s="94"/>
      <c r="C246" s="95" t="s">
        <v>51</v>
      </c>
      <c r="D246" s="95" t="s">
        <v>47</v>
      </c>
      <c r="E246" s="95" t="s">
        <v>456</v>
      </c>
      <c r="F246" s="95" t="s">
        <v>473</v>
      </c>
      <c r="G246" s="97">
        <v>5</v>
      </c>
      <c r="H246" s="97">
        <v>6</v>
      </c>
      <c r="I246" s="97">
        <v>2025</v>
      </c>
      <c r="J246" s="97">
        <v>345</v>
      </c>
      <c r="K246" s="97" t="s">
        <v>56</v>
      </c>
      <c r="L246" s="98" t="s">
        <v>57</v>
      </c>
      <c r="M246" s="95">
        <v>2</v>
      </c>
      <c r="N246" s="100"/>
      <c r="O246" s="133"/>
      <c r="P246" s="134"/>
      <c r="Q246" s="134"/>
      <c r="R246" s="134"/>
      <c r="S246" s="133" t="s">
        <v>329</v>
      </c>
      <c r="T246" s="174">
        <v>574</v>
      </c>
      <c r="U246" s="94">
        <v>3417</v>
      </c>
      <c r="V246" s="100"/>
      <c r="W246" s="100"/>
      <c r="X246" s="100"/>
      <c r="Y246" s="100"/>
      <c r="Z246" s="122" t="s">
        <v>0</v>
      </c>
      <c r="AA246" s="100" t="s">
        <v>58</v>
      </c>
      <c r="AB246" s="100"/>
      <c r="AC246" s="100"/>
      <c r="AD246" s="100"/>
      <c r="AE246" s="102">
        <v>16</v>
      </c>
      <c r="AF246" s="127">
        <v>67</v>
      </c>
      <c r="AG246" s="127">
        <v>63</v>
      </c>
      <c r="AH246" s="127">
        <v>65</v>
      </c>
      <c r="AI246" s="102">
        <v>5.31</v>
      </c>
      <c r="AJ246" s="127"/>
      <c r="AK246" s="127">
        <v>0</v>
      </c>
      <c r="AL246" s="108"/>
      <c r="AM246" s="108"/>
      <c r="AN246" s="114"/>
      <c r="AO246" s="108"/>
      <c r="AP246" s="108"/>
      <c r="AQ246" s="108"/>
      <c r="AR246" s="109"/>
      <c r="AS246" s="109"/>
      <c r="AT246" s="109"/>
      <c r="AU246" s="122"/>
      <c r="AV246" s="120" t="s">
        <v>54</v>
      </c>
      <c r="AW246" s="109"/>
      <c r="AX246" s="138">
        <v>246</v>
      </c>
    </row>
    <row r="247" spans="1:50" ht="21" x14ac:dyDescent="0.25">
      <c r="A247" s="138">
        <v>247</v>
      </c>
      <c r="B247" s="94"/>
      <c r="C247" s="95" t="s">
        <v>51</v>
      </c>
      <c r="D247" s="95" t="s">
        <v>47</v>
      </c>
      <c r="E247" s="95" t="s">
        <v>456</v>
      </c>
      <c r="F247" s="95" t="s">
        <v>473</v>
      </c>
      <c r="G247" s="97">
        <v>5</v>
      </c>
      <c r="H247" s="97">
        <v>6</v>
      </c>
      <c r="I247" s="97">
        <v>2025</v>
      </c>
      <c r="J247" s="97">
        <v>345</v>
      </c>
      <c r="K247" s="97" t="s">
        <v>56</v>
      </c>
      <c r="L247" s="98" t="s">
        <v>57</v>
      </c>
      <c r="M247" s="95">
        <v>2</v>
      </c>
      <c r="N247" s="97"/>
      <c r="O247" s="98"/>
      <c r="P247" s="99"/>
      <c r="Q247" s="99"/>
      <c r="R247" s="99"/>
      <c r="S247" s="98" t="s">
        <v>278</v>
      </c>
      <c r="T247" s="174">
        <v>575</v>
      </c>
      <c r="U247" s="94">
        <v>3198</v>
      </c>
      <c r="V247" s="100"/>
      <c r="W247" s="100"/>
      <c r="X247" s="100"/>
      <c r="Y247" s="100"/>
      <c r="Z247" s="101" t="s">
        <v>3</v>
      </c>
      <c r="AA247" s="100" t="s">
        <v>58</v>
      </c>
      <c r="AB247" s="100"/>
      <c r="AC247" s="100"/>
      <c r="AD247" s="100"/>
      <c r="AE247" s="102">
        <v>18.8</v>
      </c>
      <c r="AF247" s="103">
        <v>56</v>
      </c>
      <c r="AG247" s="103">
        <v>42</v>
      </c>
      <c r="AH247" s="104">
        <v>49</v>
      </c>
      <c r="AI247" s="102">
        <v>2.94</v>
      </c>
      <c r="AJ247" s="105">
        <v>18</v>
      </c>
      <c r="AK247" s="105">
        <v>17.2</v>
      </c>
      <c r="AL247" s="113"/>
      <c r="AM247" s="113"/>
      <c r="AN247" s="115"/>
      <c r="AO247" s="113"/>
      <c r="AP247" s="113"/>
      <c r="AQ247" s="106"/>
      <c r="AR247" s="106"/>
      <c r="AS247" s="110"/>
      <c r="AT247" s="110"/>
      <c r="AU247" s="111"/>
      <c r="AV247" s="112" t="s">
        <v>54</v>
      </c>
      <c r="AW247" s="110"/>
      <c r="AX247" s="138">
        <v>247</v>
      </c>
    </row>
    <row r="248" spans="1:50" ht="21" x14ac:dyDescent="0.25">
      <c r="A248" s="138">
        <v>248</v>
      </c>
      <c r="B248" s="94"/>
      <c r="C248" s="95" t="s">
        <v>51</v>
      </c>
      <c r="D248" s="95" t="s">
        <v>47</v>
      </c>
      <c r="E248" s="95" t="s">
        <v>456</v>
      </c>
      <c r="F248" s="95" t="s">
        <v>473</v>
      </c>
      <c r="G248" s="97">
        <v>5</v>
      </c>
      <c r="H248" s="97">
        <v>6</v>
      </c>
      <c r="I248" s="97">
        <v>2025</v>
      </c>
      <c r="J248" s="97">
        <v>345</v>
      </c>
      <c r="K248" s="97" t="s">
        <v>56</v>
      </c>
      <c r="L248" s="98" t="s">
        <v>57</v>
      </c>
      <c r="M248" s="95">
        <v>2</v>
      </c>
      <c r="N248" s="97"/>
      <c r="O248" s="98"/>
      <c r="P248" s="99"/>
      <c r="Q248" s="99"/>
      <c r="R248" s="99"/>
      <c r="S248" s="98" t="s">
        <v>173</v>
      </c>
      <c r="T248" s="174">
        <v>576</v>
      </c>
      <c r="U248" s="94">
        <v>2815</v>
      </c>
      <c r="V248" s="100"/>
      <c r="W248" s="100"/>
      <c r="X248" s="100"/>
      <c r="Y248" s="100"/>
      <c r="Z248" s="101" t="s">
        <v>5</v>
      </c>
      <c r="AA248" s="100" t="s">
        <v>58</v>
      </c>
      <c r="AB248" s="100"/>
      <c r="AC248" s="100"/>
      <c r="AD248" s="100"/>
      <c r="AE248" s="102">
        <v>16</v>
      </c>
      <c r="AF248" s="103">
        <v>81</v>
      </c>
      <c r="AG248" s="103">
        <v>65</v>
      </c>
      <c r="AH248" s="104">
        <v>73</v>
      </c>
      <c r="AI248" s="102">
        <v>6.7</v>
      </c>
      <c r="AJ248" s="105"/>
      <c r="AK248" s="105">
        <v>0</v>
      </c>
      <c r="AL248" s="113"/>
      <c r="AM248" s="113"/>
      <c r="AN248" s="114"/>
      <c r="AO248" s="108"/>
      <c r="AP248" s="108"/>
      <c r="AQ248" s="108"/>
      <c r="AR248" s="109"/>
      <c r="AS248" s="110"/>
      <c r="AT248" s="110"/>
      <c r="AU248" s="111"/>
      <c r="AV248" s="112" t="s">
        <v>54</v>
      </c>
      <c r="AW248" s="110"/>
      <c r="AX248" s="138">
        <v>248</v>
      </c>
    </row>
    <row r="249" spans="1:50" ht="21" x14ac:dyDescent="0.25">
      <c r="A249" s="138">
        <v>249</v>
      </c>
      <c r="B249" s="94"/>
      <c r="C249" s="95" t="s">
        <v>51</v>
      </c>
      <c r="D249" s="95" t="s">
        <v>47</v>
      </c>
      <c r="E249" s="95" t="s">
        <v>456</v>
      </c>
      <c r="F249" s="95" t="s">
        <v>473</v>
      </c>
      <c r="G249" s="97">
        <v>5</v>
      </c>
      <c r="H249" s="97">
        <v>6</v>
      </c>
      <c r="I249" s="97">
        <v>2025</v>
      </c>
      <c r="J249" s="97">
        <v>345</v>
      </c>
      <c r="K249" s="97" t="s">
        <v>56</v>
      </c>
      <c r="L249" s="98" t="s">
        <v>57</v>
      </c>
      <c r="M249" s="95">
        <v>2</v>
      </c>
      <c r="N249" s="97"/>
      <c r="O249" s="98"/>
      <c r="P249" s="99"/>
      <c r="Q249" s="99"/>
      <c r="R249" s="99"/>
      <c r="S249" s="98" t="s">
        <v>287</v>
      </c>
      <c r="T249" s="174">
        <v>577</v>
      </c>
      <c r="U249" s="94">
        <v>3208</v>
      </c>
      <c r="V249" s="100"/>
      <c r="W249" s="100"/>
      <c r="X249" s="100"/>
      <c r="Y249" s="100"/>
      <c r="Z249" s="101" t="s">
        <v>0</v>
      </c>
      <c r="AA249" s="100" t="s">
        <v>58</v>
      </c>
      <c r="AB249" s="100"/>
      <c r="AC249" s="100"/>
      <c r="AD249" s="100"/>
      <c r="AE249" s="102">
        <v>21.2</v>
      </c>
      <c r="AF249" s="103">
        <v>88</v>
      </c>
      <c r="AG249" s="103">
        <v>58</v>
      </c>
      <c r="AH249" s="104">
        <v>73</v>
      </c>
      <c r="AI249" s="102">
        <v>8.8699999999999992</v>
      </c>
      <c r="AJ249" s="105"/>
      <c r="AK249" s="105">
        <v>0</v>
      </c>
      <c r="AL249" s="113"/>
      <c r="AM249" s="113"/>
      <c r="AN249" s="114"/>
      <c r="AO249" s="108"/>
      <c r="AP249" s="108"/>
      <c r="AQ249" s="106"/>
      <c r="AR249" s="106"/>
      <c r="AS249" s="110"/>
      <c r="AT249" s="110"/>
      <c r="AU249" s="111"/>
      <c r="AV249" s="112" t="s">
        <v>54</v>
      </c>
      <c r="AW249" s="110"/>
      <c r="AX249" s="138">
        <v>249</v>
      </c>
    </row>
    <row r="250" spans="1:50" ht="21" x14ac:dyDescent="0.25">
      <c r="A250" s="138">
        <v>250</v>
      </c>
      <c r="B250" s="94"/>
      <c r="C250" s="95" t="s">
        <v>51</v>
      </c>
      <c r="D250" s="95" t="s">
        <v>47</v>
      </c>
      <c r="E250" s="95" t="s">
        <v>456</v>
      </c>
      <c r="F250" s="95" t="s">
        <v>473</v>
      </c>
      <c r="G250" s="97">
        <v>5</v>
      </c>
      <c r="H250" s="97">
        <v>6</v>
      </c>
      <c r="I250" s="97">
        <v>2025</v>
      </c>
      <c r="J250" s="97">
        <v>345</v>
      </c>
      <c r="K250" s="97" t="s">
        <v>56</v>
      </c>
      <c r="L250" s="98" t="s">
        <v>57</v>
      </c>
      <c r="M250" s="95">
        <v>2</v>
      </c>
      <c r="N250" s="97"/>
      <c r="O250" s="98"/>
      <c r="P250" s="99"/>
      <c r="Q250" s="99"/>
      <c r="R250" s="99"/>
      <c r="S250" s="98" t="s">
        <v>222</v>
      </c>
      <c r="T250" s="174">
        <v>578</v>
      </c>
      <c r="U250" s="94">
        <v>2907</v>
      </c>
      <c r="V250" s="100"/>
      <c r="W250" s="100"/>
      <c r="X250" s="100"/>
      <c r="Y250" s="100"/>
      <c r="Z250" s="101" t="s">
        <v>0</v>
      </c>
      <c r="AA250" s="100" t="s">
        <v>58</v>
      </c>
      <c r="AB250" s="100"/>
      <c r="AC250" s="100"/>
      <c r="AD250" s="100"/>
      <c r="AE250" s="102">
        <v>19</v>
      </c>
      <c r="AF250" s="103">
        <v>46</v>
      </c>
      <c r="AG250" s="103">
        <v>38</v>
      </c>
      <c r="AH250" s="104">
        <v>42</v>
      </c>
      <c r="AI250" s="102">
        <v>2.63</v>
      </c>
      <c r="AJ250" s="105"/>
      <c r="AK250" s="105">
        <v>0</v>
      </c>
      <c r="AL250" s="113"/>
      <c r="AM250" s="113"/>
      <c r="AN250" s="114"/>
      <c r="AO250" s="108"/>
      <c r="AP250" s="108"/>
      <c r="AQ250" s="106"/>
      <c r="AR250" s="106"/>
      <c r="AS250" s="110"/>
      <c r="AT250" s="110"/>
      <c r="AU250" s="111"/>
      <c r="AV250" s="112" t="s">
        <v>54</v>
      </c>
      <c r="AW250" s="110"/>
      <c r="AX250" s="138">
        <v>250</v>
      </c>
    </row>
    <row r="251" spans="1:50" ht="21" x14ac:dyDescent="0.25">
      <c r="A251" s="138">
        <v>251</v>
      </c>
      <c r="B251" s="94"/>
      <c r="C251" s="95" t="s">
        <v>51</v>
      </c>
      <c r="D251" s="95" t="s">
        <v>47</v>
      </c>
      <c r="E251" s="95" t="s">
        <v>456</v>
      </c>
      <c r="F251" s="95" t="s">
        <v>473</v>
      </c>
      <c r="G251" s="97">
        <v>5</v>
      </c>
      <c r="H251" s="97">
        <v>6</v>
      </c>
      <c r="I251" s="97">
        <v>2025</v>
      </c>
      <c r="J251" s="97">
        <v>345</v>
      </c>
      <c r="K251" s="97" t="s">
        <v>56</v>
      </c>
      <c r="L251" s="98" t="s">
        <v>57</v>
      </c>
      <c r="M251" s="95">
        <v>2</v>
      </c>
      <c r="N251" s="97"/>
      <c r="O251" s="98"/>
      <c r="P251" s="99"/>
      <c r="Q251" s="99"/>
      <c r="R251" s="99"/>
      <c r="S251" s="116" t="s">
        <v>88</v>
      </c>
      <c r="T251" s="174">
        <v>579</v>
      </c>
      <c r="U251" s="175">
        <v>212</v>
      </c>
      <c r="V251" s="100"/>
      <c r="W251" s="117"/>
      <c r="X251" s="117"/>
      <c r="Y251" s="117"/>
      <c r="Z251" s="106" t="s">
        <v>0</v>
      </c>
      <c r="AA251" s="117" t="s">
        <v>58</v>
      </c>
      <c r="AB251" s="117"/>
      <c r="AC251" s="117"/>
      <c r="AD251" s="117"/>
      <c r="AE251" s="119">
        <v>13.6</v>
      </c>
      <c r="AF251" s="112">
        <v>61</v>
      </c>
      <c r="AG251" s="112">
        <v>53</v>
      </c>
      <c r="AH251" s="113">
        <v>57</v>
      </c>
      <c r="AI251" s="119">
        <v>3.47</v>
      </c>
      <c r="AJ251" s="120"/>
      <c r="AK251" s="120">
        <v>0</v>
      </c>
      <c r="AL251" s="113"/>
      <c r="AM251" s="106"/>
      <c r="AN251" s="114"/>
      <c r="AO251" s="108"/>
      <c r="AP251" s="108"/>
      <c r="AQ251" s="108"/>
      <c r="AR251" s="109"/>
      <c r="AS251" s="110"/>
      <c r="AT251" s="110"/>
      <c r="AU251" s="110"/>
      <c r="AV251" s="112" t="s">
        <v>54</v>
      </c>
      <c r="AW251" s="110"/>
      <c r="AX251" s="138">
        <v>251</v>
      </c>
    </row>
    <row r="252" spans="1:50" ht="21" x14ac:dyDescent="0.25">
      <c r="A252" s="138">
        <v>252</v>
      </c>
      <c r="B252" s="94"/>
      <c r="C252" s="95" t="s">
        <v>51</v>
      </c>
      <c r="D252" s="95" t="s">
        <v>47</v>
      </c>
      <c r="E252" s="95" t="s">
        <v>456</v>
      </c>
      <c r="F252" s="95" t="s">
        <v>473</v>
      </c>
      <c r="G252" s="97">
        <v>5</v>
      </c>
      <c r="H252" s="97">
        <v>6</v>
      </c>
      <c r="I252" s="97">
        <v>2025</v>
      </c>
      <c r="J252" s="97">
        <v>345</v>
      </c>
      <c r="K252" s="97" t="s">
        <v>56</v>
      </c>
      <c r="L252" s="98" t="s">
        <v>57</v>
      </c>
      <c r="M252" s="95">
        <v>2</v>
      </c>
      <c r="N252" s="97"/>
      <c r="O252" s="98"/>
      <c r="P252" s="99"/>
      <c r="Q252" s="99"/>
      <c r="R252" s="99"/>
      <c r="S252" s="116" t="s">
        <v>315</v>
      </c>
      <c r="T252" s="174">
        <v>580</v>
      </c>
      <c r="U252" s="175">
        <v>3403</v>
      </c>
      <c r="V252" s="100"/>
      <c r="W252" s="117"/>
      <c r="X252" s="117"/>
      <c r="Y252" s="117"/>
      <c r="Z252" s="106" t="s">
        <v>0</v>
      </c>
      <c r="AA252" s="117" t="s">
        <v>58</v>
      </c>
      <c r="AB252" s="117"/>
      <c r="AC252" s="117"/>
      <c r="AD252" s="117"/>
      <c r="AE252" s="118">
        <v>13</v>
      </c>
      <c r="AF252" s="112">
        <v>55</v>
      </c>
      <c r="AG252" s="112">
        <v>45</v>
      </c>
      <c r="AH252" s="113">
        <v>50</v>
      </c>
      <c r="AI252" s="119">
        <v>2.5499999999999998</v>
      </c>
      <c r="AJ252" s="120"/>
      <c r="AK252" s="120">
        <v>0</v>
      </c>
      <c r="AL252" s="113">
        <v>27</v>
      </c>
      <c r="AM252" s="113">
        <f>COUNT(AI243:AI252)</f>
        <v>10</v>
      </c>
      <c r="AN252" s="114">
        <f>SUM(AI243:AI252)</f>
        <v>46.44</v>
      </c>
      <c r="AO252" s="108"/>
      <c r="AP252" s="108"/>
      <c r="AQ252" s="108"/>
      <c r="AR252" s="109"/>
      <c r="AS252" s="110"/>
      <c r="AT252" s="110"/>
      <c r="AU252" s="110"/>
      <c r="AV252" s="112" t="s">
        <v>54</v>
      </c>
      <c r="AW252" s="110"/>
      <c r="AX252" s="138">
        <v>252</v>
      </c>
    </row>
    <row r="253" spans="1:50" ht="21" x14ac:dyDescent="0.25">
      <c r="A253" s="138">
        <v>253</v>
      </c>
      <c r="B253" s="94">
        <v>28</v>
      </c>
      <c r="C253" s="95" t="s">
        <v>51</v>
      </c>
      <c r="D253" s="95" t="s">
        <v>47</v>
      </c>
      <c r="E253" s="95" t="s">
        <v>456</v>
      </c>
      <c r="F253" s="95" t="s">
        <v>473</v>
      </c>
      <c r="G253" s="97">
        <v>5</v>
      </c>
      <c r="H253" s="97">
        <v>6</v>
      </c>
      <c r="I253" s="97">
        <v>2025</v>
      </c>
      <c r="J253" s="97">
        <v>336</v>
      </c>
      <c r="K253" s="97" t="s">
        <v>468</v>
      </c>
      <c r="L253" s="98" t="s">
        <v>469</v>
      </c>
      <c r="M253" s="95">
        <v>2</v>
      </c>
      <c r="N253" s="97"/>
      <c r="O253" s="98"/>
      <c r="P253" s="99"/>
      <c r="Q253" s="99"/>
      <c r="R253" s="99"/>
      <c r="S253" s="116" t="s">
        <v>90</v>
      </c>
      <c r="T253" s="174">
        <v>581</v>
      </c>
      <c r="U253" s="175">
        <v>214</v>
      </c>
      <c r="V253" s="100"/>
      <c r="W253" s="117"/>
      <c r="X253" s="117"/>
      <c r="Y253" s="117"/>
      <c r="Z253" s="106" t="s">
        <v>0</v>
      </c>
      <c r="AA253" s="117" t="s">
        <v>58</v>
      </c>
      <c r="AB253" s="117"/>
      <c r="AC253" s="117"/>
      <c r="AD253" s="117"/>
      <c r="AE253" s="119">
        <v>14.6</v>
      </c>
      <c r="AF253" s="112">
        <v>60</v>
      </c>
      <c r="AG253" s="112">
        <v>50</v>
      </c>
      <c r="AH253" s="113">
        <v>55</v>
      </c>
      <c r="AI253" s="119">
        <v>3.47</v>
      </c>
      <c r="AJ253" s="120"/>
      <c r="AK253" s="120">
        <v>0</v>
      </c>
      <c r="AL253" s="106"/>
      <c r="AM253" s="106"/>
      <c r="AN253" s="107"/>
      <c r="AO253" s="106"/>
      <c r="AP253" s="106"/>
      <c r="AQ253" s="108"/>
      <c r="AR253" s="109"/>
      <c r="AS253" s="110"/>
      <c r="AT253" s="110"/>
      <c r="AU253" s="110"/>
      <c r="AV253" s="112" t="s">
        <v>54</v>
      </c>
      <c r="AW253" s="110"/>
      <c r="AX253" s="138">
        <v>253</v>
      </c>
    </row>
    <row r="254" spans="1:50" ht="21" x14ac:dyDescent="0.25">
      <c r="A254" s="138">
        <v>254</v>
      </c>
      <c r="B254" s="94"/>
      <c r="C254" s="95" t="s">
        <v>51</v>
      </c>
      <c r="D254" s="95" t="s">
        <v>47</v>
      </c>
      <c r="E254" s="95" t="s">
        <v>456</v>
      </c>
      <c r="F254" s="95" t="s">
        <v>473</v>
      </c>
      <c r="G254" s="97">
        <v>5</v>
      </c>
      <c r="H254" s="97">
        <v>6</v>
      </c>
      <c r="I254" s="97">
        <v>2025</v>
      </c>
      <c r="J254" s="97">
        <v>336</v>
      </c>
      <c r="K254" s="97" t="s">
        <v>468</v>
      </c>
      <c r="L254" s="98" t="s">
        <v>469</v>
      </c>
      <c r="M254" s="95">
        <v>2</v>
      </c>
      <c r="N254" s="97"/>
      <c r="O254" s="98"/>
      <c r="P254" s="99"/>
      <c r="Q254" s="99"/>
      <c r="R254" s="99"/>
      <c r="S254" s="116" t="s">
        <v>305</v>
      </c>
      <c r="T254" s="174">
        <v>582</v>
      </c>
      <c r="U254" s="175">
        <v>3393</v>
      </c>
      <c r="V254" s="100"/>
      <c r="W254" s="117"/>
      <c r="X254" s="117"/>
      <c r="Y254" s="117"/>
      <c r="Z254" s="106" t="s">
        <v>0</v>
      </c>
      <c r="AA254" s="117" t="s">
        <v>58</v>
      </c>
      <c r="AB254" s="117"/>
      <c r="AC254" s="117"/>
      <c r="AD254" s="117"/>
      <c r="AE254" s="118">
        <v>20.8</v>
      </c>
      <c r="AF254" s="112">
        <v>59</v>
      </c>
      <c r="AG254" s="112">
        <v>45</v>
      </c>
      <c r="AH254" s="113">
        <v>52</v>
      </c>
      <c r="AI254" s="119">
        <v>4.42</v>
      </c>
      <c r="AJ254" s="120"/>
      <c r="AK254" s="120">
        <v>0</v>
      </c>
      <c r="AL254" s="113"/>
      <c r="AM254" s="113"/>
      <c r="AN254" s="114"/>
      <c r="AO254" s="108"/>
      <c r="AP254" s="108"/>
      <c r="AQ254" s="108"/>
      <c r="AR254" s="109"/>
      <c r="AS254" s="110"/>
      <c r="AT254" s="110"/>
      <c r="AU254" s="110"/>
      <c r="AV254" s="112" t="s">
        <v>54</v>
      </c>
      <c r="AW254" s="110"/>
      <c r="AX254" s="138">
        <v>254</v>
      </c>
    </row>
    <row r="255" spans="1:50" ht="21" x14ac:dyDescent="0.25">
      <c r="A255" s="138">
        <v>255</v>
      </c>
      <c r="B255" s="94"/>
      <c r="C255" s="95" t="s">
        <v>51</v>
      </c>
      <c r="D255" s="95" t="s">
        <v>47</v>
      </c>
      <c r="E255" s="95" t="s">
        <v>456</v>
      </c>
      <c r="F255" s="95" t="s">
        <v>473</v>
      </c>
      <c r="G255" s="97">
        <v>5</v>
      </c>
      <c r="H255" s="97">
        <v>6</v>
      </c>
      <c r="I255" s="97">
        <v>2025</v>
      </c>
      <c r="J255" s="97">
        <v>336</v>
      </c>
      <c r="K255" s="97" t="s">
        <v>468</v>
      </c>
      <c r="L255" s="98" t="s">
        <v>469</v>
      </c>
      <c r="M255" s="95">
        <v>2</v>
      </c>
      <c r="N255" s="97"/>
      <c r="O255" s="95"/>
      <c r="P255" s="99"/>
      <c r="Q255" s="99"/>
      <c r="R255" s="99"/>
      <c r="S255" s="129" t="s">
        <v>233</v>
      </c>
      <c r="T255" s="174">
        <v>583</v>
      </c>
      <c r="U255" s="175">
        <v>2918</v>
      </c>
      <c r="V255" s="100"/>
      <c r="W255" s="117"/>
      <c r="X255" s="117"/>
      <c r="Y255" s="117"/>
      <c r="Z255" s="109" t="s">
        <v>0</v>
      </c>
      <c r="AA255" s="117" t="s">
        <v>58</v>
      </c>
      <c r="AB255" s="117"/>
      <c r="AC255" s="117"/>
      <c r="AD255" s="117"/>
      <c r="AE255" s="119">
        <v>19.5</v>
      </c>
      <c r="AF255" s="120">
        <v>58</v>
      </c>
      <c r="AG255" s="120">
        <v>42</v>
      </c>
      <c r="AH255" s="108">
        <v>50</v>
      </c>
      <c r="AI255" s="119">
        <v>3.83</v>
      </c>
      <c r="AJ255" s="120"/>
      <c r="AK255" s="120">
        <v>0</v>
      </c>
      <c r="AL255" s="108"/>
      <c r="AM255" s="109"/>
      <c r="AN255" s="114"/>
      <c r="AO255" s="108"/>
      <c r="AP255" s="108"/>
      <c r="AQ255" s="108"/>
      <c r="AR255" s="109"/>
      <c r="AS255" s="128"/>
      <c r="AT255" s="128"/>
      <c r="AU255" s="128"/>
      <c r="AV255" s="112" t="s">
        <v>54</v>
      </c>
      <c r="AW255" s="128"/>
      <c r="AX255" s="138">
        <v>255</v>
      </c>
    </row>
    <row r="256" spans="1:50" ht="21" x14ac:dyDescent="0.25">
      <c r="A256" s="138">
        <v>256</v>
      </c>
      <c r="B256" s="94"/>
      <c r="C256" s="95" t="s">
        <v>51</v>
      </c>
      <c r="D256" s="95" t="s">
        <v>47</v>
      </c>
      <c r="E256" s="95" t="s">
        <v>456</v>
      </c>
      <c r="F256" s="95" t="s">
        <v>473</v>
      </c>
      <c r="G256" s="97">
        <v>5</v>
      </c>
      <c r="H256" s="97">
        <v>6</v>
      </c>
      <c r="I256" s="97">
        <v>2025</v>
      </c>
      <c r="J256" s="97">
        <v>336</v>
      </c>
      <c r="K256" s="97" t="s">
        <v>468</v>
      </c>
      <c r="L256" s="98" t="s">
        <v>469</v>
      </c>
      <c r="M256" s="95">
        <v>2</v>
      </c>
      <c r="N256" s="97"/>
      <c r="O256" s="98"/>
      <c r="P256" s="99"/>
      <c r="Q256" s="99"/>
      <c r="R256" s="99"/>
      <c r="S256" s="98" t="s">
        <v>282</v>
      </c>
      <c r="T256" s="174">
        <v>584</v>
      </c>
      <c r="U256" s="94">
        <v>3203</v>
      </c>
      <c r="V256" s="100"/>
      <c r="W256" s="100"/>
      <c r="X256" s="100"/>
      <c r="Y256" s="100"/>
      <c r="Z256" s="101" t="s">
        <v>7</v>
      </c>
      <c r="AA256" s="100" t="s">
        <v>58</v>
      </c>
      <c r="AB256" s="100"/>
      <c r="AC256" s="100"/>
      <c r="AD256" s="100"/>
      <c r="AE256" s="102">
        <v>20.5</v>
      </c>
      <c r="AF256" s="103">
        <v>47</v>
      </c>
      <c r="AG256" s="103">
        <v>39</v>
      </c>
      <c r="AH256" s="104">
        <v>43</v>
      </c>
      <c r="AI256" s="102">
        <v>2.98</v>
      </c>
      <c r="AJ256" s="105"/>
      <c r="AK256" s="105">
        <v>0</v>
      </c>
      <c r="AL256" s="113"/>
      <c r="AM256" s="113"/>
      <c r="AN256" s="115"/>
      <c r="AO256" s="113"/>
      <c r="AP256" s="113"/>
      <c r="AQ256" s="108"/>
      <c r="AR256" s="109"/>
      <c r="AS256" s="110"/>
      <c r="AT256" s="110"/>
      <c r="AU256" s="111"/>
      <c r="AV256" s="112" t="s">
        <v>54</v>
      </c>
      <c r="AW256" s="110"/>
      <c r="AX256" s="138">
        <v>256</v>
      </c>
    </row>
    <row r="257" spans="1:50" ht="21" x14ac:dyDescent="0.25">
      <c r="A257" s="138">
        <v>257</v>
      </c>
      <c r="B257" s="94"/>
      <c r="C257" s="95" t="s">
        <v>51</v>
      </c>
      <c r="D257" s="95" t="s">
        <v>47</v>
      </c>
      <c r="E257" s="95" t="s">
        <v>456</v>
      </c>
      <c r="F257" s="95" t="s">
        <v>473</v>
      </c>
      <c r="G257" s="97">
        <v>5</v>
      </c>
      <c r="H257" s="97">
        <v>6</v>
      </c>
      <c r="I257" s="97">
        <v>2025</v>
      </c>
      <c r="J257" s="97">
        <v>336</v>
      </c>
      <c r="K257" s="97" t="s">
        <v>468</v>
      </c>
      <c r="L257" s="98" t="s">
        <v>469</v>
      </c>
      <c r="M257" s="95">
        <v>2</v>
      </c>
      <c r="N257" s="97"/>
      <c r="O257" s="95"/>
      <c r="P257" s="99"/>
      <c r="Q257" s="99"/>
      <c r="R257" s="99"/>
      <c r="S257" s="129" t="s">
        <v>236</v>
      </c>
      <c r="T257" s="174">
        <v>585</v>
      </c>
      <c r="U257" s="175">
        <v>3012</v>
      </c>
      <c r="V257" s="100"/>
      <c r="W257" s="117"/>
      <c r="X257" s="117"/>
      <c r="Y257" s="117"/>
      <c r="Z257" s="109" t="s">
        <v>5</v>
      </c>
      <c r="AA257" s="117" t="s">
        <v>58</v>
      </c>
      <c r="AB257" s="117"/>
      <c r="AC257" s="117"/>
      <c r="AD257" s="117"/>
      <c r="AE257" s="119">
        <v>11.3</v>
      </c>
      <c r="AF257" s="120">
        <v>122</v>
      </c>
      <c r="AG257" s="120">
        <v>104</v>
      </c>
      <c r="AH257" s="108">
        <v>113</v>
      </c>
      <c r="AI257" s="119">
        <v>11.33</v>
      </c>
      <c r="AJ257" s="120"/>
      <c r="AK257" s="120">
        <v>0</v>
      </c>
      <c r="AL257" s="108"/>
      <c r="AM257" s="108"/>
      <c r="AN257" s="114"/>
      <c r="AO257" s="108"/>
      <c r="AP257" s="108"/>
      <c r="AQ257" s="108"/>
      <c r="AR257" s="109"/>
      <c r="AS257" s="128"/>
      <c r="AT257" s="128"/>
      <c r="AU257" s="128"/>
      <c r="AV257" s="112" t="s">
        <v>54</v>
      </c>
      <c r="AW257" s="128"/>
      <c r="AX257" s="138">
        <v>257</v>
      </c>
    </row>
    <row r="258" spans="1:50" ht="21" x14ac:dyDescent="0.25">
      <c r="A258" s="138">
        <v>258</v>
      </c>
      <c r="B258" s="94"/>
      <c r="C258" s="95" t="s">
        <v>51</v>
      </c>
      <c r="D258" s="95" t="s">
        <v>47</v>
      </c>
      <c r="E258" s="95" t="s">
        <v>456</v>
      </c>
      <c r="F258" s="95" t="s">
        <v>473</v>
      </c>
      <c r="G258" s="97">
        <v>5</v>
      </c>
      <c r="H258" s="97">
        <v>6</v>
      </c>
      <c r="I258" s="97">
        <v>2025</v>
      </c>
      <c r="J258" s="97">
        <v>336</v>
      </c>
      <c r="K258" s="97" t="s">
        <v>468</v>
      </c>
      <c r="L258" s="98" t="s">
        <v>469</v>
      </c>
      <c r="M258" s="95">
        <v>2</v>
      </c>
      <c r="N258" s="97"/>
      <c r="O258" s="98"/>
      <c r="P258" s="99"/>
      <c r="Q258" s="99"/>
      <c r="R258" s="99"/>
      <c r="S258" s="116" t="s">
        <v>283</v>
      </c>
      <c r="T258" s="184">
        <v>586</v>
      </c>
      <c r="U258" s="186">
        <v>3204</v>
      </c>
      <c r="V258" s="100"/>
      <c r="W258" s="117"/>
      <c r="X258" s="117"/>
      <c r="Y258" s="117"/>
      <c r="Z258" s="106" t="s">
        <v>0</v>
      </c>
      <c r="AA258" s="117" t="s">
        <v>58</v>
      </c>
      <c r="AB258" s="117"/>
      <c r="AC258" s="117"/>
      <c r="AD258" s="117"/>
      <c r="AE258" s="118">
        <v>18.600000000000001</v>
      </c>
      <c r="AF258" s="112">
        <v>60</v>
      </c>
      <c r="AG258" s="112">
        <v>39</v>
      </c>
      <c r="AH258" s="113">
        <v>49</v>
      </c>
      <c r="AI258" s="119">
        <v>2.9</v>
      </c>
      <c r="AJ258" s="120">
        <v>18</v>
      </c>
      <c r="AK258" s="120">
        <v>17.2</v>
      </c>
      <c r="AL258" s="113"/>
      <c r="AM258" s="113"/>
      <c r="AN258" s="115"/>
      <c r="AO258" s="113"/>
      <c r="AP258" s="113"/>
      <c r="AQ258" s="108"/>
      <c r="AR258" s="109"/>
      <c r="AS258" s="110"/>
      <c r="AT258" s="110"/>
      <c r="AU258" s="110"/>
      <c r="AV258" s="112" t="s">
        <v>54</v>
      </c>
      <c r="AW258" s="110"/>
      <c r="AX258" s="138">
        <v>258</v>
      </c>
    </row>
    <row r="259" spans="1:50" ht="21" x14ac:dyDescent="0.25">
      <c r="A259" s="138">
        <v>259</v>
      </c>
      <c r="B259" s="94"/>
      <c r="C259" s="95" t="s">
        <v>51</v>
      </c>
      <c r="D259" s="95" t="s">
        <v>47</v>
      </c>
      <c r="E259" s="95" t="s">
        <v>456</v>
      </c>
      <c r="F259" s="95" t="s">
        <v>473</v>
      </c>
      <c r="G259" s="97">
        <v>5</v>
      </c>
      <c r="H259" s="97">
        <v>6</v>
      </c>
      <c r="I259" s="97">
        <v>2025</v>
      </c>
      <c r="J259" s="97">
        <v>336</v>
      </c>
      <c r="K259" s="97" t="s">
        <v>468</v>
      </c>
      <c r="L259" s="98" t="s">
        <v>469</v>
      </c>
      <c r="M259" s="95">
        <v>2</v>
      </c>
      <c r="N259" s="97"/>
      <c r="O259" s="98"/>
      <c r="P259" s="99"/>
      <c r="Q259" s="99"/>
      <c r="R259" s="99"/>
      <c r="S259" s="116" t="s">
        <v>224</v>
      </c>
      <c r="T259" s="174">
        <v>587</v>
      </c>
      <c r="U259" s="175">
        <v>2909</v>
      </c>
      <c r="V259" s="100"/>
      <c r="W259" s="117"/>
      <c r="X259" s="117"/>
      <c r="Y259" s="117"/>
      <c r="Z259" s="106" t="s">
        <v>0</v>
      </c>
      <c r="AA259" s="117" t="s">
        <v>58</v>
      </c>
      <c r="AB259" s="117"/>
      <c r="AC259" s="117"/>
      <c r="AD259" s="117"/>
      <c r="AE259" s="118">
        <v>17.2</v>
      </c>
      <c r="AF259" s="112">
        <v>61</v>
      </c>
      <c r="AG259" s="112">
        <v>49</v>
      </c>
      <c r="AH259" s="113">
        <v>55</v>
      </c>
      <c r="AI259" s="119">
        <v>4.09</v>
      </c>
      <c r="AJ259" s="120"/>
      <c r="AK259" s="120">
        <v>0</v>
      </c>
      <c r="AL259" s="106"/>
      <c r="AM259" s="106"/>
      <c r="AN259" s="107"/>
      <c r="AO259" s="106"/>
      <c r="AP259" s="106"/>
      <c r="AQ259" s="108"/>
      <c r="AR259" s="109"/>
      <c r="AS259" s="110"/>
      <c r="AT259" s="110"/>
      <c r="AU259" s="110"/>
      <c r="AV259" s="112" t="s">
        <v>54</v>
      </c>
      <c r="AW259" s="110"/>
      <c r="AX259" s="138">
        <v>259</v>
      </c>
    </row>
    <row r="260" spans="1:50" ht="21" x14ac:dyDescent="0.25">
      <c r="A260" s="138">
        <v>260</v>
      </c>
      <c r="B260" s="94"/>
      <c r="C260" s="95" t="s">
        <v>51</v>
      </c>
      <c r="D260" s="95" t="s">
        <v>47</v>
      </c>
      <c r="E260" s="95" t="s">
        <v>456</v>
      </c>
      <c r="F260" s="95" t="s">
        <v>473</v>
      </c>
      <c r="G260" s="97">
        <v>5</v>
      </c>
      <c r="H260" s="97">
        <v>6</v>
      </c>
      <c r="I260" s="97">
        <v>2025</v>
      </c>
      <c r="J260" s="97">
        <v>336</v>
      </c>
      <c r="K260" s="97" t="s">
        <v>468</v>
      </c>
      <c r="L260" s="98" t="s">
        <v>469</v>
      </c>
      <c r="M260" s="95">
        <v>2</v>
      </c>
      <c r="N260" s="97"/>
      <c r="O260" s="98"/>
      <c r="P260" s="99"/>
      <c r="Q260" s="99"/>
      <c r="R260" s="99"/>
      <c r="S260" s="116" t="s">
        <v>172</v>
      </c>
      <c r="T260" s="174">
        <v>588</v>
      </c>
      <c r="U260" s="175">
        <v>2814</v>
      </c>
      <c r="V260" s="100"/>
      <c r="W260" s="117"/>
      <c r="X260" s="117"/>
      <c r="Y260" s="117"/>
      <c r="Z260" s="106" t="s">
        <v>0</v>
      </c>
      <c r="AA260" s="117" t="s">
        <v>58</v>
      </c>
      <c r="AB260" s="117"/>
      <c r="AC260" s="117"/>
      <c r="AD260" s="117"/>
      <c r="AE260" s="118">
        <v>18.5</v>
      </c>
      <c r="AF260" s="112">
        <v>56</v>
      </c>
      <c r="AG260" s="112">
        <v>45</v>
      </c>
      <c r="AH260" s="113">
        <v>50</v>
      </c>
      <c r="AI260" s="119">
        <v>3.63</v>
      </c>
      <c r="AJ260" s="120"/>
      <c r="AK260" s="120">
        <v>0</v>
      </c>
      <c r="AL260" s="113"/>
      <c r="AM260" s="113"/>
      <c r="AN260" s="115"/>
      <c r="AO260" s="113"/>
      <c r="AP260" s="113"/>
      <c r="AQ260" s="108"/>
      <c r="AR260" s="109"/>
      <c r="AS260" s="110"/>
      <c r="AT260" s="110"/>
      <c r="AU260" s="110"/>
      <c r="AV260" s="112" t="s">
        <v>54</v>
      </c>
      <c r="AW260" s="110"/>
      <c r="AX260" s="138">
        <v>260</v>
      </c>
    </row>
    <row r="261" spans="1:50" ht="21" x14ac:dyDescent="0.25">
      <c r="A261" s="138">
        <v>261</v>
      </c>
      <c r="B261" s="94"/>
      <c r="C261" s="95" t="s">
        <v>51</v>
      </c>
      <c r="D261" s="95" t="s">
        <v>47</v>
      </c>
      <c r="E261" s="95" t="s">
        <v>456</v>
      </c>
      <c r="F261" s="95" t="s">
        <v>473</v>
      </c>
      <c r="G261" s="97">
        <v>5</v>
      </c>
      <c r="H261" s="97">
        <v>6</v>
      </c>
      <c r="I261" s="97">
        <v>2025</v>
      </c>
      <c r="J261" s="97">
        <v>336</v>
      </c>
      <c r="K261" s="97" t="s">
        <v>468</v>
      </c>
      <c r="L261" s="98" t="s">
        <v>469</v>
      </c>
      <c r="M261" s="95">
        <v>2</v>
      </c>
      <c r="N261" s="97"/>
      <c r="O261" s="98"/>
      <c r="P261" s="99"/>
      <c r="Q261" s="99"/>
      <c r="R261" s="99"/>
      <c r="S261" s="98" t="s">
        <v>436</v>
      </c>
      <c r="T261" s="174">
        <v>589</v>
      </c>
      <c r="U261" s="94">
        <v>3731</v>
      </c>
      <c r="V261" s="100"/>
      <c r="W261" s="100"/>
      <c r="X261" s="100"/>
      <c r="Y261" s="100"/>
      <c r="Z261" s="101" t="s">
        <v>9</v>
      </c>
      <c r="AA261" s="100" t="s">
        <v>118</v>
      </c>
      <c r="AB261" s="100"/>
      <c r="AC261" s="100"/>
      <c r="AD261" s="100"/>
      <c r="AE261" s="121">
        <v>13.9</v>
      </c>
      <c r="AF261" s="103">
        <v>69</v>
      </c>
      <c r="AG261" s="103">
        <v>66</v>
      </c>
      <c r="AH261" s="104">
        <v>67</v>
      </c>
      <c r="AI261" s="121">
        <v>4.9000000000000004</v>
      </c>
      <c r="AJ261" s="103"/>
      <c r="AK261" s="103">
        <v>0</v>
      </c>
      <c r="AL261" s="113">
        <v>28</v>
      </c>
      <c r="AM261" s="106">
        <f>COUNT(AI253:AI261)</f>
        <v>9</v>
      </c>
      <c r="AN261" s="114">
        <f>SUM(AI253:AI261)</f>
        <v>41.55</v>
      </c>
      <c r="AO261" s="108"/>
      <c r="AP261" s="108"/>
      <c r="AQ261" s="108"/>
      <c r="AR261" s="109"/>
      <c r="AS261" s="110"/>
      <c r="AT261" s="110"/>
      <c r="AU261" s="111"/>
      <c r="AV261" s="112" t="s">
        <v>54</v>
      </c>
      <c r="AW261" s="110"/>
      <c r="AX261" s="138">
        <v>261</v>
      </c>
    </row>
    <row r="262" spans="1:50" ht="23.25" customHeight="1" x14ac:dyDescent="0.35">
      <c r="A262" s="138">
        <v>262</v>
      </c>
      <c r="B262" s="140"/>
      <c r="C262" s="199" t="s">
        <v>480</v>
      </c>
      <c r="D262" s="199"/>
      <c r="E262" s="199"/>
      <c r="F262" s="199"/>
      <c r="G262" s="141"/>
      <c r="H262" s="141"/>
      <c r="I262" s="141"/>
      <c r="J262" s="141"/>
      <c r="K262" s="141"/>
      <c r="L262" s="142"/>
      <c r="M262" s="142"/>
      <c r="N262" s="141"/>
      <c r="O262" s="142"/>
      <c r="P262" s="143"/>
      <c r="Q262" s="143"/>
      <c r="R262" s="143"/>
      <c r="S262" s="144"/>
      <c r="T262" s="178"/>
      <c r="U262" s="176"/>
      <c r="V262" s="146"/>
      <c r="W262" s="145"/>
      <c r="X262" s="145"/>
      <c r="Y262" s="145"/>
      <c r="Z262" s="147"/>
      <c r="AA262" s="145"/>
      <c r="AB262" s="145"/>
      <c r="AC262" s="145"/>
      <c r="AD262" s="145"/>
      <c r="AE262" s="148"/>
      <c r="AF262" s="149"/>
      <c r="AG262" s="173">
        <f>COUNT(AL154:AL261)</f>
        <v>12</v>
      </c>
      <c r="AH262" s="173">
        <f>COUNT(AH154:AH261)</f>
        <v>108</v>
      </c>
      <c r="AI262" s="151">
        <f>SUM(AI154:AI261)</f>
        <v>556.34</v>
      </c>
      <c r="AJ262" s="152"/>
      <c r="AK262" s="149"/>
      <c r="AL262" s="147"/>
      <c r="AM262" s="147"/>
      <c r="AN262" s="153"/>
      <c r="AO262" s="147"/>
      <c r="AP262" s="147"/>
      <c r="AQ262" s="150"/>
      <c r="AR262" s="147"/>
      <c r="AS262" s="154"/>
      <c r="AT262" s="154"/>
      <c r="AU262" s="154"/>
      <c r="AV262" s="149"/>
      <c r="AW262" s="155"/>
      <c r="AX262" s="138">
        <v>262</v>
      </c>
    </row>
    <row r="263" spans="1:50" ht="23.25" customHeight="1" x14ac:dyDescent="0.35">
      <c r="A263" s="138"/>
      <c r="B263" s="156"/>
      <c r="C263" s="157"/>
      <c r="D263" s="157"/>
      <c r="E263" s="157"/>
      <c r="F263" s="157"/>
      <c r="G263" s="158"/>
      <c r="H263" s="158"/>
      <c r="I263" s="158"/>
      <c r="J263" s="158"/>
      <c r="K263" s="158"/>
      <c r="L263" s="159"/>
      <c r="M263" s="159"/>
      <c r="N263" s="158"/>
      <c r="O263" s="159"/>
      <c r="P263" s="160"/>
      <c r="Q263" s="160"/>
      <c r="R263" s="160"/>
      <c r="S263" s="161"/>
      <c r="T263" s="179"/>
      <c r="U263" s="177"/>
      <c r="V263" s="163"/>
      <c r="W263" s="162"/>
      <c r="X263" s="162"/>
      <c r="Y263" s="162"/>
      <c r="Z263" s="164"/>
      <c r="AA263" s="162"/>
      <c r="AB263" s="162"/>
      <c r="AC263" s="162"/>
      <c r="AD263" s="162"/>
      <c r="AE263" s="165"/>
      <c r="AF263" s="166"/>
      <c r="AG263" s="166"/>
      <c r="AH263" s="167"/>
      <c r="AI263" s="168"/>
      <c r="AJ263" s="169"/>
      <c r="AK263" s="166"/>
      <c r="AL263" s="164"/>
      <c r="AM263" s="164"/>
      <c r="AN263" s="170"/>
      <c r="AO263" s="164"/>
      <c r="AP263" s="164"/>
      <c r="AQ263" s="167"/>
      <c r="AR263" s="164"/>
      <c r="AS263" s="171"/>
      <c r="AT263" s="171"/>
      <c r="AU263" s="171"/>
      <c r="AV263" s="166"/>
      <c r="AW263" s="172"/>
      <c r="AX263" s="138">
        <v>263</v>
      </c>
    </row>
    <row r="264" spans="1:50" ht="21" customHeight="1" x14ac:dyDescent="0.25">
      <c r="A264" s="138">
        <v>264</v>
      </c>
      <c r="B264" s="94">
        <v>29</v>
      </c>
      <c r="C264" s="95" t="s">
        <v>481</v>
      </c>
      <c r="D264" s="95" t="s">
        <v>47</v>
      </c>
      <c r="E264" s="95" t="s">
        <v>456</v>
      </c>
      <c r="F264" s="95" t="s">
        <v>473</v>
      </c>
      <c r="G264" s="97">
        <v>6</v>
      </c>
      <c r="H264" s="97">
        <v>6</v>
      </c>
      <c r="I264" s="97">
        <v>2025</v>
      </c>
      <c r="J264" s="97">
        <v>338</v>
      </c>
      <c r="K264" s="97" t="s">
        <v>463</v>
      </c>
      <c r="L264" s="98" t="s">
        <v>482</v>
      </c>
      <c r="M264" s="97">
        <v>1</v>
      </c>
      <c r="N264" s="97"/>
      <c r="O264" s="98"/>
      <c r="P264" s="99"/>
      <c r="Q264" s="99"/>
      <c r="R264" s="99"/>
      <c r="S264" s="98" t="s">
        <v>227</v>
      </c>
      <c r="T264" s="174">
        <v>590</v>
      </c>
      <c r="U264" s="94">
        <v>2912</v>
      </c>
      <c r="V264" s="100"/>
      <c r="W264" s="100"/>
      <c r="X264" s="100"/>
      <c r="Y264" s="100"/>
      <c r="Z264" s="101" t="s">
        <v>0</v>
      </c>
      <c r="AA264" s="100" t="s">
        <v>58</v>
      </c>
      <c r="AB264" s="100"/>
      <c r="AC264" s="100"/>
      <c r="AD264" s="100"/>
      <c r="AE264" s="102">
        <v>14.6</v>
      </c>
      <c r="AF264" s="103">
        <v>61</v>
      </c>
      <c r="AG264" s="103">
        <v>49</v>
      </c>
      <c r="AH264" s="104">
        <v>55</v>
      </c>
      <c r="AI264" s="102">
        <v>3.47</v>
      </c>
      <c r="AJ264" s="105"/>
      <c r="AK264" s="105">
        <v>0</v>
      </c>
      <c r="AL264" s="106"/>
      <c r="AM264" s="106"/>
      <c r="AN264" s="107"/>
      <c r="AO264" s="106"/>
      <c r="AP264" s="106"/>
      <c r="AQ264" s="108"/>
      <c r="AR264" s="109"/>
      <c r="AS264" s="110"/>
      <c r="AT264" s="110"/>
      <c r="AU264" s="111"/>
      <c r="AV264" s="112" t="s">
        <v>54</v>
      </c>
      <c r="AW264" s="110"/>
      <c r="AX264" s="138">
        <v>340</v>
      </c>
    </row>
    <row r="265" spans="1:50" ht="21" customHeight="1" x14ac:dyDescent="0.25">
      <c r="A265" s="138">
        <v>265</v>
      </c>
      <c r="B265" s="94"/>
      <c r="C265" s="95" t="s">
        <v>481</v>
      </c>
      <c r="D265" s="95" t="s">
        <v>47</v>
      </c>
      <c r="E265" s="95" t="s">
        <v>456</v>
      </c>
      <c r="F265" s="95" t="s">
        <v>473</v>
      </c>
      <c r="G265" s="97">
        <v>6</v>
      </c>
      <c r="H265" s="97">
        <v>6</v>
      </c>
      <c r="I265" s="97">
        <v>2025</v>
      </c>
      <c r="J265" s="97">
        <v>338</v>
      </c>
      <c r="K265" s="97" t="s">
        <v>463</v>
      </c>
      <c r="L265" s="98" t="s">
        <v>482</v>
      </c>
      <c r="M265" s="97">
        <v>1</v>
      </c>
      <c r="N265" s="97"/>
      <c r="O265" s="95"/>
      <c r="P265" s="99"/>
      <c r="Q265" s="99"/>
      <c r="R265" s="99"/>
      <c r="S265" s="129" t="s">
        <v>347</v>
      </c>
      <c r="T265" s="174">
        <v>591</v>
      </c>
      <c r="U265" s="175">
        <v>3438</v>
      </c>
      <c r="V265" s="100"/>
      <c r="W265" s="117"/>
      <c r="X265" s="117"/>
      <c r="Y265" s="117"/>
      <c r="Z265" s="109" t="s">
        <v>0</v>
      </c>
      <c r="AA265" s="117" t="s">
        <v>58</v>
      </c>
      <c r="AB265" s="117"/>
      <c r="AC265" s="117"/>
      <c r="AD265" s="117"/>
      <c r="AE265" s="119">
        <v>19.8</v>
      </c>
      <c r="AF265" s="120">
        <v>55</v>
      </c>
      <c r="AG265" s="120">
        <v>39</v>
      </c>
      <c r="AH265" s="108">
        <v>47</v>
      </c>
      <c r="AI265" s="119">
        <v>3.44</v>
      </c>
      <c r="AJ265" s="120"/>
      <c r="AK265" s="120">
        <v>0</v>
      </c>
      <c r="AL265" s="108"/>
      <c r="AM265" s="109"/>
      <c r="AN265" s="114"/>
      <c r="AO265" s="108"/>
      <c r="AP265" s="108"/>
      <c r="AQ265" s="108"/>
      <c r="AR265" s="109"/>
      <c r="AS265" s="128"/>
      <c r="AT265" s="128"/>
      <c r="AU265" s="128"/>
      <c r="AV265" s="120" t="s">
        <v>54</v>
      </c>
      <c r="AW265" s="128"/>
      <c r="AX265" s="138">
        <v>392</v>
      </c>
    </row>
    <row r="266" spans="1:50" ht="21" customHeight="1" x14ac:dyDescent="0.25">
      <c r="A266" s="138">
        <v>266</v>
      </c>
      <c r="B266" s="94"/>
      <c r="C266" s="95" t="s">
        <v>481</v>
      </c>
      <c r="D266" s="95" t="s">
        <v>47</v>
      </c>
      <c r="E266" s="95" t="s">
        <v>456</v>
      </c>
      <c r="F266" s="95" t="s">
        <v>473</v>
      </c>
      <c r="G266" s="97">
        <v>6</v>
      </c>
      <c r="H266" s="97">
        <v>6</v>
      </c>
      <c r="I266" s="97">
        <v>2025</v>
      </c>
      <c r="J266" s="97">
        <v>338</v>
      </c>
      <c r="K266" s="97" t="s">
        <v>463</v>
      </c>
      <c r="L266" s="98" t="s">
        <v>482</v>
      </c>
      <c r="M266" s="97">
        <v>1</v>
      </c>
      <c r="N266" s="97"/>
      <c r="O266" s="98"/>
      <c r="P266" s="99"/>
      <c r="Q266" s="99"/>
      <c r="R266" s="99"/>
      <c r="S266" s="98" t="s">
        <v>257</v>
      </c>
      <c r="T266" s="174">
        <v>592</v>
      </c>
      <c r="U266" s="94">
        <v>3033</v>
      </c>
      <c r="V266" s="100"/>
      <c r="W266" s="100"/>
      <c r="X266" s="100"/>
      <c r="Y266" s="100"/>
      <c r="Z266" s="101" t="s">
        <v>3</v>
      </c>
      <c r="AA266" s="100" t="s">
        <v>58</v>
      </c>
      <c r="AB266" s="100"/>
      <c r="AC266" s="100"/>
      <c r="AD266" s="100"/>
      <c r="AE266" s="102">
        <v>13.7</v>
      </c>
      <c r="AF266" s="103">
        <v>71</v>
      </c>
      <c r="AG266" s="103">
        <v>66</v>
      </c>
      <c r="AH266" s="104">
        <v>68</v>
      </c>
      <c r="AI266" s="102">
        <v>4.9800000000000004</v>
      </c>
      <c r="AJ266" s="105"/>
      <c r="AK266" s="105">
        <v>0</v>
      </c>
      <c r="AL266" s="113"/>
      <c r="AM266" s="106"/>
      <c r="AN266" s="114"/>
      <c r="AO266" s="108"/>
      <c r="AP266" s="108"/>
      <c r="AQ266" s="108"/>
      <c r="AR266" s="109"/>
      <c r="AS266" s="110"/>
      <c r="AT266" s="110"/>
      <c r="AU266" s="111"/>
      <c r="AV266" s="112" t="s">
        <v>54</v>
      </c>
      <c r="AW266" s="110"/>
      <c r="AX266" s="138">
        <v>357</v>
      </c>
    </row>
    <row r="267" spans="1:50" ht="21" customHeight="1" x14ac:dyDescent="0.25">
      <c r="A267" s="138">
        <v>267</v>
      </c>
      <c r="B267" s="94"/>
      <c r="C267" s="95" t="s">
        <v>481</v>
      </c>
      <c r="D267" s="95" t="s">
        <v>47</v>
      </c>
      <c r="E267" s="95" t="s">
        <v>456</v>
      </c>
      <c r="F267" s="95" t="s">
        <v>473</v>
      </c>
      <c r="G267" s="97">
        <v>6</v>
      </c>
      <c r="H267" s="97">
        <v>6</v>
      </c>
      <c r="I267" s="97">
        <v>2025</v>
      </c>
      <c r="J267" s="97">
        <v>338</v>
      </c>
      <c r="K267" s="97" t="s">
        <v>463</v>
      </c>
      <c r="L267" s="98" t="s">
        <v>482</v>
      </c>
      <c r="M267" s="97">
        <v>1</v>
      </c>
      <c r="N267" s="97"/>
      <c r="O267" s="98"/>
      <c r="P267" s="99"/>
      <c r="Q267" s="99"/>
      <c r="R267" s="99"/>
      <c r="S267" s="98" t="s">
        <v>244</v>
      </c>
      <c r="T267" s="174">
        <v>593</v>
      </c>
      <c r="U267" s="94">
        <v>3020</v>
      </c>
      <c r="V267" s="100"/>
      <c r="W267" s="100"/>
      <c r="X267" s="100"/>
      <c r="Y267" s="100"/>
      <c r="Z267" s="101" t="s">
        <v>0</v>
      </c>
      <c r="AA267" s="100" t="s">
        <v>58</v>
      </c>
      <c r="AB267" s="100"/>
      <c r="AC267" s="100"/>
      <c r="AD267" s="100"/>
      <c r="AE267" s="102">
        <v>16.8</v>
      </c>
      <c r="AF267" s="103">
        <v>76</v>
      </c>
      <c r="AG267" s="103">
        <v>64</v>
      </c>
      <c r="AH267" s="104">
        <v>70</v>
      </c>
      <c r="AI267" s="102">
        <v>6.47</v>
      </c>
      <c r="AJ267" s="105"/>
      <c r="AK267" s="105">
        <v>0</v>
      </c>
      <c r="AL267" s="113"/>
      <c r="AM267" s="113"/>
      <c r="AN267" s="114"/>
      <c r="AO267" s="108"/>
      <c r="AP267" s="108"/>
      <c r="AQ267" s="108"/>
      <c r="AR267" s="109"/>
      <c r="AS267" s="110"/>
      <c r="AT267" s="110"/>
      <c r="AU267" s="111"/>
      <c r="AV267" s="112" t="s">
        <v>54</v>
      </c>
      <c r="AW267" s="110"/>
      <c r="AX267" s="138">
        <v>350</v>
      </c>
    </row>
    <row r="268" spans="1:50" ht="21" customHeight="1" x14ac:dyDescent="0.25">
      <c r="A268" s="138">
        <v>268</v>
      </c>
      <c r="B268" s="94"/>
      <c r="C268" s="95" t="s">
        <v>481</v>
      </c>
      <c r="D268" s="95" t="s">
        <v>47</v>
      </c>
      <c r="E268" s="95" t="s">
        <v>456</v>
      </c>
      <c r="F268" s="95" t="s">
        <v>473</v>
      </c>
      <c r="G268" s="97">
        <v>6</v>
      </c>
      <c r="H268" s="97">
        <v>6</v>
      </c>
      <c r="I268" s="97">
        <v>2025</v>
      </c>
      <c r="J268" s="97">
        <v>338</v>
      </c>
      <c r="K268" s="97" t="s">
        <v>463</v>
      </c>
      <c r="L268" s="98" t="s">
        <v>482</v>
      </c>
      <c r="M268" s="97">
        <v>1</v>
      </c>
      <c r="N268" s="97"/>
      <c r="O268" s="98"/>
      <c r="P268" s="99"/>
      <c r="Q268" s="99"/>
      <c r="R268" s="99"/>
      <c r="S268" s="116" t="s">
        <v>246</v>
      </c>
      <c r="T268" s="174">
        <v>594</v>
      </c>
      <c r="U268" s="175">
        <v>3022</v>
      </c>
      <c r="V268" s="100"/>
      <c r="W268" s="117"/>
      <c r="X268" s="117"/>
      <c r="Y268" s="117"/>
      <c r="Z268" s="106" t="s">
        <v>0</v>
      </c>
      <c r="AA268" s="117" t="s">
        <v>58</v>
      </c>
      <c r="AB268" s="117"/>
      <c r="AC268" s="117"/>
      <c r="AD268" s="117"/>
      <c r="AE268" s="119">
        <v>18</v>
      </c>
      <c r="AF268" s="112">
        <v>57</v>
      </c>
      <c r="AG268" s="112">
        <v>35</v>
      </c>
      <c r="AH268" s="113">
        <v>46</v>
      </c>
      <c r="AI268" s="118">
        <v>2.99</v>
      </c>
      <c r="AJ268" s="112"/>
      <c r="AK268" s="112">
        <v>0</v>
      </c>
      <c r="AL268" s="113"/>
      <c r="AM268" s="113"/>
      <c r="AN268" s="114"/>
      <c r="AO268" s="108"/>
      <c r="AP268" s="108"/>
      <c r="AQ268" s="108"/>
      <c r="AR268" s="109"/>
      <c r="AS268" s="110"/>
      <c r="AT268" s="110"/>
      <c r="AU268" s="110"/>
      <c r="AV268" s="112" t="s">
        <v>54</v>
      </c>
      <c r="AW268" s="110"/>
      <c r="AX268" s="138">
        <v>351</v>
      </c>
    </row>
    <row r="269" spans="1:50" ht="21" customHeight="1" x14ac:dyDescent="0.25">
      <c r="A269" s="138">
        <v>269</v>
      </c>
      <c r="B269" s="94"/>
      <c r="C269" s="95" t="s">
        <v>481</v>
      </c>
      <c r="D269" s="95" t="s">
        <v>47</v>
      </c>
      <c r="E269" s="95" t="s">
        <v>456</v>
      </c>
      <c r="F269" s="95" t="s">
        <v>473</v>
      </c>
      <c r="G269" s="97">
        <v>6</v>
      </c>
      <c r="H269" s="97">
        <v>6</v>
      </c>
      <c r="I269" s="97">
        <v>2025</v>
      </c>
      <c r="J269" s="97">
        <v>338</v>
      </c>
      <c r="K269" s="97" t="s">
        <v>463</v>
      </c>
      <c r="L269" s="98" t="s">
        <v>482</v>
      </c>
      <c r="M269" s="97">
        <v>1</v>
      </c>
      <c r="N269" s="97"/>
      <c r="O269" s="98"/>
      <c r="P269" s="99"/>
      <c r="Q269" s="99"/>
      <c r="R269" s="99"/>
      <c r="S269" s="116" t="s">
        <v>341</v>
      </c>
      <c r="T269" s="174">
        <v>595</v>
      </c>
      <c r="U269" s="175">
        <v>3432</v>
      </c>
      <c r="V269" s="100"/>
      <c r="W269" s="117"/>
      <c r="X269" s="117"/>
      <c r="Y269" s="117"/>
      <c r="Z269" s="106" t="s">
        <v>0</v>
      </c>
      <c r="AA269" s="117" t="s">
        <v>58</v>
      </c>
      <c r="AB269" s="117"/>
      <c r="AC269" s="117"/>
      <c r="AD269" s="117"/>
      <c r="AE269" s="119">
        <v>18.399999999999999</v>
      </c>
      <c r="AF269" s="112">
        <v>65</v>
      </c>
      <c r="AG269" s="112">
        <v>45</v>
      </c>
      <c r="AH269" s="113">
        <v>55</v>
      </c>
      <c r="AI269" s="118">
        <v>4.37</v>
      </c>
      <c r="AJ269" s="112"/>
      <c r="AK269" s="112">
        <v>0</v>
      </c>
      <c r="AL269" s="113"/>
      <c r="AM269" s="106"/>
      <c r="AN269" s="131"/>
      <c r="AO269" s="108"/>
      <c r="AP269" s="108"/>
      <c r="AQ269" s="106"/>
      <c r="AR269" s="106"/>
      <c r="AS269" s="110"/>
      <c r="AT269" s="110"/>
      <c r="AU269" s="110"/>
      <c r="AV269" s="112" t="s">
        <v>54</v>
      </c>
      <c r="AW269" s="110"/>
      <c r="AX269" s="138">
        <v>389</v>
      </c>
    </row>
    <row r="270" spans="1:50" ht="21" customHeight="1" x14ac:dyDescent="0.25">
      <c r="A270" s="138">
        <v>270</v>
      </c>
      <c r="B270" s="94"/>
      <c r="C270" s="95" t="s">
        <v>481</v>
      </c>
      <c r="D270" s="95" t="s">
        <v>47</v>
      </c>
      <c r="E270" s="95" t="s">
        <v>456</v>
      </c>
      <c r="F270" s="95" t="s">
        <v>473</v>
      </c>
      <c r="G270" s="97">
        <v>6</v>
      </c>
      <c r="H270" s="97">
        <v>6</v>
      </c>
      <c r="I270" s="97">
        <v>2025</v>
      </c>
      <c r="J270" s="97">
        <v>338</v>
      </c>
      <c r="K270" s="97" t="s">
        <v>463</v>
      </c>
      <c r="L270" s="98" t="s">
        <v>482</v>
      </c>
      <c r="M270" s="97">
        <v>1</v>
      </c>
      <c r="N270" s="97"/>
      <c r="O270" s="98"/>
      <c r="P270" s="99"/>
      <c r="Q270" s="99"/>
      <c r="R270" s="99"/>
      <c r="S270" s="116" t="s">
        <v>162</v>
      </c>
      <c r="T270" s="174">
        <v>596</v>
      </c>
      <c r="U270" s="175">
        <v>2801</v>
      </c>
      <c r="V270" s="100"/>
      <c r="W270" s="117"/>
      <c r="X270" s="117"/>
      <c r="Y270" s="117"/>
      <c r="Z270" s="106" t="s">
        <v>0</v>
      </c>
      <c r="AA270" s="117" t="s">
        <v>58</v>
      </c>
      <c r="AB270" s="117"/>
      <c r="AC270" s="117"/>
      <c r="AD270" s="117"/>
      <c r="AE270" s="119">
        <v>16.8</v>
      </c>
      <c r="AF270" s="112">
        <v>75</v>
      </c>
      <c r="AG270" s="112">
        <v>57</v>
      </c>
      <c r="AH270" s="113">
        <v>66</v>
      </c>
      <c r="AI270" s="118">
        <v>4.7</v>
      </c>
      <c r="AJ270" s="112">
        <v>25</v>
      </c>
      <c r="AK270" s="112">
        <v>18.3</v>
      </c>
      <c r="AL270" s="113"/>
      <c r="AM270" s="113"/>
      <c r="AN270" s="114"/>
      <c r="AO270" s="108"/>
      <c r="AP270" s="108"/>
      <c r="AQ270" s="108"/>
      <c r="AR270" s="109"/>
      <c r="AS270" s="110"/>
      <c r="AT270" s="110"/>
      <c r="AU270" s="110"/>
      <c r="AV270" s="112" t="s">
        <v>54</v>
      </c>
      <c r="AW270" s="110"/>
      <c r="AX270" s="138">
        <v>315</v>
      </c>
    </row>
    <row r="271" spans="1:50" ht="21" customHeight="1" x14ac:dyDescent="0.25">
      <c r="A271" s="138">
        <v>271</v>
      </c>
      <c r="B271" s="94"/>
      <c r="C271" s="95" t="s">
        <v>481</v>
      </c>
      <c r="D271" s="95" t="s">
        <v>47</v>
      </c>
      <c r="E271" s="95" t="s">
        <v>456</v>
      </c>
      <c r="F271" s="95" t="s">
        <v>473</v>
      </c>
      <c r="G271" s="97">
        <v>6</v>
      </c>
      <c r="H271" s="97">
        <v>6</v>
      </c>
      <c r="I271" s="97">
        <v>2025</v>
      </c>
      <c r="J271" s="97">
        <v>338</v>
      </c>
      <c r="K271" s="97" t="s">
        <v>463</v>
      </c>
      <c r="L271" s="98" t="s">
        <v>482</v>
      </c>
      <c r="M271" s="97">
        <v>1</v>
      </c>
      <c r="N271" s="97"/>
      <c r="O271" s="98"/>
      <c r="P271" s="99"/>
      <c r="Q271" s="99"/>
      <c r="R271" s="99"/>
      <c r="S271" s="116" t="s">
        <v>343</v>
      </c>
      <c r="T271" s="174">
        <v>597</v>
      </c>
      <c r="U271" s="175">
        <v>3434</v>
      </c>
      <c r="V271" s="100"/>
      <c r="W271" s="117"/>
      <c r="X271" s="117"/>
      <c r="Y271" s="117"/>
      <c r="Z271" s="106" t="s">
        <v>4</v>
      </c>
      <c r="AA271" s="117" t="s">
        <v>58</v>
      </c>
      <c r="AB271" s="117"/>
      <c r="AC271" s="117"/>
      <c r="AD271" s="117"/>
      <c r="AE271" s="119">
        <v>20</v>
      </c>
      <c r="AF271" s="112">
        <v>60</v>
      </c>
      <c r="AG271" s="112">
        <v>44</v>
      </c>
      <c r="AH271" s="113">
        <v>52</v>
      </c>
      <c r="AI271" s="118">
        <v>4.25</v>
      </c>
      <c r="AJ271" s="112"/>
      <c r="AK271" s="112">
        <v>0</v>
      </c>
      <c r="AL271" s="113"/>
      <c r="AM271" s="106"/>
      <c r="AN271" s="131"/>
      <c r="AO271" s="108"/>
      <c r="AP271" s="108"/>
      <c r="AQ271" s="106"/>
      <c r="AR271" s="106"/>
      <c r="AS271" s="110"/>
      <c r="AT271" s="110"/>
      <c r="AU271" s="110"/>
      <c r="AV271" s="112" t="s">
        <v>54</v>
      </c>
      <c r="AW271" s="110"/>
      <c r="AX271" s="138">
        <v>391</v>
      </c>
    </row>
    <row r="272" spans="1:50" ht="21" customHeight="1" x14ac:dyDescent="0.25">
      <c r="A272" s="138">
        <v>272</v>
      </c>
      <c r="B272" s="94"/>
      <c r="C272" s="95" t="s">
        <v>481</v>
      </c>
      <c r="D272" s="95" t="s">
        <v>47</v>
      </c>
      <c r="E272" s="95" t="s">
        <v>456</v>
      </c>
      <c r="F272" s="95" t="s">
        <v>473</v>
      </c>
      <c r="G272" s="97">
        <v>6</v>
      </c>
      <c r="H272" s="97">
        <v>6</v>
      </c>
      <c r="I272" s="97">
        <v>2025</v>
      </c>
      <c r="J272" s="97">
        <v>338</v>
      </c>
      <c r="K272" s="97" t="s">
        <v>463</v>
      </c>
      <c r="L272" s="98" t="s">
        <v>482</v>
      </c>
      <c r="M272" s="97">
        <v>1</v>
      </c>
      <c r="N272" s="97"/>
      <c r="O272" s="98"/>
      <c r="P272" s="99"/>
      <c r="Q272" s="99"/>
      <c r="R272" s="99"/>
      <c r="S272" s="98" t="s">
        <v>261</v>
      </c>
      <c r="T272" s="174">
        <v>598</v>
      </c>
      <c r="U272" s="94">
        <v>3037</v>
      </c>
      <c r="V272" s="100"/>
      <c r="W272" s="100"/>
      <c r="X272" s="100"/>
      <c r="Y272" s="100"/>
      <c r="Z272" s="101" t="s">
        <v>0</v>
      </c>
      <c r="AA272" s="100" t="s">
        <v>58</v>
      </c>
      <c r="AB272" s="100"/>
      <c r="AC272" s="100"/>
      <c r="AD272" s="100"/>
      <c r="AE272" s="102">
        <v>17.7</v>
      </c>
      <c r="AF272" s="103">
        <v>57</v>
      </c>
      <c r="AG272" s="103">
        <v>47</v>
      </c>
      <c r="AH272" s="104">
        <v>52</v>
      </c>
      <c r="AI272" s="102">
        <v>3.76</v>
      </c>
      <c r="AJ272" s="105"/>
      <c r="AK272" s="105">
        <v>0</v>
      </c>
      <c r="AL272" s="113"/>
      <c r="AM272" s="113"/>
      <c r="AN272" s="114"/>
      <c r="AO272" s="108"/>
      <c r="AP272" s="108"/>
      <c r="AQ272" s="108"/>
      <c r="AR272" s="109"/>
      <c r="AS272" s="110"/>
      <c r="AT272" s="110"/>
      <c r="AU272" s="111"/>
      <c r="AV272" s="112" t="s">
        <v>54</v>
      </c>
      <c r="AW272" s="110"/>
      <c r="AX272" s="138">
        <v>359</v>
      </c>
    </row>
    <row r="273" spans="1:50" ht="21" customHeight="1" x14ac:dyDescent="0.25">
      <c r="A273" s="138">
        <v>273</v>
      </c>
      <c r="B273" s="94"/>
      <c r="C273" s="95" t="s">
        <v>481</v>
      </c>
      <c r="D273" s="95" t="s">
        <v>47</v>
      </c>
      <c r="E273" s="95" t="s">
        <v>456</v>
      </c>
      <c r="F273" s="95" t="s">
        <v>473</v>
      </c>
      <c r="G273" s="97">
        <v>6</v>
      </c>
      <c r="H273" s="97">
        <v>6</v>
      </c>
      <c r="I273" s="97">
        <v>2025</v>
      </c>
      <c r="J273" s="97">
        <v>338</v>
      </c>
      <c r="K273" s="97" t="s">
        <v>463</v>
      </c>
      <c r="L273" s="98" t="s">
        <v>482</v>
      </c>
      <c r="M273" s="97">
        <v>1</v>
      </c>
      <c r="N273" s="97"/>
      <c r="O273" s="98"/>
      <c r="P273" s="99"/>
      <c r="Q273" s="99"/>
      <c r="R273" s="99"/>
      <c r="S273" s="98" t="s">
        <v>249</v>
      </c>
      <c r="T273" s="174">
        <v>599</v>
      </c>
      <c r="U273" s="94">
        <v>3025</v>
      </c>
      <c r="V273" s="100"/>
      <c r="W273" s="100"/>
      <c r="X273" s="100"/>
      <c r="Y273" s="100"/>
      <c r="Z273" s="101" t="s">
        <v>8</v>
      </c>
      <c r="AA273" s="100" t="s">
        <v>58</v>
      </c>
      <c r="AB273" s="100"/>
      <c r="AC273" s="100"/>
      <c r="AD273" s="100"/>
      <c r="AE273" s="102">
        <v>19.7</v>
      </c>
      <c r="AF273" s="103">
        <v>50</v>
      </c>
      <c r="AG273" s="103">
        <v>40</v>
      </c>
      <c r="AH273" s="104">
        <v>45</v>
      </c>
      <c r="AI273" s="102">
        <v>3.13</v>
      </c>
      <c r="AJ273" s="105"/>
      <c r="AK273" s="105">
        <v>0</v>
      </c>
      <c r="AL273" s="113"/>
      <c r="AM273" s="113"/>
      <c r="AN273" s="114"/>
      <c r="AO273" s="108"/>
      <c r="AP273" s="108"/>
      <c r="AQ273" s="106"/>
      <c r="AR273" s="106"/>
      <c r="AS273" s="110"/>
      <c r="AT273" s="110"/>
      <c r="AU273" s="111"/>
      <c r="AV273" s="112" t="s">
        <v>54</v>
      </c>
      <c r="AW273" s="110"/>
      <c r="AX273" s="138">
        <v>353</v>
      </c>
    </row>
    <row r="274" spans="1:50" ht="21" customHeight="1" x14ac:dyDescent="0.25">
      <c r="A274" s="138">
        <v>274</v>
      </c>
      <c r="B274" s="94"/>
      <c r="C274" s="95" t="s">
        <v>481</v>
      </c>
      <c r="D274" s="95" t="s">
        <v>47</v>
      </c>
      <c r="E274" s="95" t="s">
        <v>456</v>
      </c>
      <c r="F274" s="95" t="s">
        <v>473</v>
      </c>
      <c r="G274" s="97">
        <v>6</v>
      </c>
      <c r="H274" s="97">
        <v>6</v>
      </c>
      <c r="I274" s="97">
        <v>2025</v>
      </c>
      <c r="J274" s="97">
        <v>338</v>
      </c>
      <c r="K274" s="97" t="s">
        <v>463</v>
      </c>
      <c r="L274" s="98" t="s">
        <v>482</v>
      </c>
      <c r="M274" s="97">
        <v>1</v>
      </c>
      <c r="N274" s="97"/>
      <c r="O274" s="98"/>
      <c r="P274" s="99"/>
      <c r="Q274" s="99"/>
      <c r="R274" s="99"/>
      <c r="S274" s="98" t="s">
        <v>292</v>
      </c>
      <c r="T274" s="174">
        <v>600</v>
      </c>
      <c r="U274" s="94">
        <v>3213</v>
      </c>
      <c r="V274" s="100"/>
      <c r="W274" s="100"/>
      <c r="X274" s="100"/>
      <c r="Y274" s="100"/>
      <c r="Z274" s="101" t="s">
        <v>0</v>
      </c>
      <c r="AA274" s="100" t="s">
        <v>58</v>
      </c>
      <c r="AB274" s="100"/>
      <c r="AC274" s="100"/>
      <c r="AD274" s="100"/>
      <c r="AE274" s="102">
        <v>18</v>
      </c>
      <c r="AF274" s="103">
        <v>52</v>
      </c>
      <c r="AG274" s="103">
        <v>34</v>
      </c>
      <c r="AH274" s="104">
        <v>43</v>
      </c>
      <c r="AI274" s="102">
        <v>2.61</v>
      </c>
      <c r="AJ274" s="105"/>
      <c r="AK274" s="105">
        <v>0</v>
      </c>
      <c r="AL274" s="113"/>
      <c r="AM274" s="113"/>
      <c r="AN274" s="114"/>
      <c r="AO274" s="108"/>
      <c r="AP274" s="108"/>
      <c r="AQ274" s="108"/>
      <c r="AR274" s="109"/>
      <c r="AS274" s="110"/>
      <c r="AT274" s="110"/>
      <c r="AU274" s="111"/>
      <c r="AV274" s="112" t="s">
        <v>54</v>
      </c>
      <c r="AW274" s="110"/>
      <c r="AX274" s="138">
        <v>371</v>
      </c>
    </row>
    <row r="275" spans="1:50" ht="21" customHeight="1" x14ac:dyDescent="0.25">
      <c r="A275" s="138">
        <v>275</v>
      </c>
      <c r="B275" s="94"/>
      <c r="C275" s="95" t="s">
        <v>481</v>
      </c>
      <c r="D275" s="95" t="s">
        <v>47</v>
      </c>
      <c r="E275" s="95" t="s">
        <v>456</v>
      </c>
      <c r="F275" s="95" t="s">
        <v>473</v>
      </c>
      <c r="G275" s="97">
        <v>6</v>
      </c>
      <c r="H275" s="97">
        <v>6</v>
      </c>
      <c r="I275" s="97">
        <v>2025</v>
      </c>
      <c r="J275" s="97">
        <v>338</v>
      </c>
      <c r="K275" s="97" t="s">
        <v>463</v>
      </c>
      <c r="L275" s="98" t="s">
        <v>482</v>
      </c>
      <c r="M275" s="97">
        <v>1</v>
      </c>
      <c r="N275" s="97"/>
      <c r="O275" s="98"/>
      <c r="P275" s="99"/>
      <c r="Q275" s="99"/>
      <c r="R275" s="99"/>
      <c r="S275" s="116" t="s">
        <v>274</v>
      </c>
      <c r="T275" s="174">
        <v>601</v>
      </c>
      <c r="U275" s="175">
        <v>3052</v>
      </c>
      <c r="V275" s="100"/>
      <c r="W275" s="117"/>
      <c r="X275" s="117"/>
      <c r="Y275" s="117"/>
      <c r="Z275" s="106" t="s">
        <v>0</v>
      </c>
      <c r="AA275" s="117" t="s">
        <v>58</v>
      </c>
      <c r="AB275" s="117"/>
      <c r="AC275" s="117"/>
      <c r="AD275" s="117"/>
      <c r="AE275" s="118">
        <v>12.3</v>
      </c>
      <c r="AF275" s="112">
        <v>52</v>
      </c>
      <c r="AG275" s="112">
        <v>42</v>
      </c>
      <c r="AH275" s="113">
        <v>47</v>
      </c>
      <c r="AI275" s="119">
        <v>2.13</v>
      </c>
      <c r="AJ275" s="120"/>
      <c r="AK275" s="120">
        <v>0</v>
      </c>
      <c r="AL275" s="113">
        <v>1</v>
      </c>
      <c r="AM275" s="113">
        <f>COUNT(AI264:AI275)</f>
        <v>12</v>
      </c>
      <c r="AN275" s="115">
        <f>SUM(AI264:AI275)</f>
        <v>46.300000000000004</v>
      </c>
      <c r="AO275" s="113"/>
      <c r="AP275" s="113"/>
      <c r="AQ275" s="108"/>
      <c r="AR275" s="109"/>
      <c r="AS275" s="110"/>
      <c r="AT275" s="110"/>
      <c r="AU275" s="110"/>
      <c r="AV275" s="112" t="s">
        <v>54</v>
      </c>
      <c r="AW275" s="110"/>
      <c r="AX275" s="138">
        <v>362</v>
      </c>
    </row>
    <row r="276" spans="1:50" ht="21" customHeight="1" x14ac:dyDescent="0.25">
      <c r="A276" s="138">
        <v>276</v>
      </c>
      <c r="B276" s="94">
        <v>30</v>
      </c>
      <c r="C276" s="95" t="s">
        <v>472</v>
      </c>
      <c r="D276" s="95" t="s">
        <v>47</v>
      </c>
      <c r="E276" s="95" t="s">
        <v>48</v>
      </c>
      <c r="F276" s="95" t="s">
        <v>473</v>
      </c>
      <c r="G276" s="97">
        <v>6</v>
      </c>
      <c r="H276" s="97">
        <v>6</v>
      </c>
      <c r="I276" s="97">
        <v>2025</v>
      </c>
      <c r="J276" s="97">
        <v>332</v>
      </c>
      <c r="K276" s="97" t="s">
        <v>483</v>
      </c>
      <c r="L276" s="98" t="s">
        <v>460</v>
      </c>
      <c r="M276" s="97">
        <v>1</v>
      </c>
      <c r="N276" s="97"/>
      <c r="O276" s="98"/>
      <c r="P276" s="99"/>
      <c r="Q276" s="99"/>
      <c r="R276" s="99"/>
      <c r="S276" s="98" t="s">
        <v>419</v>
      </c>
      <c r="T276" s="174">
        <v>602</v>
      </c>
      <c r="U276" s="94">
        <v>3695</v>
      </c>
      <c r="V276" s="100"/>
      <c r="W276" s="100"/>
      <c r="X276" s="100"/>
      <c r="Y276" s="100"/>
      <c r="Z276" s="101" t="s">
        <v>0</v>
      </c>
      <c r="AA276" s="100" t="s">
        <v>58</v>
      </c>
      <c r="AB276" s="100"/>
      <c r="AC276" s="100"/>
      <c r="AD276" s="100"/>
      <c r="AE276" s="102">
        <v>20.9</v>
      </c>
      <c r="AF276" s="103">
        <v>60</v>
      </c>
      <c r="AG276" s="103">
        <v>44</v>
      </c>
      <c r="AH276" s="104">
        <v>52</v>
      </c>
      <c r="AI276" s="102">
        <v>4.4400000000000004</v>
      </c>
      <c r="AJ276" s="105"/>
      <c r="AK276" s="105">
        <v>0</v>
      </c>
      <c r="AL276" s="113"/>
      <c r="AM276" s="106"/>
      <c r="AN276" s="114"/>
      <c r="AO276" s="108"/>
      <c r="AP276" s="108"/>
      <c r="AQ276" s="108"/>
      <c r="AR276" s="109"/>
      <c r="AS276" s="110"/>
      <c r="AT276" s="110"/>
      <c r="AU276" s="111"/>
      <c r="AV276" s="112" t="s">
        <v>54</v>
      </c>
      <c r="AW276" s="110"/>
      <c r="AX276" s="138">
        <v>404</v>
      </c>
    </row>
    <row r="277" spans="1:50" ht="21" customHeight="1" x14ac:dyDescent="0.25">
      <c r="A277" s="138">
        <v>277</v>
      </c>
      <c r="B277" s="94"/>
      <c r="C277" s="95" t="s">
        <v>472</v>
      </c>
      <c r="D277" s="95" t="s">
        <v>47</v>
      </c>
      <c r="E277" s="95" t="s">
        <v>48</v>
      </c>
      <c r="F277" s="95" t="s">
        <v>473</v>
      </c>
      <c r="G277" s="97">
        <v>6</v>
      </c>
      <c r="H277" s="97">
        <v>6</v>
      </c>
      <c r="I277" s="97">
        <v>2025</v>
      </c>
      <c r="J277" s="97">
        <v>332</v>
      </c>
      <c r="K277" s="97" t="s">
        <v>483</v>
      </c>
      <c r="L277" s="98" t="s">
        <v>460</v>
      </c>
      <c r="M277" s="97">
        <v>1</v>
      </c>
      <c r="N277" s="97"/>
      <c r="O277" s="98"/>
      <c r="P277" s="99"/>
      <c r="Q277" s="99"/>
      <c r="R277" s="99"/>
      <c r="S277" s="98" t="s">
        <v>424</v>
      </c>
      <c r="T277" s="174">
        <v>603</v>
      </c>
      <c r="U277" s="94">
        <v>3706</v>
      </c>
      <c r="V277" s="100"/>
      <c r="W277" s="100"/>
      <c r="X277" s="100"/>
      <c r="Y277" s="100"/>
      <c r="Z277" s="101" t="s">
        <v>0</v>
      </c>
      <c r="AA277" s="100" t="s">
        <v>58</v>
      </c>
      <c r="AB277" s="100"/>
      <c r="AC277" s="100"/>
      <c r="AD277" s="100"/>
      <c r="AE277" s="121">
        <v>16.899999999999999</v>
      </c>
      <c r="AF277" s="103">
        <v>75</v>
      </c>
      <c r="AG277" s="103">
        <v>60</v>
      </c>
      <c r="AH277" s="104">
        <v>67</v>
      </c>
      <c r="AI277" s="102">
        <v>5.71</v>
      </c>
      <c r="AJ277" s="105">
        <v>12</v>
      </c>
      <c r="AK277" s="105">
        <v>4.0999999999999996</v>
      </c>
      <c r="AL277" s="113"/>
      <c r="AM277" s="106"/>
      <c r="AN277" s="114"/>
      <c r="AO277" s="108"/>
      <c r="AP277" s="108"/>
      <c r="AQ277" s="108"/>
      <c r="AR277" s="109"/>
      <c r="AS277" s="110"/>
      <c r="AT277" s="110"/>
      <c r="AU277" s="111"/>
      <c r="AV277" s="112" t="s">
        <v>54</v>
      </c>
      <c r="AW277" s="110"/>
      <c r="AX277" s="138">
        <v>407</v>
      </c>
    </row>
    <row r="278" spans="1:50" ht="21" customHeight="1" x14ac:dyDescent="0.25">
      <c r="A278" s="138">
        <v>278</v>
      </c>
      <c r="B278" s="94"/>
      <c r="C278" s="95" t="s">
        <v>472</v>
      </c>
      <c r="D278" s="95" t="s">
        <v>47</v>
      </c>
      <c r="E278" s="95" t="s">
        <v>48</v>
      </c>
      <c r="F278" s="95" t="s">
        <v>473</v>
      </c>
      <c r="G278" s="97">
        <v>6</v>
      </c>
      <c r="H278" s="97">
        <v>6</v>
      </c>
      <c r="I278" s="97">
        <v>2025</v>
      </c>
      <c r="J278" s="97">
        <v>332</v>
      </c>
      <c r="K278" s="97" t="s">
        <v>483</v>
      </c>
      <c r="L278" s="98" t="s">
        <v>460</v>
      </c>
      <c r="M278" s="97">
        <v>1</v>
      </c>
      <c r="N278" s="97"/>
      <c r="O278" s="98"/>
      <c r="P278" s="99"/>
      <c r="Q278" s="99"/>
      <c r="R278" s="99"/>
      <c r="S278" s="116" t="s">
        <v>215</v>
      </c>
      <c r="T278" s="174">
        <v>604</v>
      </c>
      <c r="U278" s="175">
        <v>2900</v>
      </c>
      <c r="V278" s="100"/>
      <c r="W278" s="117"/>
      <c r="X278" s="117"/>
      <c r="Y278" s="117"/>
      <c r="Z278" s="106" t="s">
        <v>5</v>
      </c>
      <c r="AA278" s="117" t="s">
        <v>58</v>
      </c>
      <c r="AB278" s="117"/>
      <c r="AC278" s="117"/>
      <c r="AD278" s="117"/>
      <c r="AE278" s="119">
        <v>17.8</v>
      </c>
      <c r="AF278" s="112">
        <v>102</v>
      </c>
      <c r="AG278" s="112">
        <v>72</v>
      </c>
      <c r="AH278" s="113">
        <v>87</v>
      </c>
      <c r="AI278" s="118">
        <v>9.56</v>
      </c>
      <c r="AJ278" s="112">
        <v>24</v>
      </c>
      <c r="AK278" s="112">
        <v>9.6999999999999993</v>
      </c>
      <c r="AL278" s="113"/>
      <c r="AM278" s="113"/>
      <c r="AN278" s="115"/>
      <c r="AO278" s="113"/>
      <c r="AP278" s="113"/>
      <c r="AQ278" s="108"/>
      <c r="AR278" s="109"/>
      <c r="AS278" s="110"/>
      <c r="AT278" s="110"/>
      <c r="AU278" s="110"/>
      <c r="AV278" s="112" t="s">
        <v>54</v>
      </c>
      <c r="AW278" s="110"/>
      <c r="AX278" s="138">
        <v>335</v>
      </c>
    </row>
    <row r="279" spans="1:50" ht="21" customHeight="1" x14ac:dyDescent="0.25">
      <c r="A279" s="138">
        <v>279</v>
      </c>
      <c r="B279" s="94"/>
      <c r="C279" s="95" t="s">
        <v>472</v>
      </c>
      <c r="D279" s="95" t="s">
        <v>47</v>
      </c>
      <c r="E279" s="95" t="s">
        <v>48</v>
      </c>
      <c r="F279" s="95" t="s">
        <v>473</v>
      </c>
      <c r="G279" s="97">
        <v>6</v>
      </c>
      <c r="H279" s="97">
        <v>6</v>
      </c>
      <c r="I279" s="97">
        <v>2025</v>
      </c>
      <c r="J279" s="97">
        <v>332</v>
      </c>
      <c r="K279" s="97" t="s">
        <v>483</v>
      </c>
      <c r="L279" s="98" t="s">
        <v>460</v>
      </c>
      <c r="M279" s="97">
        <v>1</v>
      </c>
      <c r="N279" s="97"/>
      <c r="O279" s="98"/>
      <c r="P279" s="99"/>
      <c r="Q279" s="99"/>
      <c r="R279" s="99"/>
      <c r="S279" s="98" t="s">
        <v>417</v>
      </c>
      <c r="T279" s="174">
        <v>605</v>
      </c>
      <c r="U279" s="94">
        <v>3663</v>
      </c>
      <c r="V279" s="100"/>
      <c r="W279" s="100"/>
      <c r="X279" s="100"/>
      <c r="Y279" s="100"/>
      <c r="Z279" s="101" t="s">
        <v>5</v>
      </c>
      <c r="AA279" s="100" t="s">
        <v>58</v>
      </c>
      <c r="AB279" s="100"/>
      <c r="AC279" s="100"/>
      <c r="AD279" s="100"/>
      <c r="AE279" s="102">
        <v>10.1</v>
      </c>
      <c r="AF279" s="103">
        <v>68</v>
      </c>
      <c r="AG279" s="103">
        <v>56</v>
      </c>
      <c r="AH279" s="104">
        <v>62</v>
      </c>
      <c r="AI279" s="102">
        <v>3.05</v>
      </c>
      <c r="AJ279" s="105"/>
      <c r="AK279" s="105">
        <v>0</v>
      </c>
      <c r="AL279" s="113"/>
      <c r="AM279" s="106"/>
      <c r="AN279" s="114"/>
      <c r="AO279" s="108"/>
      <c r="AP279" s="108"/>
      <c r="AQ279" s="108"/>
      <c r="AR279" s="109"/>
      <c r="AS279" s="110"/>
      <c r="AT279" s="110"/>
      <c r="AU279" s="111"/>
      <c r="AV279" s="112" t="s">
        <v>54</v>
      </c>
      <c r="AW279" s="110"/>
      <c r="AX279" s="138">
        <v>403</v>
      </c>
    </row>
    <row r="280" spans="1:50" ht="21" customHeight="1" x14ac:dyDescent="0.25">
      <c r="A280" s="138">
        <v>280</v>
      </c>
      <c r="B280" s="94"/>
      <c r="C280" s="95" t="s">
        <v>472</v>
      </c>
      <c r="D280" s="95" t="s">
        <v>47</v>
      </c>
      <c r="E280" s="95" t="s">
        <v>48</v>
      </c>
      <c r="F280" s="95" t="s">
        <v>473</v>
      </c>
      <c r="G280" s="97">
        <v>6</v>
      </c>
      <c r="H280" s="97">
        <v>6</v>
      </c>
      <c r="I280" s="97">
        <v>2025</v>
      </c>
      <c r="J280" s="97">
        <v>332</v>
      </c>
      <c r="K280" s="97" t="s">
        <v>483</v>
      </c>
      <c r="L280" s="98" t="s">
        <v>460</v>
      </c>
      <c r="M280" s="97">
        <v>1</v>
      </c>
      <c r="N280" s="97"/>
      <c r="O280" s="95"/>
      <c r="P280" s="99"/>
      <c r="Q280" s="99"/>
      <c r="R280" s="99"/>
      <c r="S280" s="95" t="s">
        <v>237</v>
      </c>
      <c r="T280" s="174">
        <v>606</v>
      </c>
      <c r="U280" s="94">
        <v>3013</v>
      </c>
      <c r="V280" s="100"/>
      <c r="W280" s="100"/>
      <c r="X280" s="100"/>
      <c r="Y280" s="100"/>
      <c r="Z280" s="122" t="s">
        <v>0</v>
      </c>
      <c r="AA280" s="100" t="s">
        <v>58</v>
      </c>
      <c r="AB280" s="100"/>
      <c r="AC280" s="100"/>
      <c r="AD280" s="100"/>
      <c r="AE280" s="102">
        <v>14.1</v>
      </c>
      <c r="AF280" s="105">
        <v>60</v>
      </c>
      <c r="AG280" s="105">
        <v>50</v>
      </c>
      <c r="AH280" s="127">
        <v>55</v>
      </c>
      <c r="AI280" s="102">
        <v>2.89</v>
      </c>
      <c r="AJ280" s="105">
        <v>18</v>
      </c>
      <c r="AK280" s="105">
        <v>13.6</v>
      </c>
      <c r="AL280" s="108"/>
      <c r="AM280" s="108"/>
      <c r="AN280" s="114"/>
      <c r="AO280" s="108"/>
      <c r="AP280" s="108"/>
      <c r="AQ280" s="108"/>
      <c r="AR280" s="109"/>
      <c r="AS280" s="128"/>
      <c r="AT280" s="128"/>
      <c r="AU280" s="125"/>
      <c r="AV280" s="112" t="s">
        <v>54</v>
      </c>
      <c r="AW280" s="128"/>
      <c r="AX280" s="138">
        <v>345</v>
      </c>
    </row>
    <row r="281" spans="1:50" ht="21" customHeight="1" x14ac:dyDescent="0.25">
      <c r="A281" s="138">
        <v>281</v>
      </c>
      <c r="B281" s="94"/>
      <c r="C281" s="95" t="s">
        <v>472</v>
      </c>
      <c r="D281" s="95" t="s">
        <v>47</v>
      </c>
      <c r="E281" s="95" t="s">
        <v>48</v>
      </c>
      <c r="F281" s="95" t="s">
        <v>473</v>
      </c>
      <c r="G281" s="97">
        <v>6</v>
      </c>
      <c r="H281" s="97">
        <v>6</v>
      </c>
      <c r="I281" s="97">
        <v>2025</v>
      </c>
      <c r="J281" s="97">
        <v>332</v>
      </c>
      <c r="K281" s="97" t="s">
        <v>483</v>
      </c>
      <c r="L281" s="98" t="s">
        <v>460</v>
      </c>
      <c r="M281" s="97">
        <v>1</v>
      </c>
      <c r="N281" s="97"/>
      <c r="O281" s="98"/>
      <c r="P281" s="99"/>
      <c r="Q281" s="99"/>
      <c r="R281" s="99"/>
      <c r="S281" s="116" t="s">
        <v>220</v>
      </c>
      <c r="T281" s="174">
        <v>607</v>
      </c>
      <c r="U281" s="175">
        <v>2905</v>
      </c>
      <c r="V281" s="100"/>
      <c r="W281" s="117"/>
      <c r="X281" s="117"/>
      <c r="Y281" s="117"/>
      <c r="Z281" s="106" t="s">
        <v>5</v>
      </c>
      <c r="AA281" s="117" t="s">
        <v>58</v>
      </c>
      <c r="AB281" s="117"/>
      <c r="AC281" s="117"/>
      <c r="AD281" s="117"/>
      <c r="AE281" s="118">
        <v>20</v>
      </c>
      <c r="AF281" s="112">
        <v>64</v>
      </c>
      <c r="AG281" s="112">
        <v>46</v>
      </c>
      <c r="AH281" s="113">
        <v>55</v>
      </c>
      <c r="AI281" s="119">
        <v>3.6</v>
      </c>
      <c r="AJ281" s="120"/>
      <c r="AK281" s="120">
        <v>0</v>
      </c>
      <c r="AL281" s="113"/>
      <c r="AM281" s="113"/>
      <c r="AN281" s="115"/>
      <c r="AO281" s="113"/>
      <c r="AP281" s="113"/>
      <c r="AQ281" s="108"/>
      <c r="AR281" s="109"/>
      <c r="AS281" s="110"/>
      <c r="AT281" s="110"/>
      <c r="AU281" s="110"/>
      <c r="AV281" s="112" t="s">
        <v>54</v>
      </c>
      <c r="AW281" s="110"/>
      <c r="AX281" s="138">
        <v>338</v>
      </c>
    </row>
    <row r="282" spans="1:50" ht="21" customHeight="1" x14ac:dyDescent="0.25">
      <c r="A282" s="138">
        <v>282</v>
      </c>
      <c r="B282" s="94"/>
      <c r="C282" s="95" t="s">
        <v>472</v>
      </c>
      <c r="D282" s="95" t="s">
        <v>47</v>
      </c>
      <c r="E282" s="95" t="s">
        <v>48</v>
      </c>
      <c r="F282" s="95" t="s">
        <v>473</v>
      </c>
      <c r="G282" s="97">
        <v>6</v>
      </c>
      <c r="H282" s="97">
        <v>6</v>
      </c>
      <c r="I282" s="97">
        <v>2025</v>
      </c>
      <c r="J282" s="97">
        <v>332</v>
      </c>
      <c r="K282" s="97" t="s">
        <v>483</v>
      </c>
      <c r="L282" s="98" t="s">
        <v>460</v>
      </c>
      <c r="M282" s="97">
        <v>1</v>
      </c>
      <c r="N282" s="97"/>
      <c r="O282" s="98"/>
      <c r="P282" s="99"/>
      <c r="Q282" s="99"/>
      <c r="R282" s="99"/>
      <c r="S282" s="116" t="s">
        <v>290</v>
      </c>
      <c r="T282" s="174">
        <v>608</v>
      </c>
      <c r="U282" s="175">
        <v>3211</v>
      </c>
      <c r="V282" s="100"/>
      <c r="W282" s="117"/>
      <c r="X282" s="117"/>
      <c r="Y282" s="117"/>
      <c r="Z282" s="106" t="s">
        <v>0</v>
      </c>
      <c r="AA282" s="117" t="s">
        <v>58</v>
      </c>
      <c r="AB282" s="117"/>
      <c r="AC282" s="117"/>
      <c r="AD282" s="117"/>
      <c r="AE282" s="118">
        <v>16.7</v>
      </c>
      <c r="AF282" s="112">
        <v>72</v>
      </c>
      <c r="AG282" s="112">
        <v>50</v>
      </c>
      <c r="AH282" s="113">
        <v>61</v>
      </c>
      <c r="AI282" s="119">
        <v>4.88</v>
      </c>
      <c r="AJ282" s="120"/>
      <c r="AK282" s="120">
        <v>0</v>
      </c>
      <c r="AL282" s="113"/>
      <c r="AM282" s="113"/>
      <c r="AN282" s="114"/>
      <c r="AO282" s="108"/>
      <c r="AP282" s="108"/>
      <c r="AQ282" s="108"/>
      <c r="AR282" s="109"/>
      <c r="AS282" s="110"/>
      <c r="AT282" s="110"/>
      <c r="AU282" s="110"/>
      <c r="AV282" s="112" t="s">
        <v>54</v>
      </c>
      <c r="AW282" s="110"/>
      <c r="AX282" s="138">
        <v>369</v>
      </c>
    </row>
    <row r="283" spans="1:50" ht="21" customHeight="1" x14ac:dyDescent="0.25">
      <c r="A283" s="138">
        <v>283</v>
      </c>
      <c r="B283" s="94"/>
      <c r="C283" s="95" t="s">
        <v>472</v>
      </c>
      <c r="D283" s="95" t="s">
        <v>47</v>
      </c>
      <c r="E283" s="95" t="s">
        <v>48</v>
      </c>
      <c r="F283" s="95" t="s">
        <v>473</v>
      </c>
      <c r="G283" s="97">
        <v>6</v>
      </c>
      <c r="H283" s="97">
        <v>6</v>
      </c>
      <c r="I283" s="97">
        <v>2025</v>
      </c>
      <c r="J283" s="97">
        <v>332</v>
      </c>
      <c r="K283" s="97" t="s">
        <v>483</v>
      </c>
      <c r="L283" s="98" t="s">
        <v>460</v>
      </c>
      <c r="M283" s="97">
        <v>1</v>
      </c>
      <c r="N283" s="97"/>
      <c r="O283" s="95"/>
      <c r="P283" s="99"/>
      <c r="Q283" s="99"/>
      <c r="R283" s="99"/>
      <c r="S283" s="95" t="s">
        <v>195</v>
      </c>
      <c r="T283" s="174">
        <v>609</v>
      </c>
      <c r="U283" s="94">
        <v>2852</v>
      </c>
      <c r="V283" s="100"/>
      <c r="W283" s="100"/>
      <c r="X283" s="100"/>
      <c r="Y283" s="100"/>
      <c r="Z283" s="122" t="s">
        <v>5</v>
      </c>
      <c r="AA283" s="100" t="s">
        <v>58</v>
      </c>
      <c r="AB283" s="123"/>
      <c r="AC283" s="123"/>
      <c r="AD283" s="123"/>
      <c r="AE283" s="124">
        <v>20.5</v>
      </c>
      <c r="AF283" s="125">
        <v>62</v>
      </c>
      <c r="AG283" s="125">
        <v>50</v>
      </c>
      <c r="AH283" s="122">
        <v>56</v>
      </c>
      <c r="AI283" s="124">
        <v>5.05</v>
      </c>
      <c r="AJ283" s="125"/>
      <c r="AK283" s="126">
        <v>0</v>
      </c>
      <c r="AL283" s="122"/>
      <c r="AM283" s="122"/>
      <c r="AN283" s="124"/>
      <c r="AO283" s="122"/>
      <c r="AP283" s="122"/>
      <c r="AQ283" s="122"/>
      <c r="AR283" s="122"/>
      <c r="AS283" s="125"/>
      <c r="AT283" s="125"/>
      <c r="AU283" s="125"/>
      <c r="AV283" s="112" t="s">
        <v>54</v>
      </c>
      <c r="AW283" s="125"/>
      <c r="AX283" s="138">
        <v>320</v>
      </c>
    </row>
    <row r="284" spans="1:50" ht="21" customHeight="1" x14ac:dyDescent="0.25">
      <c r="A284" s="138">
        <v>284</v>
      </c>
      <c r="B284" s="94"/>
      <c r="C284" s="95" t="s">
        <v>472</v>
      </c>
      <c r="D284" s="95" t="s">
        <v>47</v>
      </c>
      <c r="E284" s="95" t="s">
        <v>48</v>
      </c>
      <c r="F284" s="95" t="s">
        <v>473</v>
      </c>
      <c r="G284" s="97">
        <v>6</v>
      </c>
      <c r="H284" s="97">
        <v>6</v>
      </c>
      <c r="I284" s="97">
        <v>2025</v>
      </c>
      <c r="J284" s="97">
        <v>332</v>
      </c>
      <c r="K284" s="97" t="s">
        <v>483</v>
      </c>
      <c r="L284" s="98" t="s">
        <v>460</v>
      </c>
      <c r="M284" s="97">
        <v>1</v>
      </c>
      <c r="N284" s="97"/>
      <c r="O284" s="98"/>
      <c r="P284" s="99"/>
      <c r="Q284" s="99"/>
      <c r="R284" s="99"/>
      <c r="S284" s="98" t="s">
        <v>284</v>
      </c>
      <c r="T284" s="174">
        <v>610</v>
      </c>
      <c r="U284" s="94">
        <v>3205</v>
      </c>
      <c r="V284" s="100"/>
      <c r="W284" s="100"/>
      <c r="X284" s="100"/>
      <c r="Y284" s="100"/>
      <c r="Z284" s="101" t="s">
        <v>3</v>
      </c>
      <c r="AA284" s="100" t="s">
        <v>58</v>
      </c>
      <c r="AB284" s="100"/>
      <c r="AC284" s="100"/>
      <c r="AD284" s="100"/>
      <c r="AE284" s="102">
        <v>14.8</v>
      </c>
      <c r="AF284" s="103">
        <v>70</v>
      </c>
      <c r="AG284" s="103">
        <v>54</v>
      </c>
      <c r="AH284" s="104">
        <v>62</v>
      </c>
      <c r="AI284" s="102">
        <v>4.47</v>
      </c>
      <c r="AJ284" s="105"/>
      <c r="AK284" s="105">
        <v>0</v>
      </c>
      <c r="AL284" s="113">
        <v>2</v>
      </c>
      <c r="AM284" s="113">
        <f>COUNT(AI276:AI284)</f>
        <v>9</v>
      </c>
      <c r="AN284" s="115">
        <f>SUM(AI276:AI284)</f>
        <v>43.65</v>
      </c>
      <c r="AO284" s="113"/>
      <c r="AP284" s="113"/>
      <c r="AQ284" s="108"/>
      <c r="AR284" s="109"/>
      <c r="AS284" s="110"/>
      <c r="AT284" s="110"/>
      <c r="AU284" s="111"/>
      <c r="AV284" s="112" t="s">
        <v>54</v>
      </c>
      <c r="AW284" s="110"/>
      <c r="AX284" s="138">
        <v>368</v>
      </c>
    </row>
    <row r="285" spans="1:50" ht="21" customHeight="1" x14ac:dyDescent="0.25">
      <c r="A285" s="138">
        <v>285</v>
      </c>
      <c r="B285" s="94">
        <v>31</v>
      </c>
      <c r="C285" s="95" t="s">
        <v>481</v>
      </c>
      <c r="D285" s="95" t="s">
        <v>47</v>
      </c>
      <c r="E285" s="95" t="s">
        <v>48</v>
      </c>
      <c r="F285" s="95" t="s">
        <v>473</v>
      </c>
      <c r="G285" s="97">
        <v>6</v>
      </c>
      <c r="H285" s="97">
        <v>6</v>
      </c>
      <c r="I285" s="97">
        <v>2025</v>
      </c>
      <c r="J285" s="97">
        <v>339</v>
      </c>
      <c r="K285" s="97" t="s">
        <v>461</v>
      </c>
      <c r="L285" s="98" t="s">
        <v>462</v>
      </c>
      <c r="M285" s="97">
        <v>1</v>
      </c>
      <c r="N285" s="97"/>
      <c r="O285" s="98"/>
      <c r="P285" s="99"/>
      <c r="Q285" s="99"/>
      <c r="R285" s="99"/>
      <c r="S285" s="98" t="s">
        <v>216</v>
      </c>
      <c r="T285" s="174">
        <v>611</v>
      </c>
      <c r="U285" s="94">
        <v>2901</v>
      </c>
      <c r="V285" s="100"/>
      <c r="W285" s="100"/>
      <c r="X285" s="100"/>
      <c r="Y285" s="100"/>
      <c r="Z285" s="101" t="s">
        <v>0</v>
      </c>
      <c r="AA285" s="100" t="s">
        <v>58</v>
      </c>
      <c r="AB285" s="100"/>
      <c r="AC285" s="100"/>
      <c r="AD285" s="100"/>
      <c r="AE285" s="102">
        <v>17.5</v>
      </c>
      <c r="AF285" s="103">
        <v>65</v>
      </c>
      <c r="AG285" s="103">
        <v>46</v>
      </c>
      <c r="AH285" s="104">
        <v>55</v>
      </c>
      <c r="AI285" s="102">
        <v>4.16</v>
      </c>
      <c r="AJ285" s="105"/>
      <c r="AK285" s="105">
        <v>0</v>
      </c>
      <c r="AL285" s="113"/>
      <c r="AM285" s="113"/>
      <c r="AN285" s="114"/>
      <c r="AO285" s="108"/>
      <c r="AP285" s="108"/>
      <c r="AQ285" s="106"/>
      <c r="AR285" s="106"/>
      <c r="AS285" s="110"/>
      <c r="AT285" s="110"/>
      <c r="AU285" s="111"/>
      <c r="AV285" s="112" t="s">
        <v>54</v>
      </c>
      <c r="AW285" s="110"/>
      <c r="AX285" s="138">
        <v>336</v>
      </c>
    </row>
    <row r="286" spans="1:50" ht="21" customHeight="1" x14ac:dyDescent="0.25">
      <c r="A286" s="138">
        <v>286</v>
      </c>
      <c r="B286" s="94"/>
      <c r="C286" s="95" t="s">
        <v>481</v>
      </c>
      <c r="D286" s="95" t="s">
        <v>47</v>
      </c>
      <c r="E286" s="95" t="s">
        <v>48</v>
      </c>
      <c r="F286" s="95" t="s">
        <v>473</v>
      </c>
      <c r="G286" s="97">
        <v>6</v>
      </c>
      <c r="H286" s="97">
        <v>6</v>
      </c>
      <c r="I286" s="97">
        <v>2025</v>
      </c>
      <c r="J286" s="97">
        <v>339</v>
      </c>
      <c r="K286" s="97" t="s">
        <v>461</v>
      </c>
      <c r="L286" s="98" t="s">
        <v>462</v>
      </c>
      <c r="M286" s="97">
        <v>1</v>
      </c>
      <c r="N286" s="97"/>
      <c r="O286" s="98"/>
      <c r="P286" s="99"/>
      <c r="Q286" s="99"/>
      <c r="R286" s="99"/>
      <c r="S286" s="98" t="s">
        <v>207</v>
      </c>
      <c r="T286" s="174">
        <v>612</v>
      </c>
      <c r="U286" s="94">
        <v>2891</v>
      </c>
      <c r="V286" s="100"/>
      <c r="W286" s="100"/>
      <c r="X286" s="100"/>
      <c r="Y286" s="100"/>
      <c r="Z286" s="101" t="s">
        <v>0</v>
      </c>
      <c r="AA286" s="100" t="s">
        <v>58</v>
      </c>
      <c r="AB286" s="100"/>
      <c r="AC286" s="100"/>
      <c r="AD286" s="100"/>
      <c r="AE286" s="102">
        <v>15.5</v>
      </c>
      <c r="AF286" s="103">
        <v>59</v>
      </c>
      <c r="AG286" s="103">
        <v>45</v>
      </c>
      <c r="AH286" s="104">
        <v>52</v>
      </c>
      <c r="AI286" s="102">
        <v>3.29</v>
      </c>
      <c r="AJ286" s="105"/>
      <c r="AK286" s="105">
        <v>0</v>
      </c>
      <c r="AL286" s="113"/>
      <c r="AM286" s="113"/>
      <c r="AN286" s="115"/>
      <c r="AO286" s="113"/>
      <c r="AP286" s="113"/>
      <c r="AQ286" s="108"/>
      <c r="AR286" s="109"/>
      <c r="AS286" s="110"/>
      <c r="AT286" s="110"/>
      <c r="AU286" s="111"/>
      <c r="AV286" s="112" t="s">
        <v>54</v>
      </c>
      <c r="AW286" s="110"/>
      <c r="AX286" s="138">
        <v>327</v>
      </c>
    </row>
    <row r="287" spans="1:50" ht="21" customHeight="1" x14ac:dyDescent="0.25">
      <c r="A287" s="138">
        <v>287</v>
      </c>
      <c r="B287" s="94"/>
      <c r="C287" s="95" t="s">
        <v>481</v>
      </c>
      <c r="D287" s="95" t="s">
        <v>47</v>
      </c>
      <c r="E287" s="95" t="s">
        <v>48</v>
      </c>
      <c r="F287" s="95" t="s">
        <v>473</v>
      </c>
      <c r="G287" s="97">
        <v>6</v>
      </c>
      <c r="H287" s="97">
        <v>6</v>
      </c>
      <c r="I287" s="97">
        <v>2025</v>
      </c>
      <c r="J287" s="97">
        <v>339</v>
      </c>
      <c r="K287" s="97" t="s">
        <v>461</v>
      </c>
      <c r="L287" s="98" t="s">
        <v>462</v>
      </c>
      <c r="M287" s="97">
        <v>1</v>
      </c>
      <c r="N287" s="97"/>
      <c r="O287" s="98"/>
      <c r="P287" s="99"/>
      <c r="Q287" s="99"/>
      <c r="R287" s="99"/>
      <c r="S287" s="98" t="s">
        <v>423</v>
      </c>
      <c r="T287" s="174">
        <v>613</v>
      </c>
      <c r="U287" s="94">
        <v>3705</v>
      </c>
      <c r="V287" s="100"/>
      <c r="W287" s="100"/>
      <c r="X287" s="100"/>
      <c r="Y287" s="100"/>
      <c r="Z287" s="101" t="s">
        <v>9</v>
      </c>
      <c r="AA287" s="100" t="s">
        <v>118</v>
      </c>
      <c r="AB287" s="100"/>
      <c r="AC287" s="100"/>
      <c r="AD287" s="100"/>
      <c r="AE287" s="121">
        <v>16.2</v>
      </c>
      <c r="AF287" s="103">
        <v>80</v>
      </c>
      <c r="AG287" s="103">
        <v>71</v>
      </c>
      <c r="AH287" s="104">
        <v>75</v>
      </c>
      <c r="AI287" s="102">
        <v>7.16</v>
      </c>
      <c r="AJ287" s="105"/>
      <c r="AK287" s="105">
        <v>0</v>
      </c>
      <c r="AL287" s="106"/>
      <c r="AM287" s="106"/>
      <c r="AN287" s="107"/>
      <c r="AO287" s="106"/>
      <c r="AP287" s="106"/>
      <c r="AQ287" s="108"/>
      <c r="AR287" s="109"/>
      <c r="AS287" s="110"/>
      <c r="AT287" s="110"/>
      <c r="AU287" s="111"/>
      <c r="AV287" s="112" t="s">
        <v>54</v>
      </c>
      <c r="AW287" s="110"/>
      <c r="AX287" s="138">
        <v>406</v>
      </c>
    </row>
    <row r="288" spans="1:50" ht="21" customHeight="1" x14ac:dyDescent="0.25">
      <c r="A288" s="138">
        <v>288</v>
      </c>
      <c r="B288" s="94"/>
      <c r="C288" s="95" t="s">
        <v>481</v>
      </c>
      <c r="D288" s="95" t="s">
        <v>47</v>
      </c>
      <c r="E288" s="95" t="s">
        <v>48</v>
      </c>
      <c r="F288" s="95" t="s">
        <v>473</v>
      </c>
      <c r="G288" s="97">
        <v>6</v>
      </c>
      <c r="H288" s="97">
        <v>6</v>
      </c>
      <c r="I288" s="97">
        <v>2025</v>
      </c>
      <c r="J288" s="97">
        <v>339</v>
      </c>
      <c r="K288" s="97" t="s">
        <v>461</v>
      </c>
      <c r="L288" s="98" t="s">
        <v>462</v>
      </c>
      <c r="M288" s="97">
        <v>1</v>
      </c>
      <c r="N288" s="97"/>
      <c r="O288" s="95"/>
      <c r="P288" s="99"/>
      <c r="Q288" s="99"/>
      <c r="R288" s="99"/>
      <c r="S288" s="95" t="s">
        <v>351</v>
      </c>
      <c r="T288" s="174">
        <v>614</v>
      </c>
      <c r="U288" s="94">
        <v>3442</v>
      </c>
      <c r="V288" s="100"/>
      <c r="W288" s="100"/>
      <c r="X288" s="100"/>
      <c r="Y288" s="100"/>
      <c r="Z288" s="122" t="s">
        <v>0</v>
      </c>
      <c r="AA288" s="100" t="s">
        <v>58</v>
      </c>
      <c r="AB288" s="100"/>
      <c r="AC288" s="100"/>
      <c r="AD288" s="100"/>
      <c r="AE288" s="102">
        <v>19.399999999999999</v>
      </c>
      <c r="AF288" s="105">
        <v>73</v>
      </c>
      <c r="AG288" s="105">
        <v>42</v>
      </c>
      <c r="AH288" s="127">
        <v>57</v>
      </c>
      <c r="AI288" s="102">
        <v>4.95</v>
      </c>
      <c r="AJ288" s="105"/>
      <c r="AK288" s="105">
        <v>0</v>
      </c>
      <c r="AL288" s="108"/>
      <c r="AM288" s="109"/>
      <c r="AN288" s="131"/>
      <c r="AO288" s="108"/>
      <c r="AP288" s="108"/>
      <c r="AQ288" s="108"/>
      <c r="AR288" s="109"/>
      <c r="AS288" s="128"/>
      <c r="AT288" s="128"/>
      <c r="AU288" s="125"/>
      <c r="AV288" s="120" t="s">
        <v>54</v>
      </c>
      <c r="AW288" s="128"/>
      <c r="AX288" s="138">
        <v>128</v>
      </c>
    </row>
    <row r="289" spans="1:50" ht="21" customHeight="1" x14ac:dyDescent="0.25">
      <c r="A289" s="138">
        <v>289</v>
      </c>
      <c r="B289" s="94"/>
      <c r="C289" s="95" t="s">
        <v>481</v>
      </c>
      <c r="D289" s="95" t="s">
        <v>47</v>
      </c>
      <c r="E289" s="95" t="s">
        <v>48</v>
      </c>
      <c r="F289" s="95" t="s">
        <v>473</v>
      </c>
      <c r="G289" s="97">
        <v>6</v>
      </c>
      <c r="H289" s="97">
        <v>6</v>
      </c>
      <c r="I289" s="97">
        <v>2025</v>
      </c>
      <c r="J289" s="97">
        <v>339</v>
      </c>
      <c r="K289" s="97" t="s">
        <v>461</v>
      </c>
      <c r="L289" s="98" t="s">
        <v>462</v>
      </c>
      <c r="M289" s="97">
        <v>1</v>
      </c>
      <c r="N289" s="97"/>
      <c r="O289" s="98"/>
      <c r="P289" s="99"/>
      <c r="Q289" s="99"/>
      <c r="R289" s="99"/>
      <c r="S289" s="98" t="s">
        <v>241</v>
      </c>
      <c r="T289" s="174">
        <v>615</v>
      </c>
      <c r="U289" s="94">
        <v>3017</v>
      </c>
      <c r="V289" s="100"/>
      <c r="W289" s="100"/>
      <c r="X289" s="100"/>
      <c r="Y289" s="100"/>
      <c r="Z289" s="101" t="s">
        <v>1</v>
      </c>
      <c r="AA289" s="100" t="s">
        <v>58</v>
      </c>
      <c r="AB289" s="100"/>
      <c r="AC289" s="100"/>
      <c r="AD289" s="100"/>
      <c r="AE289" s="102">
        <v>20.7</v>
      </c>
      <c r="AF289" s="103">
        <v>55</v>
      </c>
      <c r="AG289" s="103">
        <v>40</v>
      </c>
      <c r="AH289" s="104">
        <v>47</v>
      </c>
      <c r="AI289" s="102">
        <v>3.59</v>
      </c>
      <c r="AJ289" s="105"/>
      <c r="AK289" s="105">
        <v>0</v>
      </c>
      <c r="AL289" s="113"/>
      <c r="AM289" s="113"/>
      <c r="AN289" s="114"/>
      <c r="AO289" s="108"/>
      <c r="AP289" s="108"/>
      <c r="AQ289" s="108"/>
      <c r="AR289" s="109"/>
      <c r="AS289" s="110"/>
      <c r="AT289" s="110"/>
      <c r="AU289" s="111"/>
      <c r="AV289" s="112" t="s">
        <v>54</v>
      </c>
      <c r="AW289" s="110"/>
      <c r="AX289" s="138">
        <v>347</v>
      </c>
    </row>
    <row r="290" spans="1:50" ht="21" customHeight="1" x14ac:dyDescent="0.25">
      <c r="A290" s="138">
        <v>290</v>
      </c>
      <c r="B290" s="94"/>
      <c r="C290" s="95" t="s">
        <v>481</v>
      </c>
      <c r="D290" s="95" t="s">
        <v>47</v>
      </c>
      <c r="E290" s="95" t="s">
        <v>48</v>
      </c>
      <c r="F290" s="95" t="s">
        <v>473</v>
      </c>
      <c r="G290" s="97">
        <v>6</v>
      </c>
      <c r="H290" s="97">
        <v>6</v>
      </c>
      <c r="I290" s="97">
        <v>2025</v>
      </c>
      <c r="J290" s="97">
        <v>339</v>
      </c>
      <c r="K290" s="97" t="s">
        <v>461</v>
      </c>
      <c r="L290" s="98" t="s">
        <v>462</v>
      </c>
      <c r="M290" s="97">
        <v>1</v>
      </c>
      <c r="N290" s="97"/>
      <c r="O290" s="95"/>
      <c r="P290" s="99"/>
      <c r="Q290" s="99"/>
      <c r="R290" s="99"/>
      <c r="S290" s="95" t="s">
        <v>232</v>
      </c>
      <c r="T290" s="174">
        <v>616</v>
      </c>
      <c r="U290" s="94">
        <v>2917</v>
      </c>
      <c r="V290" s="100"/>
      <c r="W290" s="100"/>
      <c r="X290" s="100"/>
      <c r="Y290" s="100"/>
      <c r="Z290" s="122" t="s">
        <v>0</v>
      </c>
      <c r="AA290" s="100" t="s">
        <v>58</v>
      </c>
      <c r="AB290" s="100"/>
      <c r="AC290" s="100"/>
      <c r="AD290" s="100"/>
      <c r="AE290" s="102">
        <v>15</v>
      </c>
      <c r="AF290" s="105">
        <v>87</v>
      </c>
      <c r="AG290" s="105">
        <v>66</v>
      </c>
      <c r="AH290" s="127">
        <v>76</v>
      </c>
      <c r="AI290" s="102">
        <v>6.8</v>
      </c>
      <c r="AJ290" s="105"/>
      <c r="AK290" s="105">
        <v>0</v>
      </c>
      <c r="AL290" s="109"/>
      <c r="AM290" s="109"/>
      <c r="AN290" s="130"/>
      <c r="AO290" s="109"/>
      <c r="AP290" s="109"/>
      <c r="AQ290" s="108"/>
      <c r="AR290" s="109"/>
      <c r="AS290" s="128"/>
      <c r="AT290" s="128"/>
      <c r="AU290" s="125"/>
      <c r="AV290" s="112" t="s">
        <v>54</v>
      </c>
      <c r="AW290" s="128"/>
      <c r="AX290" s="138">
        <v>343</v>
      </c>
    </row>
    <row r="291" spans="1:50" ht="21" customHeight="1" x14ac:dyDescent="0.25">
      <c r="A291" s="138">
        <v>291</v>
      </c>
      <c r="B291" s="94"/>
      <c r="C291" s="95" t="s">
        <v>481</v>
      </c>
      <c r="D291" s="95" t="s">
        <v>47</v>
      </c>
      <c r="E291" s="95" t="s">
        <v>48</v>
      </c>
      <c r="F291" s="95" t="s">
        <v>473</v>
      </c>
      <c r="G291" s="97">
        <v>6</v>
      </c>
      <c r="H291" s="97">
        <v>6</v>
      </c>
      <c r="I291" s="97">
        <v>2025</v>
      </c>
      <c r="J291" s="97">
        <v>339</v>
      </c>
      <c r="K291" s="97" t="s">
        <v>461</v>
      </c>
      <c r="L291" s="98" t="s">
        <v>462</v>
      </c>
      <c r="M291" s="97">
        <v>1</v>
      </c>
      <c r="N291" s="97"/>
      <c r="O291" s="95"/>
      <c r="P291" s="99"/>
      <c r="Q291" s="99"/>
      <c r="R291" s="99"/>
      <c r="S291" s="95" t="s">
        <v>235</v>
      </c>
      <c r="T291" s="174">
        <v>617</v>
      </c>
      <c r="U291" s="94">
        <v>2920</v>
      </c>
      <c r="V291" s="100"/>
      <c r="W291" s="100"/>
      <c r="X291" s="100"/>
      <c r="Y291" s="100"/>
      <c r="Z291" s="122" t="s">
        <v>5</v>
      </c>
      <c r="AA291" s="100" t="s">
        <v>58</v>
      </c>
      <c r="AB291" s="100"/>
      <c r="AC291" s="100"/>
      <c r="AD291" s="100"/>
      <c r="AE291" s="102">
        <v>9.6</v>
      </c>
      <c r="AF291" s="105">
        <v>102</v>
      </c>
      <c r="AG291" s="105">
        <v>94</v>
      </c>
      <c r="AH291" s="127">
        <v>98</v>
      </c>
      <c r="AI291" s="102">
        <v>6.2</v>
      </c>
      <c r="AJ291" s="105">
        <v>33</v>
      </c>
      <c r="AK291" s="105">
        <v>14.4</v>
      </c>
      <c r="AL291" s="109"/>
      <c r="AM291" s="109"/>
      <c r="AN291" s="130"/>
      <c r="AO291" s="109"/>
      <c r="AP291" s="109"/>
      <c r="AQ291" s="108"/>
      <c r="AR291" s="109"/>
      <c r="AS291" s="128"/>
      <c r="AT291" s="128"/>
      <c r="AU291" s="125"/>
      <c r="AV291" s="112" t="s">
        <v>54</v>
      </c>
      <c r="AW291" s="128"/>
      <c r="AX291" s="138">
        <v>344</v>
      </c>
    </row>
    <row r="292" spans="1:50" ht="21" customHeight="1" x14ac:dyDescent="0.25">
      <c r="A292" s="138">
        <v>292</v>
      </c>
      <c r="B292" s="94"/>
      <c r="C292" s="95" t="s">
        <v>481</v>
      </c>
      <c r="D292" s="95" t="s">
        <v>47</v>
      </c>
      <c r="E292" s="95" t="s">
        <v>48</v>
      </c>
      <c r="F292" s="95" t="s">
        <v>473</v>
      </c>
      <c r="G292" s="97">
        <v>6</v>
      </c>
      <c r="H292" s="97">
        <v>6</v>
      </c>
      <c r="I292" s="97">
        <v>2025</v>
      </c>
      <c r="J292" s="97">
        <v>339</v>
      </c>
      <c r="K292" s="97" t="s">
        <v>461</v>
      </c>
      <c r="L292" s="98" t="s">
        <v>462</v>
      </c>
      <c r="M292" s="97">
        <v>1</v>
      </c>
      <c r="N292" s="97"/>
      <c r="O292" s="98"/>
      <c r="P292" s="99"/>
      <c r="Q292" s="99"/>
      <c r="R292" s="99"/>
      <c r="S292" s="116" t="s">
        <v>243</v>
      </c>
      <c r="T292" s="174">
        <v>618</v>
      </c>
      <c r="U292" s="175">
        <v>3019</v>
      </c>
      <c r="V292" s="100"/>
      <c r="W292" s="117"/>
      <c r="X292" s="117"/>
      <c r="Y292" s="117"/>
      <c r="Z292" s="106" t="s">
        <v>0</v>
      </c>
      <c r="AA292" s="117" t="s">
        <v>58</v>
      </c>
      <c r="AB292" s="117"/>
      <c r="AC292" s="117"/>
      <c r="AD292" s="117"/>
      <c r="AE292" s="119">
        <v>19.3</v>
      </c>
      <c r="AF292" s="112">
        <v>57</v>
      </c>
      <c r="AG292" s="112">
        <v>41</v>
      </c>
      <c r="AH292" s="113">
        <v>49</v>
      </c>
      <c r="AI292" s="118">
        <v>3.64</v>
      </c>
      <c r="AJ292" s="112"/>
      <c r="AK292" s="112">
        <v>0</v>
      </c>
      <c r="AL292" s="113"/>
      <c r="AM292" s="113"/>
      <c r="AN292" s="114"/>
      <c r="AO292" s="108"/>
      <c r="AP292" s="108"/>
      <c r="AQ292" s="108"/>
      <c r="AR292" s="109"/>
      <c r="AS292" s="110"/>
      <c r="AT292" s="110"/>
      <c r="AU292" s="110"/>
      <c r="AV292" s="112" t="s">
        <v>54</v>
      </c>
      <c r="AW292" s="110"/>
      <c r="AX292" s="138">
        <v>349</v>
      </c>
    </row>
    <row r="293" spans="1:50" ht="21" customHeight="1" x14ac:dyDescent="0.25">
      <c r="A293" s="138">
        <v>293</v>
      </c>
      <c r="B293" s="94"/>
      <c r="C293" s="95" t="s">
        <v>481</v>
      </c>
      <c r="D293" s="95" t="s">
        <v>47</v>
      </c>
      <c r="E293" s="95" t="s">
        <v>48</v>
      </c>
      <c r="F293" s="95" t="s">
        <v>473</v>
      </c>
      <c r="G293" s="97">
        <v>6</v>
      </c>
      <c r="H293" s="97">
        <v>6</v>
      </c>
      <c r="I293" s="97">
        <v>2025</v>
      </c>
      <c r="J293" s="97">
        <v>339</v>
      </c>
      <c r="K293" s="97" t="s">
        <v>461</v>
      </c>
      <c r="L293" s="98" t="s">
        <v>462</v>
      </c>
      <c r="M293" s="97">
        <v>1</v>
      </c>
      <c r="N293" s="97"/>
      <c r="O293" s="98"/>
      <c r="P293" s="99"/>
      <c r="Q293" s="99"/>
      <c r="R293" s="99"/>
      <c r="S293" s="98" t="s">
        <v>433</v>
      </c>
      <c r="T293" s="174">
        <v>619</v>
      </c>
      <c r="U293" s="94">
        <v>3721</v>
      </c>
      <c r="V293" s="100"/>
      <c r="W293" s="100"/>
      <c r="X293" s="100"/>
      <c r="Y293" s="100"/>
      <c r="Z293" s="101" t="s">
        <v>0</v>
      </c>
      <c r="AA293" s="100" t="s">
        <v>58</v>
      </c>
      <c r="AB293" s="100"/>
      <c r="AC293" s="100"/>
      <c r="AD293" s="100"/>
      <c r="AE293" s="121">
        <v>16.7</v>
      </c>
      <c r="AF293" s="103">
        <v>81</v>
      </c>
      <c r="AG293" s="103">
        <v>55</v>
      </c>
      <c r="AH293" s="104">
        <v>68</v>
      </c>
      <c r="AI293" s="121">
        <v>6.06</v>
      </c>
      <c r="AJ293" s="103"/>
      <c r="AK293" s="103">
        <v>0</v>
      </c>
      <c r="AL293" s="113"/>
      <c r="AM293" s="106"/>
      <c r="AN293" s="114"/>
      <c r="AO293" s="108"/>
      <c r="AP293" s="108"/>
      <c r="AQ293" s="108"/>
      <c r="AR293" s="109"/>
      <c r="AS293" s="110"/>
      <c r="AT293" s="110"/>
      <c r="AU293" s="111"/>
      <c r="AV293" s="112" t="s">
        <v>54</v>
      </c>
      <c r="AW293" s="110"/>
      <c r="AX293" s="138">
        <v>410</v>
      </c>
    </row>
    <row r="294" spans="1:50" ht="21" customHeight="1" x14ac:dyDescent="0.25">
      <c r="A294" s="138">
        <v>294</v>
      </c>
      <c r="B294" s="94"/>
      <c r="C294" s="95" t="s">
        <v>481</v>
      </c>
      <c r="D294" s="95" t="s">
        <v>47</v>
      </c>
      <c r="E294" s="95" t="s">
        <v>48</v>
      </c>
      <c r="F294" s="95" t="s">
        <v>473</v>
      </c>
      <c r="G294" s="97">
        <v>6</v>
      </c>
      <c r="H294" s="97">
        <v>6</v>
      </c>
      <c r="I294" s="97">
        <v>2025</v>
      </c>
      <c r="J294" s="97">
        <v>339</v>
      </c>
      <c r="K294" s="97" t="s">
        <v>461</v>
      </c>
      <c r="L294" s="98" t="s">
        <v>462</v>
      </c>
      <c r="M294" s="97">
        <v>1</v>
      </c>
      <c r="N294" s="97"/>
      <c r="O294" s="95"/>
      <c r="P294" s="99"/>
      <c r="Q294" s="99"/>
      <c r="R294" s="99"/>
      <c r="S294" s="95" t="s">
        <v>238</v>
      </c>
      <c r="T294" s="174">
        <v>620</v>
      </c>
      <c r="U294" s="94">
        <v>3014</v>
      </c>
      <c r="V294" s="100"/>
      <c r="W294" s="100"/>
      <c r="X294" s="100"/>
      <c r="Y294" s="100"/>
      <c r="Z294" s="122" t="s">
        <v>0</v>
      </c>
      <c r="AA294" s="100" t="s">
        <v>58</v>
      </c>
      <c r="AB294" s="100"/>
      <c r="AC294" s="100"/>
      <c r="AD294" s="100"/>
      <c r="AE294" s="102">
        <v>14.1</v>
      </c>
      <c r="AF294" s="105">
        <v>54</v>
      </c>
      <c r="AG294" s="105">
        <v>50</v>
      </c>
      <c r="AH294" s="127">
        <v>52</v>
      </c>
      <c r="AI294" s="102">
        <v>2.99</v>
      </c>
      <c r="AJ294" s="105"/>
      <c r="AK294" s="105">
        <v>0</v>
      </c>
      <c r="AL294" s="108">
        <v>3</v>
      </c>
      <c r="AM294" s="108">
        <f>COUNT(AI285:AI294)</f>
        <v>10</v>
      </c>
      <c r="AN294" s="114">
        <f>SUM(AI285:AI294)</f>
        <v>48.84</v>
      </c>
      <c r="AO294" s="108"/>
      <c r="AP294" s="108"/>
      <c r="AQ294" s="108"/>
      <c r="AR294" s="109"/>
      <c r="AS294" s="128"/>
      <c r="AT294" s="128"/>
      <c r="AU294" s="125"/>
      <c r="AV294" s="112" t="s">
        <v>54</v>
      </c>
      <c r="AW294" s="128"/>
      <c r="AX294" s="138">
        <v>346</v>
      </c>
    </row>
    <row r="295" spans="1:50" ht="21" customHeight="1" x14ac:dyDescent="0.25">
      <c r="A295" s="138">
        <v>295</v>
      </c>
      <c r="B295" s="94">
        <v>32</v>
      </c>
      <c r="C295" s="95" t="s">
        <v>472</v>
      </c>
      <c r="D295" s="95" t="s">
        <v>47</v>
      </c>
      <c r="E295" s="95" t="s">
        <v>48</v>
      </c>
      <c r="F295" s="95" t="s">
        <v>473</v>
      </c>
      <c r="G295" s="97">
        <v>6</v>
      </c>
      <c r="H295" s="97">
        <v>6</v>
      </c>
      <c r="I295" s="97">
        <v>2025</v>
      </c>
      <c r="J295" s="97">
        <v>342</v>
      </c>
      <c r="K295" s="97" t="s">
        <v>466</v>
      </c>
      <c r="L295" s="98" t="s">
        <v>465</v>
      </c>
      <c r="M295" s="97">
        <v>1</v>
      </c>
      <c r="N295" s="97"/>
      <c r="O295" s="98"/>
      <c r="P295" s="99"/>
      <c r="Q295" s="99"/>
      <c r="R295" s="99"/>
      <c r="S295" s="98" t="s">
        <v>336</v>
      </c>
      <c r="T295" s="174">
        <v>621</v>
      </c>
      <c r="U295" s="94">
        <v>3426</v>
      </c>
      <c r="V295" s="100"/>
      <c r="W295" s="100"/>
      <c r="X295" s="100"/>
      <c r="Y295" s="100"/>
      <c r="Z295" s="101" t="s">
        <v>0</v>
      </c>
      <c r="AA295" s="100" t="s">
        <v>58</v>
      </c>
      <c r="AB295" s="100"/>
      <c r="AC295" s="100"/>
      <c r="AD295" s="100"/>
      <c r="AE295" s="102">
        <v>20.2</v>
      </c>
      <c r="AF295" s="103">
        <v>57</v>
      </c>
      <c r="AG295" s="103">
        <v>38</v>
      </c>
      <c r="AH295" s="104">
        <v>47</v>
      </c>
      <c r="AI295" s="102">
        <v>3.5</v>
      </c>
      <c r="AJ295" s="105"/>
      <c r="AK295" s="105">
        <v>0</v>
      </c>
      <c r="AL295" s="113"/>
      <c r="AM295" s="106"/>
      <c r="AN295" s="131"/>
      <c r="AO295" s="108"/>
      <c r="AP295" s="108"/>
      <c r="AQ295" s="108"/>
      <c r="AR295" s="109"/>
      <c r="AS295" s="110"/>
      <c r="AT295" s="110"/>
      <c r="AU295" s="111"/>
      <c r="AV295" s="112" t="s">
        <v>54</v>
      </c>
      <c r="AW295" s="110"/>
      <c r="AX295" s="138">
        <v>387</v>
      </c>
    </row>
    <row r="296" spans="1:50" ht="21" customHeight="1" x14ac:dyDescent="0.25">
      <c r="A296" s="138">
        <v>296</v>
      </c>
      <c r="B296" s="94"/>
      <c r="C296" s="95" t="s">
        <v>472</v>
      </c>
      <c r="D296" s="95" t="s">
        <v>47</v>
      </c>
      <c r="E296" s="95" t="s">
        <v>48</v>
      </c>
      <c r="F296" s="95" t="s">
        <v>473</v>
      </c>
      <c r="G296" s="97">
        <v>6</v>
      </c>
      <c r="H296" s="97">
        <v>6</v>
      </c>
      <c r="I296" s="97">
        <v>2025</v>
      </c>
      <c r="J296" s="97">
        <v>342</v>
      </c>
      <c r="K296" s="97" t="s">
        <v>466</v>
      </c>
      <c r="L296" s="98" t="s">
        <v>465</v>
      </c>
      <c r="M296" s="97">
        <v>1</v>
      </c>
      <c r="N296" s="97"/>
      <c r="O296" s="98"/>
      <c r="P296" s="99"/>
      <c r="Q296" s="99"/>
      <c r="R296" s="99"/>
      <c r="S296" s="116" t="s">
        <v>250</v>
      </c>
      <c r="T296" s="174">
        <v>622</v>
      </c>
      <c r="U296" s="175">
        <v>3026</v>
      </c>
      <c r="V296" s="100"/>
      <c r="W296" s="117"/>
      <c r="X296" s="117"/>
      <c r="Y296" s="117"/>
      <c r="Z296" s="106" t="s">
        <v>0</v>
      </c>
      <c r="AA296" s="117" t="s">
        <v>58</v>
      </c>
      <c r="AB296" s="117"/>
      <c r="AC296" s="117"/>
      <c r="AD296" s="117"/>
      <c r="AE296" s="119">
        <v>16</v>
      </c>
      <c r="AF296" s="112">
        <v>62</v>
      </c>
      <c r="AG296" s="112">
        <v>48</v>
      </c>
      <c r="AH296" s="113">
        <v>55</v>
      </c>
      <c r="AI296" s="118">
        <v>3.8</v>
      </c>
      <c r="AJ296" s="105"/>
      <c r="AK296" s="112">
        <v>0</v>
      </c>
      <c r="AL296" s="113"/>
      <c r="AM296" s="106"/>
      <c r="AN296" s="131"/>
      <c r="AO296" s="108"/>
      <c r="AP296" s="108"/>
      <c r="AQ296" s="108"/>
      <c r="AR296" s="109"/>
      <c r="AS296" s="110"/>
      <c r="AT296" s="110"/>
      <c r="AU296" s="110"/>
      <c r="AV296" s="112" t="s">
        <v>54</v>
      </c>
      <c r="AW296" s="110"/>
      <c r="AX296" s="138">
        <v>354</v>
      </c>
    </row>
    <row r="297" spans="1:50" ht="21" customHeight="1" x14ac:dyDescent="0.25">
      <c r="A297" s="138">
        <v>297</v>
      </c>
      <c r="B297" s="94"/>
      <c r="C297" s="95" t="s">
        <v>472</v>
      </c>
      <c r="D297" s="95" t="s">
        <v>47</v>
      </c>
      <c r="E297" s="95" t="s">
        <v>48</v>
      </c>
      <c r="F297" s="95" t="s">
        <v>473</v>
      </c>
      <c r="G297" s="97">
        <v>6</v>
      </c>
      <c r="H297" s="97">
        <v>6</v>
      </c>
      <c r="I297" s="97">
        <v>2025</v>
      </c>
      <c r="J297" s="97">
        <v>342</v>
      </c>
      <c r="K297" s="97" t="s">
        <v>466</v>
      </c>
      <c r="L297" s="98" t="s">
        <v>465</v>
      </c>
      <c r="M297" s="97">
        <v>1</v>
      </c>
      <c r="N297" s="97"/>
      <c r="O297" s="98"/>
      <c r="P297" s="99"/>
      <c r="Q297" s="99"/>
      <c r="R297" s="99"/>
      <c r="S297" s="98" t="s">
        <v>412</v>
      </c>
      <c r="T297" s="94">
        <v>623</v>
      </c>
      <c r="U297" s="94">
        <v>3505</v>
      </c>
      <c r="V297" s="100"/>
      <c r="W297" s="100"/>
      <c r="X297" s="100"/>
      <c r="Y297" s="100"/>
      <c r="Z297" s="101" t="s">
        <v>0</v>
      </c>
      <c r="AA297" s="100" t="s">
        <v>58</v>
      </c>
      <c r="AB297" s="100"/>
      <c r="AC297" s="100"/>
      <c r="AD297" s="100"/>
      <c r="AE297" s="102">
        <v>19</v>
      </c>
      <c r="AF297" s="103">
        <v>74</v>
      </c>
      <c r="AG297" s="103">
        <v>51</v>
      </c>
      <c r="AH297" s="104">
        <v>62</v>
      </c>
      <c r="AI297" s="102">
        <v>5.25</v>
      </c>
      <c r="AJ297" s="105">
        <v>16</v>
      </c>
      <c r="AK297" s="105">
        <v>8.5</v>
      </c>
      <c r="AL297" s="113"/>
      <c r="AM297" s="106"/>
      <c r="AN297" s="114"/>
      <c r="AO297" s="108"/>
      <c r="AP297" s="108"/>
      <c r="AQ297" s="108"/>
      <c r="AR297" s="109"/>
      <c r="AS297" s="110"/>
      <c r="AT297" s="110"/>
      <c r="AU297" s="111"/>
      <c r="AV297" s="112" t="s">
        <v>54</v>
      </c>
      <c r="AW297" s="110"/>
      <c r="AX297" s="138">
        <v>401</v>
      </c>
    </row>
    <row r="298" spans="1:50" ht="21" customHeight="1" x14ac:dyDescent="0.25">
      <c r="A298" s="138">
        <v>298</v>
      </c>
      <c r="B298" s="94"/>
      <c r="C298" s="95" t="s">
        <v>472</v>
      </c>
      <c r="D298" s="95" t="s">
        <v>47</v>
      </c>
      <c r="E298" s="95" t="s">
        <v>48</v>
      </c>
      <c r="F298" s="95" t="s">
        <v>473</v>
      </c>
      <c r="G298" s="97">
        <v>6</v>
      </c>
      <c r="H298" s="97">
        <v>6</v>
      </c>
      <c r="I298" s="97">
        <v>2025</v>
      </c>
      <c r="J298" s="97">
        <v>342</v>
      </c>
      <c r="K298" s="97" t="s">
        <v>466</v>
      </c>
      <c r="L298" s="98" t="s">
        <v>465</v>
      </c>
      <c r="M298" s="97">
        <v>1</v>
      </c>
      <c r="N298" s="97"/>
      <c r="O298" s="98"/>
      <c r="P298" s="99"/>
      <c r="Q298" s="99"/>
      <c r="R298" s="99"/>
      <c r="S298" s="98" t="s">
        <v>317</v>
      </c>
      <c r="T298" s="174">
        <v>624</v>
      </c>
      <c r="U298" s="94">
        <v>3405</v>
      </c>
      <c r="V298" s="100"/>
      <c r="W298" s="100"/>
      <c r="X298" s="100"/>
      <c r="Y298" s="100"/>
      <c r="Z298" s="101" t="s">
        <v>5</v>
      </c>
      <c r="AA298" s="100" t="s">
        <v>58</v>
      </c>
      <c r="AB298" s="100"/>
      <c r="AC298" s="100"/>
      <c r="AD298" s="100"/>
      <c r="AE298" s="102">
        <v>16.5</v>
      </c>
      <c r="AF298" s="103">
        <v>82</v>
      </c>
      <c r="AG298" s="103">
        <v>72</v>
      </c>
      <c r="AH298" s="104">
        <v>77</v>
      </c>
      <c r="AI298" s="102">
        <v>7.68</v>
      </c>
      <c r="AJ298" s="105"/>
      <c r="AK298" s="105">
        <v>0</v>
      </c>
      <c r="AL298" s="113"/>
      <c r="AM298" s="106"/>
      <c r="AN298" s="131"/>
      <c r="AO298" s="108"/>
      <c r="AP298" s="108"/>
      <c r="AQ298" s="106"/>
      <c r="AR298" s="106"/>
      <c r="AS298" s="110"/>
      <c r="AT298" s="110"/>
      <c r="AU298" s="111"/>
      <c r="AV298" s="112" t="s">
        <v>54</v>
      </c>
      <c r="AW298" s="110"/>
      <c r="AX298" s="138">
        <v>382</v>
      </c>
    </row>
    <row r="299" spans="1:50" ht="21" customHeight="1" x14ac:dyDescent="0.25">
      <c r="A299" s="138">
        <v>299</v>
      </c>
      <c r="B299" s="94"/>
      <c r="C299" s="95" t="s">
        <v>472</v>
      </c>
      <c r="D299" s="95" t="s">
        <v>47</v>
      </c>
      <c r="E299" s="95" t="s">
        <v>48</v>
      </c>
      <c r="F299" s="95" t="s">
        <v>473</v>
      </c>
      <c r="G299" s="97">
        <v>6</v>
      </c>
      <c r="H299" s="97">
        <v>6</v>
      </c>
      <c r="I299" s="97">
        <v>2025</v>
      </c>
      <c r="J299" s="97">
        <v>342</v>
      </c>
      <c r="K299" s="97" t="s">
        <v>466</v>
      </c>
      <c r="L299" s="98" t="s">
        <v>465</v>
      </c>
      <c r="M299" s="97">
        <v>1</v>
      </c>
      <c r="N299" s="97"/>
      <c r="O299" s="98"/>
      <c r="P299" s="99"/>
      <c r="Q299" s="99"/>
      <c r="R299" s="99"/>
      <c r="S299" s="116" t="s">
        <v>242</v>
      </c>
      <c r="T299" s="174">
        <v>625</v>
      </c>
      <c r="U299" s="175">
        <v>3018</v>
      </c>
      <c r="V299" s="100"/>
      <c r="W299" s="117"/>
      <c r="X299" s="117"/>
      <c r="Y299" s="117"/>
      <c r="Z299" s="106" t="s">
        <v>3</v>
      </c>
      <c r="AA299" s="117" t="s">
        <v>58</v>
      </c>
      <c r="AB299" s="117"/>
      <c r="AC299" s="117"/>
      <c r="AD299" s="117"/>
      <c r="AE299" s="118">
        <v>19</v>
      </c>
      <c r="AF299" s="112">
        <v>74</v>
      </c>
      <c r="AG299" s="112">
        <v>51</v>
      </c>
      <c r="AH299" s="113">
        <v>62</v>
      </c>
      <c r="AI299" s="119">
        <v>5.74</v>
      </c>
      <c r="AJ299" s="120"/>
      <c r="AK299" s="120">
        <v>0</v>
      </c>
      <c r="AL299" s="106"/>
      <c r="AM299" s="106"/>
      <c r="AN299" s="107"/>
      <c r="AO299" s="106"/>
      <c r="AP299" s="106"/>
      <c r="AQ299" s="108"/>
      <c r="AR299" s="109"/>
      <c r="AS299" s="110"/>
      <c r="AT299" s="110"/>
      <c r="AU299" s="110"/>
      <c r="AV299" s="112" t="s">
        <v>54</v>
      </c>
      <c r="AW299" s="110"/>
      <c r="AX299" s="138">
        <v>348</v>
      </c>
    </row>
    <row r="300" spans="1:50" ht="21" customHeight="1" x14ac:dyDescent="0.25">
      <c r="A300" s="138">
        <v>300</v>
      </c>
      <c r="B300" s="94"/>
      <c r="C300" s="95" t="s">
        <v>472</v>
      </c>
      <c r="D300" s="95" t="s">
        <v>47</v>
      </c>
      <c r="E300" s="95" t="s">
        <v>48</v>
      </c>
      <c r="F300" s="95" t="s">
        <v>473</v>
      </c>
      <c r="G300" s="97">
        <v>6</v>
      </c>
      <c r="H300" s="97">
        <v>6</v>
      </c>
      <c r="I300" s="97">
        <v>2025</v>
      </c>
      <c r="J300" s="97">
        <v>342</v>
      </c>
      <c r="K300" s="97" t="s">
        <v>466</v>
      </c>
      <c r="L300" s="98" t="s">
        <v>465</v>
      </c>
      <c r="M300" s="97">
        <v>1</v>
      </c>
      <c r="N300" s="97"/>
      <c r="O300" s="98"/>
      <c r="P300" s="99"/>
      <c r="Q300" s="99"/>
      <c r="R300" s="99"/>
      <c r="S300" s="98" t="s">
        <v>304</v>
      </c>
      <c r="T300" s="174">
        <v>626</v>
      </c>
      <c r="U300" s="94">
        <v>3391</v>
      </c>
      <c r="V300" s="100"/>
      <c r="W300" s="100"/>
      <c r="X300" s="100"/>
      <c r="Y300" s="100"/>
      <c r="Z300" s="101" t="s">
        <v>302</v>
      </c>
      <c r="AA300" s="100" t="s">
        <v>58</v>
      </c>
      <c r="AB300" s="100"/>
      <c r="AC300" s="100"/>
      <c r="AD300" s="100"/>
      <c r="AE300" s="102">
        <v>15.4</v>
      </c>
      <c r="AF300" s="103">
        <v>67</v>
      </c>
      <c r="AG300" s="103">
        <v>58</v>
      </c>
      <c r="AH300" s="104">
        <v>62</v>
      </c>
      <c r="AI300" s="102">
        <v>4.6500000000000004</v>
      </c>
      <c r="AJ300" s="105"/>
      <c r="AK300" s="105">
        <v>0</v>
      </c>
      <c r="AL300" s="109"/>
      <c r="AM300" s="109"/>
      <c r="AN300" s="130"/>
      <c r="AO300" s="109"/>
      <c r="AP300" s="109"/>
      <c r="AQ300" s="109"/>
      <c r="AR300" s="109"/>
      <c r="AS300" s="128"/>
      <c r="AT300" s="128"/>
      <c r="AU300" s="111"/>
      <c r="AV300" s="112" t="s">
        <v>54</v>
      </c>
      <c r="AW300" s="110"/>
      <c r="AX300" s="138">
        <v>377</v>
      </c>
    </row>
    <row r="301" spans="1:50" ht="21" customHeight="1" x14ac:dyDescent="0.25">
      <c r="A301" s="138">
        <v>301</v>
      </c>
      <c r="B301" s="94"/>
      <c r="C301" s="95" t="s">
        <v>472</v>
      </c>
      <c r="D301" s="95" t="s">
        <v>47</v>
      </c>
      <c r="E301" s="95" t="s">
        <v>48</v>
      </c>
      <c r="F301" s="95" t="s">
        <v>473</v>
      </c>
      <c r="G301" s="97">
        <v>6</v>
      </c>
      <c r="H301" s="97">
        <v>6</v>
      </c>
      <c r="I301" s="97">
        <v>2025</v>
      </c>
      <c r="J301" s="97">
        <v>342</v>
      </c>
      <c r="K301" s="97" t="s">
        <v>466</v>
      </c>
      <c r="L301" s="98" t="s">
        <v>465</v>
      </c>
      <c r="M301" s="97">
        <v>1</v>
      </c>
      <c r="N301" s="97"/>
      <c r="O301" s="98"/>
      <c r="P301" s="99"/>
      <c r="Q301" s="99"/>
      <c r="R301" s="99"/>
      <c r="S301" s="116" t="s">
        <v>340</v>
      </c>
      <c r="T301" s="174">
        <v>627</v>
      </c>
      <c r="U301" s="175">
        <v>3431</v>
      </c>
      <c r="V301" s="100"/>
      <c r="W301" s="117"/>
      <c r="X301" s="117"/>
      <c r="Y301" s="117"/>
      <c r="Z301" s="106" t="s">
        <v>4</v>
      </c>
      <c r="AA301" s="117" t="s">
        <v>58</v>
      </c>
      <c r="AB301" s="117"/>
      <c r="AC301" s="117"/>
      <c r="AD301" s="117"/>
      <c r="AE301" s="118">
        <v>19.3</v>
      </c>
      <c r="AF301" s="112">
        <v>45</v>
      </c>
      <c r="AG301" s="112">
        <v>31</v>
      </c>
      <c r="AH301" s="113">
        <v>38</v>
      </c>
      <c r="AI301" s="119">
        <v>2.19</v>
      </c>
      <c r="AJ301" s="120"/>
      <c r="AK301" s="120">
        <v>0</v>
      </c>
      <c r="AL301" s="113"/>
      <c r="AM301" s="106"/>
      <c r="AN301" s="131"/>
      <c r="AO301" s="108"/>
      <c r="AP301" s="108"/>
      <c r="AQ301" s="108"/>
      <c r="AR301" s="109"/>
      <c r="AS301" s="110"/>
      <c r="AT301" s="110"/>
      <c r="AU301" s="110"/>
      <c r="AV301" s="112" t="s">
        <v>54</v>
      </c>
      <c r="AW301" s="110"/>
      <c r="AX301" s="138">
        <v>388</v>
      </c>
    </row>
    <row r="302" spans="1:50" ht="21" customHeight="1" x14ac:dyDescent="0.25">
      <c r="A302" s="138">
        <v>302</v>
      </c>
      <c r="B302" s="94"/>
      <c r="C302" s="95" t="s">
        <v>472</v>
      </c>
      <c r="D302" s="95" t="s">
        <v>47</v>
      </c>
      <c r="E302" s="95" t="s">
        <v>48</v>
      </c>
      <c r="F302" s="95" t="s">
        <v>473</v>
      </c>
      <c r="G302" s="97">
        <v>6</v>
      </c>
      <c r="H302" s="97">
        <v>6</v>
      </c>
      <c r="I302" s="97">
        <v>2025</v>
      </c>
      <c r="J302" s="97">
        <v>342</v>
      </c>
      <c r="K302" s="97" t="s">
        <v>466</v>
      </c>
      <c r="L302" s="98" t="s">
        <v>465</v>
      </c>
      <c r="M302" s="97">
        <v>1</v>
      </c>
      <c r="N302" s="97"/>
      <c r="O302" s="95"/>
      <c r="P302" s="99"/>
      <c r="Q302" s="99"/>
      <c r="R302" s="99"/>
      <c r="S302" s="129" t="s">
        <v>348</v>
      </c>
      <c r="T302" s="174">
        <v>628</v>
      </c>
      <c r="U302" s="175">
        <v>3439</v>
      </c>
      <c r="V302" s="100"/>
      <c r="W302" s="117"/>
      <c r="X302" s="117"/>
      <c r="Y302" s="117"/>
      <c r="Z302" s="109" t="s">
        <v>0</v>
      </c>
      <c r="AA302" s="117" t="s">
        <v>58</v>
      </c>
      <c r="AB302" s="117"/>
      <c r="AC302" s="117"/>
      <c r="AD302" s="117"/>
      <c r="AE302" s="119">
        <v>16</v>
      </c>
      <c r="AF302" s="120">
        <v>55</v>
      </c>
      <c r="AG302" s="120">
        <v>39</v>
      </c>
      <c r="AH302" s="108">
        <v>47</v>
      </c>
      <c r="AI302" s="119">
        <v>2.78</v>
      </c>
      <c r="AJ302" s="120"/>
      <c r="AK302" s="120">
        <v>0</v>
      </c>
      <c r="AL302" s="108"/>
      <c r="AM302" s="109"/>
      <c r="AN302" s="114"/>
      <c r="AO302" s="108"/>
      <c r="AP302" s="108"/>
      <c r="AQ302" s="108"/>
      <c r="AR302" s="109"/>
      <c r="AS302" s="128"/>
      <c r="AT302" s="128"/>
      <c r="AU302" s="128"/>
      <c r="AV302" s="120" t="s">
        <v>54</v>
      </c>
      <c r="AW302" s="128"/>
      <c r="AX302" s="138">
        <v>393</v>
      </c>
    </row>
    <row r="303" spans="1:50" ht="21" customHeight="1" x14ac:dyDescent="0.25">
      <c r="A303" s="138">
        <v>303</v>
      </c>
      <c r="B303" s="94"/>
      <c r="C303" s="95" t="s">
        <v>472</v>
      </c>
      <c r="D303" s="95" t="s">
        <v>47</v>
      </c>
      <c r="E303" s="95" t="s">
        <v>48</v>
      </c>
      <c r="F303" s="95" t="s">
        <v>473</v>
      </c>
      <c r="G303" s="97">
        <v>6</v>
      </c>
      <c r="H303" s="97">
        <v>6</v>
      </c>
      <c r="I303" s="97">
        <v>2025</v>
      </c>
      <c r="J303" s="97">
        <v>342</v>
      </c>
      <c r="K303" s="97" t="s">
        <v>466</v>
      </c>
      <c r="L303" s="98" t="s">
        <v>465</v>
      </c>
      <c r="M303" s="97">
        <v>1</v>
      </c>
      <c r="N303" s="97"/>
      <c r="O303" s="95"/>
      <c r="P303" s="99"/>
      <c r="Q303" s="99"/>
      <c r="R303" s="99"/>
      <c r="S303" s="95" t="s">
        <v>407</v>
      </c>
      <c r="T303" s="174">
        <v>629</v>
      </c>
      <c r="U303" s="94">
        <v>3500</v>
      </c>
      <c r="V303" s="100"/>
      <c r="W303" s="100"/>
      <c r="X303" s="100"/>
      <c r="Y303" s="100"/>
      <c r="Z303" s="122" t="s">
        <v>0</v>
      </c>
      <c r="AA303" s="100" t="s">
        <v>58</v>
      </c>
      <c r="AB303" s="123"/>
      <c r="AC303" s="123"/>
      <c r="AD303" s="123"/>
      <c r="AE303" s="132">
        <v>16.5</v>
      </c>
      <c r="AF303" s="105">
        <v>60</v>
      </c>
      <c r="AG303" s="105">
        <v>40</v>
      </c>
      <c r="AH303" s="127">
        <v>50</v>
      </c>
      <c r="AI303" s="124">
        <v>3.24</v>
      </c>
      <c r="AJ303" s="128"/>
      <c r="AK303" s="126">
        <v>0</v>
      </c>
      <c r="AL303" s="122"/>
      <c r="AM303" s="122"/>
      <c r="AN303" s="124"/>
      <c r="AO303" s="122"/>
      <c r="AP303" s="122"/>
      <c r="AQ303" s="122"/>
      <c r="AR303" s="122"/>
      <c r="AS303" s="125"/>
      <c r="AT303" s="125"/>
      <c r="AU303" s="125"/>
      <c r="AV303" s="120" t="s">
        <v>54</v>
      </c>
      <c r="AW303" s="125"/>
      <c r="AX303" s="138">
        <v>399</v>
      </c>
    </row>
    <row r="304" spans="1:50" ht="21" customHeight="1" x14ac:dyDescent="0.25">
      <c r="A304" s="138">
        <v>304</v>
      </c>
      <c r="B304" s="94"/>
      <c r="C304" s="95" t="s">
        <v>472</v>
      </c>
      <c r="D304" s="95" t="s">
        <v>47</v>
      </c>
      <c r="E304" s="95" t="s">
        <v>48</v>
      </c>
      <c r="F304" s="95" t="s">
        <v>473</v>
      </c>
      <c r="G304" s="97">
        <v>6</v>
      </c>
      <c r="H304" s="97">
        <v>6</v>
      </c>
      <c r="I304" s="97">
        <v>2025</v>
      </c>
      <c r="J304" s="97">
        <v>342</v>
      </c>
      <c r="K304" s="97" t="s">
        <v>466</v>
      </c>
      <c r="L304" s="98" t="s">
        <v>465</v>
      </c>
      <c r="M304" s="97">
        <v>1</v>
      </c>
      <c r="N304" s="97"/>
      <c r="O304" s="98"/>
      <c r="P304" s="99"/>
      <c r="Q304" s="99"/>
      <c r="R304" s="99"/>
      <c r="S304" s="98" t="s">
        <v>445</v>
      </c>
      <c r="T304" s="174">
        <v>630</v>
      </c>
      <c r="U304" s="94">
        <v>3741</v>
      </c>
      <c r="V304" s="100"/>
      <c r="W304" s="100"/>
      <c r="X304" s="100"/>
      <c r="Y304" s="100"/>
      <c r="Z304" s="101" t="s">
        <v>3</v>
      </c>
      <c r="AA304" s="100" t="s">
        <v>58</v>
      </c>
      <c r="AB304" s="100"/>
      <c r="AC304" s="100"/>
      <c r="AD304" s="100"/>
      <c r="AE304" s="121">
        <v>13.4</v>
      </c>
      <c r="AF304" s="103">
        <v>62</v>
      </c>
      <c r="AG304" s="103">
        <v>54</v>
      </c>
      <c r="AH304" s="104">
        <v>58</v>
      </c>
      <c r="AI304" s="102">
        <v>3.54</v>
      </c>
      <c r="AJ304" s="105"/>
      <c r="AK304" s="105">
        <v>0</v>
      </c>
      <c r="AL304" s="113"/>
      <c r="AM304" s="106"/>
      <c r="AN304" s="114"/>
      <c r="AO304" s="108"/>
      <c r="AP304" s="108"/>
      <c r="AQ304" s="108"/>
      <c r="AR304" s="109"/>
      <c r="AS304" s="110"/>
      <c r="AT304" s="110"/>
      <c r="AU304" s="111"/>
      <c r="AV304" s="112" t="s">
        <v>54</v>
      </c>
      <c r="AW304" s="110"/>
      <c r="AX304" s="138">
        <v>414</v>
      </c>
    </row>
    <row r="305" spans="1:50" ht="21" customHeight="1" x14ac:dyDescent="0.25">
      <c r="A305" s="138">
        <v>305</v>
      </c>
      <c r="B305" s="94"/>
      <c r="C305" s="95" t="s">
        <v>472</v>
      </c>
      <c r="D305" s="95" t="s">
        <v>47</v>
      </c>
      <c r="E305" s="95" t="s">
        <v>48</v>
      </c>
      <c r="F305" s="95" t="s">
        <v>473</v>
      </c>
      <c r="G305" s="97">
        <v>6</v>
      </c>
      <c r="H305" s="97">
        <v>6</v>
      </c>
      <c r="I305" s="97">
        <v>2025</v>
      </c>
      <c r="J305" s="97">
        <v>342</v>
      </c>
      <c r="K305" s="97" t="s">
        <v>466</v>
      </c>
      <c r="L305" s="98" t="s">
        <v>465</v>
      </c>
      <c r="M305" s="97">
        <v>1</v>
      </c>
      <c r="N305" s="97"/>
      <c r="O305" s="98"/>
      <c r="P305" s="99"/>
      <c r="Q305" s="99"/>
      <c r="R305" s="99"/>
      <c r="S305" s="98"/>
      <c r="T305" s="188">
        <v>631</v>
      </c>
      <c r="U305" s="189">
        <v>3798</v>
      </c>
      <c r="V305" s="190"/>
      <c r="W305" s="190"/>
      <c r="X305" s="190"/>
      <c r="Y305" s="190"/>
      <c r="Z305" s="191" t="s">
        <v>486</v>
      </c>
      <c r="AA305" s="190"/>
      <c r="AB305" s="190"/>
      <c r="AC305" s="190"/>
      <c r="AD305" s="190"/>
      <c r="AE305" s="192">
        <v>18.899999999999999</v>
      </c>
      <c r="AF305" s="193"/>
      <c r="AG305" s="193"/>
      <c r="AH305" s="194">
        <v>52</v>
      </c>
      <c r="AI305" s="192">
        <v>4.01</v>
      </c>
      <c r="AJ305" s="193"/>
      <c r="AK305" s="193"/>
      <c r="AL305" s="195">
        <v>4</v>
      </c>
      <c r="AM305" s="191">
        <f>COUNT(AI295:AI305)</f>
        <v>11</v>
      </c>
      <c r="AN305" s="187">
        <f>SUM(AI295:AI305)</f>
        <v>46.379999999999995</v>
      </c>
      <c r="AO305" s="108"/>
      <c r="AP305" s="108"/>
      <c r="AQ305" s="108"/>
      <c r="AR305" s="109"/>
      <c r="AS305" s="110"/>
      <c r="AT305" s="110"/>
      <c r="AU305" s="111"/>
      <c r="AV305" s="112"/>
      <c r="AW305" s="110"/>
      <c r="AX305" s="138">
        <v>420</v>
      </c>
    </row>
    <row r="306" spans="1:50" ht="21" customHeight="1" x14ac:dyDescent="0.25">
      <c r="A306" s="138">
        <v>306</v>
      </c>
      <c r="B306" s="94">
        <v>33</v>
      </c>
      <c r="C306" s="95" t="s">
        <v>481</v>
      </c>
      <c r="D306" s="95" t="s">
        <v>47</v>
      </c>
      <c r="E306" s="95" t="s">
        <v>456</v>
      </c>
      <c r="F306" s="95" t="s">
        <v>473</v>
      </c>
      <c r="G306" s="97">
        <v>6</v>
      </c>
      <c r="H306" s="97">
        <v>6</v>
      </c>
      <c r="I306" s="97">
        <v>2025</v>
      </c>
      <c r="J306" s="97">
        <v>343</v>
      </c>
      <c r="K306" s="97" t="s">
        <v>484</v>
      </c>
      <c r="L306" s="98" t="s">
        <v>458</v>
      </c>
      <c r="M306" s="97">
        <v>1</v>
      </c>
      <c r="N306" s="97"/>
      <c r="O306" s="98"/>
      <c r="P306" s="99"/>
      <c r="Q306" s="99"/>
      <c r="R306" s="99"/>
      <c r="S306" s="116" t="s">
        <v>201</v>
      </c>
      <c r="T306" s="174">
        <v>632</v>
      </c>
      <c r="U306" s="175">
        <v>2885</v>
      </c>
      <c r="V306" s="100"/>
      <c r="W306" s="117"/>
      <c r="X306" s="117"/>
      <c r="Y306" s="117"/>
      <c r="Z306" s="106" t="s">
        <v>0</v>
      </c>
      <c r="AA306" s="117" t="s">
        <v>58</v>
      </c>
      <c r="AB306" s="117"/>
      <c r="AC306" s="117"/>
      <c r="AD306" s="117"/>
      <c r="AE306" s="118">
        <v>21</v>
      </c>
      <c r="AF306" s="112">
        <v>55</v>
      </c>
      <c r="AG306" s="112">
        <v>43</v>
      </c>
      <c r="AH306" s="113">
        <v>49</v>
      </c>
      <c r="AI306" s="119">
        <v>3.96</v>
      </c>
      <c r="AJ306" s="120"/>
      <c r="AK306" s="120">
        <v>0</v>
      </c>
      <c r="AL306" s="106"/>
      <c r="AM306" s="106"/>
      <c r="AN306" s="107"/>
      <c r="AO306" s="106"/>
      <c r="AP306" s="106"/>
      <c r="AQ306" s="108"/>
      <c r="AR306" s="109"/>
      <c r="AS306" s="110"/>
      <c r="AT306" s="110"/>
      <c r="AU306" s="110"/>
      <c r="AV306" s="112" t="s">
        <v>54</v>
      </c>
      <c r="AW306" s="110"/>
      <c r="AX306" s="138">
        <v>323</v>
      </c>
    </row>
    <row r="307" spans="1:50" ht="21" customHeight="1" x14ac:dyDescent="0.25">
      <c r="A307" s="138">
        <v>307</v>
      </c>
      <c r="B307" s="94"/>
      <c r="C307" s="95" t="s">
        <v>481</v>
      </c>
      <c r="D307" s="95" t="s">
        <v>47</v>
      </c>
      <c r="E307" s="95" t="s">
        <v>456</v>
      </c>
      <c r="F307" s="95" t="s">
        <v>473</v>
      </c>
      <c r="G307" s="97">
        <v>6</v>
      </c>
      <c r="H307" s="97">
        <v>6</v>
      </c>
      <c r="I307" s="97">
        <v>2025</v>
      </c>
      <c r="J307" s="97">
        <v>343</v>
      </c>
      <c r="K307" s="97" t="s">
        <v>484</v>
      </c>
      <c r="L307" s="98" t="s">
        <v>458</v>
      </c>
      <c r="M307" s="97">
        <v>1</v>
      </c>
      <c r="N307" s="97"/>
      <c r="O307" s="98"/>
      <c r="P307" s="99"/>
      <c r="Q307" s="99"/>
      <c r="R307" s="99"/>
      <c r="S307" s="98"/>
      <c r="T307" s="188">
        <v>633</v>
      </c>
      <c r="U307" s="189">
        <v>3231</v>
      </c>
      <c r="V307" s="197"/>
      <c r="W307" s="197"/>
      <c r="X307" s="197"/>
      <c r="Y307" s="197"/>
      <c r="Z307" s="191" t="s">
        <v>486</v>
      </c>
      <c r="AA307" s="190"/>
      <c r="AB307" s="190"/>
      <c r="AC307" s="190"/>
      <c r="AD307" s="190"/>
      <c r="AE307" s="192">
        <v>18.600000000000001</v>
      </c>
      <c r="AF307" s="193"/>
      <c r="AG307" s="193"/>
      <c r="AH307" s="194">
        <v>49</v>
      </c>
      <c r="AI307" s="192">
        <v>2.91</v>
      </c>
      <c r="AJ307" s="193">
        <v>18</v>
      </c>
      <c r="AK307" s="193">
        <v>17</v>
      </c>
      <c r="AL307" s="195"/>
      <c r="AM307" s="196"/>
      <c r="AN307" s="198"/>
      <c r="AO307" s="108"/>
      <c r="AP307" s="108"/>
      <c r="AQ307" s="108"/>
      <c r="AR307" s="109"/>
      <c r="AS307" s="110"/>
      <c r="AT307" s="110"/>
      <c r="AU307" s="111"/>
      <c r="AV307" s="112"/>
      <c r="AW307" s="110"/>
      <c r="AX307" s="138">
        <v>421</v>
      </c>
    </row>
    <row r="308" spans="1:50" ht="21" customHeight="1" x14ac:dyDescent="0.25">
      <c r="A308" s="138">
        <v>308</v>
      </c>
      <c r="B308" s="94"/>
      <c r="C308" s="95" t="s">
        <v>481</v>
      </c>
      <c r="D308" s="95" t="s">
        <v>47</v>
      </c>
      <c r="E308" s="95" t="s">
        <v>456</v>
      </c>
      <c r="F308" s="95" t="s">
        <v>473</v>
      </c>
      <c r="G308" s="97">
        <v>6</v>
      </c>
      <c r="H308" s="97">
        <v>6</v>
      </c>
      <c r="I308" s="97">
        <v>2025</v>
      </c>
      <c r="J308" s="97">
        <v>343</v>
      </c>
      <c r="K308" s="97" t="s">
        <v>484</v>
      </c>
      <c r="L308" s="98" t="s">
        <v>458</v>
      </c>
      <c r="M308" s="97">
        <v>1</v>
      </c>
      <c r="N308" s="97"/>
      <c r="O308" s="98"/>
      <c r="P308" s="99"/>
      <c r="Q308" s="99"/>
      <c r="R308" s="99"/>
      <c r="S308" s="98" t="s">
        <v>212</v>
      </c>
      <c r="T308" s="174">
        <v>634</v>
      </c>
      <c r="U308" s="94">
        <v>2896</v>
      </c>
      <c r="V308" s="100"/>
      <c r="W308" s="100"/>
      <c r="X308" s="100"/>
      <c r="Y308" s="100"/>
      <c r="Z308" s="101" t="s">
        <v>0</v>
      </c>
      <c r="AA308" s="100" t="s">
        <v>58</v>
      </c>
      <c r="AB308" s="100"/>
      <c r="AC308" s="100"/>
      <c r="AD308" s="100"/>
      <c r="AE308" s="102">
        <v>20</v>
      </c>
      <c r="AF308" s="103">
        <v>56</v>
      </c>
      <c r="AG308" s="103">
        <v>40</v>
      </c>
      <c r="AH308" s="104">
        <v>48</v>
      </c>
      <c r="AI308" s="102">
        <v>3.62</v>
      </c>
      <c r="AJ308" s="105"/>
      <c r="AK308" s="105">
        <v>0</v>
      </c>
      <c r="AL308" s="113"/>
      <c r="AM308" s="113"/>
      <c r="AN308" s="114"/>
      <c r="AO308" s="108"/>
      <c r="AP308" s="108"/>
      <c r="AQ308" s="108"/>
      <c r="AR308" s="109"/>
      <c r="AS308" s="110"/>
      <c r="AT308" s="110"/>
      <c r="AU308" s="111"/>
      <c r="AV308" s="112" t="s">
        <v>54</v>
      </c>
      <c r="AW308" s="110"/>
      <c r="AX308" s="138">
        <v>332</v>
      </c>
    </row>
    <row r="309" spans="1:50" ht="21" customHeight="1" x14ac:dyDescent="0.25">
      <c r="A309" s="138">
        <v>310</v>
      </c>
      <c r="B309" s="94"/>
      <c r="C309" s="95" t="s">
        <v>481</v>
      </c>
      <c r="D309" s="95" t="s">
        <v>47</v>
      </c>
      <c r="E309" s="95" t="s">
        <v>456</v>
      </c>
      <c r="F309" s="95" t="s">
        <v>473</v>
      </c>
      <c r="G309" s="97">
        <v>6</v>
      </c>
      <c r="H309" s="97">
        <v>6</v>
      </c>
      <c r="I309" s="97">
        <v>2025</v>
      </c>
      <c r="J309" s="97">
        <v>343</v>
      </c>
      <c r="K309" s="97" t="s">
        <v>484</v>
      </c>
      <c r="L309" s="98" t="s">
        <v>458</v>
      </c>
      <c r="M309" s="97">
        <v>1</v>
      </c>
      <c r="N309" s="97"/>
      <c r="O309" s="98"/>
      <c r="P309" s="99"/>
      <c r="Q309" s="99"/>
      <c r="R309" s="99"/>
      <c r="S309" s="98" t="s">
        <v>213</v>
      </c>
      <c r="T309" s="174">
        <v>636</v>
      </c>
      <c r="U309" s="94">
        <v>2897</v>
      </c>
      <c r="V309" s="100"/>
      <c r="W309" s="100"/>
      <c r="X309" s="100"/>
      <c r="Y309" s="100"/>
      <c r="Z309" s="101" t="s">
        <v>3</v>
      </c>
      <c r="AA309" s="100" t="s">
        <v>58</v>
      </c>
      <c r="AB309" s="100"/>
      <c r="AC309" s="100"/>
      <c r="AD309" s="100"/>
      <c r="AE309" s="102">
        <v>19</v>
      </c>
      <c r="AF309" s="103">
        <v>73</v>
      </c>
      <c r="AG309" s="103">
        <v>59</v>
      </c>
      <c r="AH309" s="104">
        <v>66</v>
      </c>
      <c r="AI309" s="102">
        <v>6.5</v>
      </c>
      <c r="AJ309" s="105"/>
      <c r="AK309" s="105">
        <v>0</v>
      </c>
      <c r="AL309" s="113"/>
      <c r="AM309" s="106"/>
      <c r="AN309" s="114"/>
      <c r="AO309" s="108"/>
      <c r="AP309" s="108"/>
      <c r="AQ309" s="108"/>
      <c r="AR309" s="109"/>
      <c r="AS309" s="110"/>
      <c r="AT309" s="110"/>
      <c r="AU309" s="111"/>
      <c r="AV309" s="112" t="s">
        <v>54</v>
      </c>
      <c r="AW309" s="110"/>
      <c r="AX309" s="138">
        <v>333</v>
      </c>
    </row>
    <row r="310" spans="1:50" ht="21" customHeight="1" x14ac:dyDescent="0.25">
      <c r="A310" s="138">
        <v>311</v>
      </c>
      <c r="B310" s="94"/>
      <c r="C310" s="95" t="s">
        <v>481</v>
      </c>
      <c r="D310" s="95" t="s">
        <v>47</v>
      </c>
      <c r="E310" s="95" t="s">
        <v>456</v>
      </c>
      <c r="F310" s="95" t="s">
        <v>473</v>
      </c>
      <c r="G310" s="97">
        <v>6</v>
      </c>
      <c r="H310" s="97">
        <v>6</v>
      </c>
      <c r="I310" s="97">
        <v>2025</v>
      </c>
      <c r="J310" s="97">
        <v>343</v>
      </c>
      <c r="K310" s="97" t="s">
        <v>484</v>
      </c>
      <c r="L310" s="98" t="s">
        <v>458</v>
      </c>
      <c r="M310" s="97">
        <v>1</v>
      </c>
      <c r="N310" s="97"/>
      <c r="O310" s="98"/>
      <c r="P310" s="99"/>
      <c r="Q310" s="99"/>
      <c r="R310" s="99"/>
      <c r="S310" s="116" t="s">
        <v>202</v>
      </c>
      <c r="T310" s="174">
        <v>637</v>
      </c>
      <c r="U310" s="175">
        <v>2886</v>
      </c>
      <c r="V310" s="100"/>
      <c r="W310" s="117"/>
      <c r="X310" s="117"/>
      <c r="Y310" s="117"/>
      <c r="Z310" s="106" t="s">
        <v>0</v>
      </c>
      <c r="AA310" s="117" t="s">
        <v>58</v>
      </c>
      <c r="AB310" s="117"/>
      <c r="AC310" s="117"/>
      <c r="AD310" s="117"/>
      <c r="AE310" s="119">
        <v>16</v>
      </c>
      <c r="AF310" s="112">
        <v>76</v>
      </c>
      <c r="AG310" s="112">
        <v>63</v>
      </c>
      <c r="AH310" s="113">
        <v>69</v>
      </c>
      <c r="AI310" s="119">
        <v>5.98</v>
      </c>
      <c r="AJ310" s="105"/>
      <c r="AK310" s="120">
        <v>0</v>
      </c>
      <c r="AL310" s="106"/>
      <c r="AM310" s="106"/>
      <c r="AN310" s="107"/>
      <c r="AO310" s="106"/>
      <c r="AP310" s="106"/>
      <c r="AQ310" s="108"/>
      <c r="AR310" s="109"/>
      <c r="AS310" s="110"/>
      <c r="AT310" s="110"/>
      <c r="AU310" s="110"/>
      <c r="AV310" s="112" t="s">
        <v>54</v>
      </c>
      <c r="AW310" s="110"/>
      <c r="AX310" s="138">
        <v>324</v>
      </c>
    </row>
    <row r="311" spans="1:50" ht="21" customHeight="1" x14ac:dyDescent="0.25">
      <c r="A311" s="138">
        <v>312</v>
      </c>
      <c r="B311" s="94"/>
      <c r="C311" s="95" t="s">
        <v>481</v>
      </c>
      <c r="D311" s="95" t="s">
        <v>47</v>
      </c>
      <c r="E311" s="95" t="s">
        <v>456</v>
      </c>
      <c r="F311" s="95" t="s">
        <v>473</v>
      </c>
      <c r="G311" s="97">
        <v>6</v>
      </c>
      <c r="H311" s="97">
        <v>6</v>
      </c>
      <c r="I311" s="97">
        <v>2025</v>
      </c>
      <c r="J311" s="97">
        <v>343</v>
      </c>
      <c r="K311" s="97" t="s">
        <v>484</v>
      </c>
      <c r="L311" s="98" t="s">
        <v>458</v>
      </c>
      <c r="M311" s="97">
        <v>1</v>
      </c>
      <c r="N311" s="97"/>
      <c r="O311" s="98"/>
      <c r="P311" s="99"/>
      <c r="Q311" s="99"/>
      <c r="R311" s="99"/>
      <c r="S311" s="98" t="s">
        <v>171</v>
      </c>
      <c r="T311" s="174">
        <v>638</v>
      </c>
      <c r="U311" s="94">
        <v>2813</v>
      </c>
      <c r="V311" s="100"/>
      <c r="W311" s="100"/>
      <c r="X311" s="100"/>
      <c r="Y311" s="100"/>
      <c r="Z311" s="101" t="s">
        <v>1</v>
      </c>
      <c r="AA311" s="100" t="s">
        <v>58</v>
      </c>
      <c r="AB311" s="100"/>
      <c r="AC311" s="100"/>
      <c r="AD311" s="100"/>
      <c r="AE311" s="102">
        <v>19.7</v>
      </c>
      <c r="AF311" s="103">
        <v>88</v>
      </c>
      <c r="AG311" s="103">
        <v>66</v>
      </c>
      <c r="AH311" s="104">
        <v>77</v>
      </c>
      <c r="AI311" s="102">
        <v>9.17</v>
      </c>
      <c r="AJ311" s="105"/>
      <c r="AK311" s="105">
        <v>0</v>
      </c>
      <c r="AL311" s="113"/>
      <c r="AM311" s="106"/>
      <c r="AN311" s="114"/>
      <c r="AO311" s="108"/>
      <c r="AP311" s="108"/>
      <c r="AQ311" s="108"/>
      <c r="AR311" s="109"/>
      <c r="AS311" s="110"/>
      <c r="AT311" s="110"/>
      <c r="AU311" s="111"/>
      <c r="AV311" s="112" t="s">
        <v>54</v>
      </c>
      <c r="AW311" s="110"/>
      <c r="AX311" s="138">
        <v>317</v>
      </c>
    </row>
    <row r="312" spans="1:50" ht="21" customHeight="1" x14ac:dyDescent="0.25">
      <c r="A312" s="138">
        <v>313</v>
      </c>
      <c r="B312" s="94"/>
      <c r="C312" s="95" t="s">
        <v>481</v>
      </c>
      <c r="D312" s="95" t="s">
        <v>47</v>
      </c>
      <c r="E312" s="95" t="s">
        <v>456</v>
      </c>
      <c r="F312" s="95" t="s">
        <v>473</v>
      </c>
      <c r="G312" s="97">
        <v>6</v>
      </c>
      <c r="H312" s="97">
        <v>6</v>
      </c>
      <c r="I312" s="97">
        <v>2025</v>
      </c>
      <c r="J312" s="97">
        <v>343</v>
      </c>
      <c r="K312" s="97" t="s">
        <v>484</v>
      </c>
      <c r="L312" s="98" t="s">
        <v>458</v>
      </c>
      <c r="M312" s="97">
        <v>1</v>
      </c>
      <c r="N312" s="97"/>
      <c r="O312" s="95"/>
      <c r="P312" s="99"/>
      <c r="Q312" s="99"/>
      <c r="R312" s="99"/>
      <c r="S312" s="95" t="s">
        <v>301</v>
      </c>
      <c r="T312" s="174">
        <v>639</v>
      </c>
      <c r="U312" s="175">
        <v>3388</v>
      </c>
      <c r="V312" s="100"/>
      <c r="W312" s="100"/>
      <c r="X312" s="100"/>
      <c r="Y312" s="100"/>
      <c r="Z312" s="122" t="s">
        <v>302</v>
      </c>
      <c r="AA312" s="100" t="s">
        <v>58</v>
      </c>
      <c r="AB312" s="123"/>
      <c r="AC312" s="123"/>
      <c r="AD312" s="123"/>
      <c r="AE312" s="114">
        <v>11.1</v>
      </c>
      <c r="AF312" s="120">
        <v>58</v>
      </c>
      <c r="AG312" s="120">
        <v>46</v>
      </c>
      <c r="AH312" s="108">
        <v>52</v>
      </c>
      <c r="AI312" s="114">
        <v>2.36</v>
      </c>
      <c r="AJ312" s="120"/>
      <c r="AK312" s="111">
        <v>0</v>
      </c>
      <c r="AL312" s="122"/>
      <c r="AM312" s="122"/>
      <c r="AN312" s="124"/>
      <c r="AO312" s="122"/>
      <c r="AP312" s="122"/>
      <c r="AQ312" s="122"/>
      <c r="AR312" s="122"/>
      <c r="AS312" s="125"/>
      <c r="AT312" s="125"/>
      <c r="AU312" s="125"/>
      <c r="AV312" s="120" t="s">
        <v>54</v>
      </c>
      <c r="AW312" s="125"/>
      <c r="AX312" s="138">
        <v>376</v>
      </c>
    </row>
    <row r="313" spans="1:50" ht="21" customHeight="1" x14ac:dyDescent="0.25">
      <c r="A313" s="138">
        <v>314</v>
      </c>
      <c r="B313" s="94"/>
      <c r="C313" s="95" t="s">
        <v>481</v>
      </c>
      <c r="D313" s="95" t="s">
        <v>47</v>
      </c>
      <c r="E313" s="95" t="s">
        <v>456</v>
      </c>
      <c r="F313" s="95" t="s">
        <v>473</v>
      </c>
      <c r="G313" s="97">
        <v>6</v>
      </c>
      <c r="H313" s="97">
        <v>6</v>
      </c>
      <c r="I313" s="97">
        <v>2025</v>
      </c>
      <c r="J313" s="97">
        <v>343</v>
      </c>
      <c r="K313" s="97" t="s">
        <v>484</v>
      </c>
      <c r="L313" s="98" t="s">
        <v>458</v>
      </c>
      <c r="M313" s="97">
        <v>1</v>
      </c>
      <c r="N313" s="97"/>
      <c r="O313" s="98"/>
      <c r="P313" s="99"/>
      <c r="Q313" s="99"/>
      <c r="R313" s="99"/>
      <c r="S313" s="116" t="s">
        <v>59</v>
      </c>
      <c r="T313" s="174">
        <v>640</v>
      </c>
      <c r="U313" s="175">
        <v>181</v>
      </c>
      <c r="V313" s="100"/>
      <c r="W313" s="117"/>
      <c r="X313" s="117"/>
      <c r="Y313" s="117"/>
      <c r="Z313" s="106" t="s">
        <v>5</v>
      </c>
      <c r="AA313" s="117" t="s">
        <v>58</v>
      </c>
      <c r="AB313" s="117"/>
      <c r="AC313" s="117"/>
      <c r="AD313" s="117"/>
      <c r="AE313" s="118">
        <v>20.6</v>
      </c>
      <c r="AF313" s="112">
        <v>78</v>
      </c>
      <c r="AG313" s="112">
        <v>60</v>
      </c>
      <c r="AH313" s="113">
        <v>69</v>
      </c>
      <c r="AI313" s="119">
        <v>7.7</v>
      </c>
      <c r="AJ313" s="120"/>
      <c r="AK313" s="120">
        <v>0</v>
      </c>
      <c r="AL313" s="106"/>
      <c r="AM313" s="106"/>
      <c r="AN313" s="107"/>
      <c r="AO313" s="106"/>
      <c r="AP313" s="106"/>
      <c r="AQ313" s="108"/>
      <c r="AR313" s="109"/>
      <c r="AS313" s="110"/>
      <c r="AT313" s="110"/>
      <c r="AU313" s="110"/>
      <c r="AV313" s="112" t="s">
        <v>54</v>
      </c>
      <c r="AW313" s="110"/>
      <c r="AX313" s="138">
        <v>265</v>
      </c>
    </row>
    <row r="314" spans="1:50" ht="21" customHeight="1" x14ac:dyDescent="0.25">
      <c r="A314" s="138">
        <v>315</v>
      </c>
      <c r="B314" s="94"/>
      <c r="C314" s="95" t="s">
        <v>481</v>
      </c>
      <c r="D314" s="95" t="s">
        <v>47</v>
      </c>
      <c r="E314" s="95" t="s">
        <v>456</v>
      </c>
      <c r="F314" s="95" t="s">
        <v>473</v>
      </c>
      <c r="G314" s="97">
        <v>6</v>
      </c>
      <c r="H314" s="97">
        <v>6</v>
      </c>
      <c r="I314" s="97">
        <v>2025</v>
      </c>
      <c r="J314" s="97">
        <v>343</v>
      </c>
      <c r="K314" s="97" t="s">
        <v>484</v>
      </c>
      <c r="L314" s="98" t="s">
        <v>458</v>
      </c>
      <c r="M314" s="97">
        <v>1</v>
      </c>
      <c r="N314" s="97"/>
      <c r="O314" s="98"/>
      <c r="P314" s="99"/>
      <c r="Q314" s="99"/>
      <c r="R314" s="99"/>
      <c r="S314" s="98" t="s">
        <v>437</v>
      </c>
      <c r="T314" s="174">
        <v>641</v>
      </c>
      <c r="U314" s="94">
        <v>3732</v>
      </c>
      <c r="V314" s="100"/>
      <c r="W314" s="100"/>
      <c r="X314" s="100"/>
      <c r="Y314" s="100"/>
      <c r="Z314" s="101" t="s">
        <v>9</v>
      </c>
      <c r="AA314" s="100" t="s">
        <v>118</v>
      </c>
      <c r="AB314" s="100"/>
      <c r="AC314" s="100"/>
      <c r="AD314" s="100"/>
      <c r="AE314" s="121">
        <v>12.4</v>
      </c>
      <c r="AF314" s="103">
        <v>66</v>
      </c>
      <c r="AG314" s="103">
        <v>54</v>
      </c>
      <c r="AH314" s="104">
        <v>60</v>
      </c>
      <c r="AI314" s="102">
        <v>3.51</v>
      </c>
      <c r="AJ314" s="103"/>
      <c r="AK314" s="103">
        <v>0</v>
      </c>
      <c r="AL314" s="113">
        <v>5</v>
      </c>
      <c r="AM314" s="106">
        <f>COUNT(AI306:AI314)</f>
        <v>9</v>
      </c>
      <c r="AN314" s="114">
        <f>SUM(AI306:AI314)</f>
        <v>45.71</v>
      </c>
      <c r="AO314" s="108"/>
      <c r="AP314" s="108"/>
      <c r="AQ314" s="108"/>
      <c r="AR314" s="109"/>
      <c r="AS314" s="110"/>
      <c r="AT314" s="110"/>
      <c r="AU314" s="111"/>
      <c r="AV314" s="112" t="s">
        <v>54</v>
      </c>
      <c r="AW314" s="110"/>
      <c r="AX314" s="138">
        <v>412</v>
      </c>
    </row>
    <row r="315" spans="1:50" ht="21" customHeight="1" x14ac:dyDescent="0.25">
      <c r="A315" s="138">
        <v>332</v>
      </c>
      <c r="B315" s="94">
        <v>34</v>
      </c>
      <c r="C315" s="95" t="s">
        <v>481</v>
      </c>
      <c r="D315" s="95" t="s">
        <v>47</v>
      </c>
      <c r="E315" s="95" t="s">
        <v>456</v>
      </c>
      <c r="F315" s="95" t="s">
        <v>473</v>
      </c>
      <c r="G315" s="97">
        <v>6</v>
      </c>
      <c r="H315" s="97">
        <v>6</v>
      </c>
      <c r="I315" s="97">
        <v>2025</v>
      </c>
      <c r="J315" s="97">
        <v>341</v>
      </c>
      <c r="K315" s="97" t="s">
        <v>485</v>
      </c>
      <c r="L315" s="98" t="s">
        <v>50</v>
      </c>
      <c r="M315" s="97">
        <v>1</v>
      </c>
      <c r="N315" s="97"/>
      <c r="O315" s="98"/>
      <c r="P315" s="99"/>
      <c r="Q315" s="99"/>
      <c r="R315" s="99"/>
      <c r="S315" s="116" t="s">
        <v>100</v>
      </c>
      <c r="T315" s="174">
        <v>642</v>
      </c>
      <c r="U315" s="175">
        <v>224</v>
      </c>
      <c r="V315" s="100"/>
      <c r="W315" s="117"/>
      <c r="X315" s="117"/>
      <c r="Y315" s="117"/>
      <c r="Z315" s="106" t="s">
        <v>0</v>
      </c>
      <c r="AA315" s="117" t="s">
        <v>58</v>
      </c>
      <c r="AB315" s="117"/>
      <c r="AC315" s="117"/>
      <c r="AD315" s="117"/>
      <c r="AE315" s="118">
        <v>21</v>
      </c>
      <c r="AF315" s="112">
        <v>71</v>
      </c>
      <c r="AG315" s="112">
        <v>57</v>
      </c>
      <c r="AH315" s="113">
        <v>64</v>
      </c>
      <c r="AI315" s="119">
        <v>6.76</v>
      </c>
      <c r="AJ315" s="120"/>
      <c r="AK315" s="120">
        <v>0</v>
      </c>
      <c r="AL315" s="113"/>
      <c r="AM315" s="113"/>
      <c r="AN315" s="115"/>
      <c r="AO315" s="113"/>
      <c r="AP315" s="113"/>
      <c r="AQ315" s="108"/>
      <c r="AR315" s="109"/>
      <c r="AS315" s="110"/>
      <c r="AT315" s="110"/>
      <c r="AU315" s="110"/>
      <c r="AV315" s="112" t="s">
        <v>54</v>
      </c>
      <c r="AW315" s="110"/>
      <c r="AX315" s="138">
        <v>276</v>
      </c>
    </row>
    <row r="316" spans="1:50" ht="21" customHeight="1" x14ac:dyDescent="0.25">
      <c r="A316" s="138">
        <v>411</v>
      </c>
      <c r="B316" s="94"/>
      <c r="C316" s="95" t="s">
        <v>481</v>
      </c>
      <c r="D316" s="95" t="s">
        <v>47</v>
      </c>
      <c r="E316" s="95" t="s">
        <v>456</v>
      </c>
      <c r="F316" s="95" t="s">
        <v>473</v>
      </c>
      <c r="G316" s="97">
        <v>6</v>
      </c>
      <c r="H316" s="97">
        <v>6</v>
      </c>
      <c r="I316" s="97">
        <v>2025</v>
      </c>
      <c r="J316" s="97">
        <v>341</v>
      </c>
      <c r="K316" s="97" t="s">
        <v>485</v>
      </c>
      <c r="L316" s="98" t="s">
        <v>50</v>
      </c>
      <c r="M316" s="97">
        <v>1</v>
      </c>
      <c r="N316" s="97"/>
      <c r="O316" s="98"/>
      <c r="P316" s="99"/>
      <c r="Q316" s="99"/>
      <c r="R316" s="99"/>
      <c r="S316" s="98" t="s">
        <v>342</v>
      </c>
      <c r="T316" s="174">
        <v>643</v>
      </c>
      <c r="U316" s="94">
        <v>3433</v>
      </c>
      <c r="V316" s="100"/>
      <c r="W316" s="100"/>
      <c r="X316" s="100"/>
      <c r="Y316" s="100"/>
      <c r="Z316" s="101" t="s">
        <v>0</v>
      </c>
      <c r="AA316" s="100" t="s">
        <v>58</v>
      </c>
      <c r="AB316" s="100"/>
      <c r="AC316" s="100"/>
      <c r="AD316" s="100"/>
      <c r="AE316" s="102">
        <v>19</v>
      </c>
      <c r="AF316" s="103">
        <v>60</v>
      </c>
      <c r="AG316" s="103">
        <v>44</v>
      </c>
      <c r="AH316" s="104">
        <v>52</v>
      </c>
      <c r="AI316" s="102">
        <v>4.04</v>
      </c>
      <c r="AJ316" s="105"/>
      <c r="AK316" s="105">
        <v>0</v>
      </c>
      <c r="AL316" s="113"/>
      <c r="AM316" s="106"/>
      <c r="AN316" s="131"/>
      <c r="AO316" s="108"/>
      <c r="AP316" s="108"/>
      <c r="AQ316" s="108"/>
      <c r="AR316" s="109"/>
      <c r="AS316" s="110"/>
      <c r="AT316" s="110"/>
      <c r="AU316" s="111"/>
      <c r="AV316" s="112" t="s">
        <v>54</v>
      </c>
      <c r="AW316" s="110"/>
      <c r="AX316" s="138">
        <v>390</v>
      </c>
    </row>
    <row r="317" spans="1:50" ht="21" customHeight="1" x14ac:dyDescent="0.25">
      <c r="A317" s="138">
        <v>388</v>
      </c>
      <c r="B317" s="94"/>
      <c r="C317" s="95" t="s">
        <v>481</v>
      </c>
      <c r="D317" s="95" t="s">
        <v>47</v>
      </c>
      <c r="E317" s="95" t="s">
        <v>456</v>
      </c>
      <c r="F317" s="95" t="s">
        <v>473</v>
      </c>
      <c r="G317" s="97">
        <v>6</v>
      </c>
      <c r="H317" s="97">
        <v>6</v>
      </c>
      <c r="I317" s="97">
        <v>2025</v>
      </c>
      <c r="J317" s="97">
        <v>341</v>
      </c>
      <c r="K317" s="97" t="s">
        <v>485</v>
      </c>
      <c r="L317" s="98" t="s">
        <v>50</v>
      </c>
      <c r="M317" s="97">
        <v>1</v>
      </c>
      <c r="N317" s="97"/>
      <c r="O317" s="98"/>
      <c r="P317" s="99"/>
      <c r="Q317" s="99"/>
      <c r="R317" s="99"/>
      <c r="S317" s="98" t="s">
        <v>253</v>
      </c>
      <c r="T317" s="174">
        <v>644</v>
      </c>
      <c r="U317" s="94">
        <v>3029</v>
      </c>
      <c r="V317" s="100"/>
      <c r="W317" s="100"/>
      <c r="X317" s="100"/>
      <c r="Y317" s="100"/>
      <c r="Z317" s="101" t="s">
        <v>0</v>
      </c>
      <c r="AA317" s="100" t="s">
        <v>58</v>
      </c>
      <c r="AB317" s="100"/>
      <c r="AC317" s="100"/>
      <c r="AD317" s="100"/>
      <c r="AE317" s="121">
        <v>14.6</v>
      </c>
      <c r="AF317" s="103">
        <v>54</v>
      </c>
      <c r="AG317" s="103">
        <v>36</v>
      </c>
      <c r="AH317" s="104">
        <v>45</v>
      </c>
      <c r="AI317" s="121">
        <v>2.3199999999999998</v>
      </c>
      <c r="AJ317" s="103"/>
      <c r="AK317" s="103">
        <v>0</v>
      </c>
      <c r="AL317" s="113"/>
      <c r="AM317" s="106"/>
      <c r="AN317" s="114"/>
      <c r="AO317" s="108"/>
      <c r="AP317" s="108"/>
      <c r="AQ317" s="108"/>
      <c r="AR317" s="109"/>
      <c r="AS317" s="110"/>
      <c r="AT317" s="110"/>
      <c r="AU317" s="111"/>
      <c r="AV317" s="112" t="s">
        <v>54</v>
      </c>
      <c r="AW317" s="110"/>
      <c r="AX317" s="138">
        <v>355</v>
      </c>
    </row>
    <row r="318" spans="1:50" ht="21" customHeight="1" x14ac:dyDescent="0.25">
      <c r="A318" s="138">
        <v>392</v>
      </c>
      <c r="B318" s="94"/>
      <c r="C318" s="95" t="s">
        <v>481</v>
      </c>
      <c r="D318" s="95" t="s">
        <v>47</v>
      </c>
      <c r="E318" s="95" t="s">
        <v>456</v>
      </c>
      <c r="F318" s="95" t="s">
        <v>473</v>
      </c>
      <c r="G318" s="97">
        <v>6</v>
      </c>
      <c r="H318" s="97">
        <v>6</v>
      </c>
      <c r="I318" s="97">
        <v>2025</v>
      </c>
      <c r="J318" s="97">
        <v>341</v>
      </c>
      <c r="K318" s="97" t="s">
        <v>485</v>
      </c>
      <c r="L318" s="98" t="s">
        <v>50</v>
      </c>
      <c r="M318" s="97">
        <v>1</v>
      </c>
      <c r="N318" s="97"/>
      <c r="O318" s="98"/>
      <c r="P318" s="99"/>
      <c r="Q318" s="99"/>
      <c r="R318" s="99"/>
      <c r="S318" s="116" t="s">
        <v>271</v>
      </c>
      <c r="T318" s="174">
        <v>645</v>
      </c>
      <c r="U318" s="175">
        <v>3049</v>
      </c>
      <c r="V318" s="100"/>
      <c r="W318" s="117"/>
      <c r="X318" s="117"/>
      <c r="Y318" s="117"/>
      <c r="Z318" s="101" t="s">
        <v>5</v>
      </c>
      <c r="AA318" s="100" t="s">
        <v>58</v>
      </c>
      <c r="AB318" s="100"/>
      <c r="AC318" s="100"/>
      <c r="AD318" s="117"/>
      <c r="AE318" s="118">
        <v>17.3</v>
      </c>
      <c r="AF318" s="112">
        <v>90</v>
      </c>
      <c r="AG318" s="112">
        <v>68</v>
      </c>
      <c r="AH318" s="113">
        <v>79</v>
      </c>
      <c r="AI318" s="119">
        <v>8.14</v>
      </c>
      <c r="AJ318" s="120">
        <v>14</v>
      </c>
      <c r="AK318" s="120">
        <v>4</v>
      </c>
      <c r="AL318" s="113"/>
      <c r="AM318" s="113"/>
      <c r="AN318" s="115"/>
      <c r="AO318" s="113"/>
      <c r="AP318" s="113"/>
      <c r="AQ318" s="108"/>
      <c r="AR318" s="109"/>
      <c r="AS318" s="110"/>
      <c r="AT318" s="110"/>
      <c r="AU318" s="110"/>
      <c r="AV318" s="112" t="s">
        <v>54</v>
      </c>
      <c r="AW318" s="110"/>
      <c r="AX318" s="138">
        <v>361</v>
      </c>
    </row>
    <row r="319" spans="1:50" ht="21" customHeight="1" x14ac:dyDescent="0.25">
      <c r="A319" s="138">
        <v>387</v>
      </c>
      <c r="B319" s="94"/>
      <c r="C319" s="95" t="s">
        <v>481</v>
      </c>
      <c r="D319" s="95" t="s">
        <v>47</v>
      </c>
      <c r="E319" s="95" t="s">
        <v>456</v>
      </c>
      <c r="F319" s="95" t="s">
        <v>473</v>
      </c>
      <c r="G319" s="97">
        <v>6</v>
      </c>
      <c r="H319" s="97">
        <v>6</v>
      </c>
      <c r="I319" s="97">
        <v>2025</v>
      </c>
      <c r="J319" s="97">
        <v>341</v>
      </c>
      <c r="K319" s="97" t="s">
        <v>485</v>
      </c>
      <c r="L319" s="98" t="s">
        <v>50</v>
      </c>
      <c r="M319" s="97">
        <v>1</v>
      </c>
      <c r="N319" s="97"/>
      <c r="O319" s="98"/>
      <c r="P319" s="99"/>
      <c r="Q319" s="99"/>
      <c r="R319" s="99"/>
      <c r="S319" s="116" t="s">
        <v>247</v>
      </c>
      <c r="T319" s="174">
        <v>646</v>
      </c>
      <c r="U319" s="175">
        <v>3023</v>
      </c>
      <c r="V319" s="100"/>
      <c r="W319" s="117"/>
      <c r="X319" s="117"/>
      <c r="Y319" s="117"/>
      <c r="Z319" s="106" t="s">
        <v>0</v>
      </c>
      <c r="AA319" s="117" t="s">
        <v>58</v>
      </c>
      <c r="AB319" s="117"/>
      <c r="AC319" s="117"/>
      <c r="AD319" s="117"/>
      <c r="AE319" s="118">
        <v>20.6</v>
      </c>
      <c r="AF319" s="112">
        <v>64</v>
      </c>
      <c r="AG319" s="112">
        <v>58</v>
      </c>
      <c r="AH319" s="113">
        <v>61</v>
      </c>
      <c r="AI319" s="119">
        <v>6.02</v>
      </c>
      <c r="AJ319" s="120"/>
      <c r="AK319" s="120">
        <v>0</v>
      </c>
      <c r="AL319" s="113"/>
      <c r="AM319" s="106"/>
      <c r="AN319" s="131"/>
      <c r="AO319" s="108"/>
      <c r="AP319" s="108"/>
      <c r="AQ319" s="108"/>
      <c r="AR319" s="109"/>
      <c r="AS319" s="110"/>
      <c r="AT319" s="110"/>
      <c r="AU319" s="110"/>
      <c r="AV319" s="112" t="s">
        <v>54</v>
      </c>
      <c r="AW319" s="110"/>
      <c r="AX319" s="138">
        <v>352</v>
      </c>
    </row>
    <row r="320" spans="1:50" ht="21" customHeight="1" x14ac:dyDescent="0.25">
      <c r="A320" s="138">
        <v>389</v>
      </c>
      <c r="B320" s="94"/>
      <c r="C320" s="95" t="s">
        <v>481</v>
      </c>
      <c r="D320" s="95" t="s">
        <v>47</v>
      </c>
      <c r="E320" s="95" t="s">
        <v>456</v>
      </c>
      <c r="F320" s="95" t="s">
        <v>473</v>
      </c>
      <c r="G320" s="97">
        <v>6</v>
      </c>
      <c r="H320" s="97">
        <v>6</v>
      </c>
      <c r="I320" s="97">
        <v>2025</v>
      </c>
      <c r="J320" s="97">
        <v>341</v>
      </c>
      <c r="K320" s="97" t="s">
        <v>485</v>
      </c>
      <c r="L320" s="98" t="s">
        <v>50</v>
      </c>
      <c r="M320" s="97">
        <v>1</v>
      </c>
      <c r="N320" s="97"/>
      <c r="O320" s="98"/>
      <c r="P320" s="99"/>
      <c r="Q320" s="99"/>
      <c r="R320" s="99"/>
      <c r="S320" s="98" t="s">
        <v>254</v>
      </c>
      <c r="T320" s="174">
        <v>647</v>
      </c>
      <c r="U320" s="94">
        <v>3030</v>
      </c>
      <c r="V320" s="100"/>
      <c r="W320" s="100"/>
      <c r="X320" s="100"/>
      <c r="Y320" s="100"/>
      <c r="Z320" s="101" t="s">
        <v>0</v>
      </c>
      <c r="AA320" s="100" t="s">
        <v>58</v>
      </c>
      <c r="AB320" s="100"/>
      <c r="AC320" s="100"/>
      <c r="AD320" s="100"/>
      <c r="AE320" s="102">
        <v>14.6</v>
      </c>
      <c r="AF320" s="103">
        <v>66</v>
      </c>
      <c r="AG320" s="103">
        <v>51</v>
      </c>
      <c r="AH320" s="104">
        <v>58</v>
      </c>
      <c r="AI320" s="102">
        <v>3.86</v>
      </c>
      <c r="AJ320" s="105"/>
      <c r="AK320" s="105">
        <v>0</v>
      </c>
      <c r="AL320" s="113"/>
      <c r="AM320" s="106"/>
      <c r="AN320" s="114"/>
      <c r="AO320" s="108"/>
      <c r="AP320" s="108"/>
      <c r="AQ320" s="106"/>
      <c r="AR320" s="106"/>
      <c r="AS320" s="110"/>
      <c r="AT320" s="110"/>
      <c r="AU320" s="111"/>
      <c r="AV320" s="112" t="s">
        <v>54</v>
      </c>
      <c r="AW320" s="110"/>
      <c r="AX320" s="138">
        <v>356</v>
      </c>
    </row>
    <row r="321" spans="1:50" ht="21" customHeight="1" x14ac:dyDescent="0.25">
      <c r="A321" s="138">
        <v>412</v>
      </c>
      <c r="B321" s="94"/>
      <c r="C321" s="95" t="s">
        <v>481</v>
      </c>
      <c r="D321" s="95" t="s">
        <v>47</v>
      </c>
      <c r="E321" s="95" t="s">
        <v>456</v>
      </c>
      <c r="F321" s="95" t="s">
        <v>473</v>
      </c>
      <c r="G321" s="97">
        <v>6</v>
      </c>
      <c r="H321" s="97">
        <v>6</v>
      </c>
      <c r="I321" s="97">
        <v>2025</v>
      </c>
      <c r="J321" s="97">
        <v>341</v>
      </c>
      <c r="K321" s="97" t="s">
        <v>485</v>
      </c>
      <c r="L321" s="98" t="s">
        <v>50</v>
      </c>
      <c r="M321" s="97">
        <v>1</v>
      </c>
      <c r="N321" s="97"/>
      <c r="O321" s="95"/>
      <c r="P321" s="99"/>
      <c r="Q321" s="99"/>
      <c r="R321" s="99"/>
      <c r="S321" s="95" t="s">
        <v>350</v>
      </c>
      <c r="T321" s="174">
        <v>648</v>
      </c>
      <c r="U321" s="94">
        <v>3441</v>
      </c>
      <c r="V321" s="100"/>
      <c r="W321" s="100"/>
      <c r="X321" s="100"/>
      <c r="Y321" s="100"/>
      <c r="Z321" s="122" t="s">
        <v>0</v>
      </c>
      <c r="AA321" s="100" t="s">
        <v>58</v>
      </c>
      <c r="AB321" s="100"/>
      <c r="AC321" s="100"/>
      <c r="AD321" s="100"/>
      <c r="AE321" s="102">
        <v>11.5</v>
      </c>
      <c r="AF321" s="105">
        <v>65</v>
      </c>
      <c r="AG321" s="105">
        <v>55</v>
      </c>
      <c r="AH321" s="127">
        <v>60</v>
      </c>
      <c r="AI321" s="102">
        <v>3.25</v>
      </c>
      <c r="AJ321" s="105"/>
      <c r="AK321" s="105">
        <v>0</v>
      </c>
      <c r="AL321" s="108"/>
      <c r="AM321" s="109"/>
      <c r="AN321" s="114"/>
      <c r="AO321" s="108"/>
      <c r="AP321" s="108"/>
      <c r="AQ321" s="108"/>
      <c r="AR321" s="109"/>
      <c r="AS321" s="128"/>
      <c r="AT321" s="128"/>
      <c r="AU321" s="125"/>
      <c r="AV321" s="120" t="s">
        <v>54</v>
      </c>
      <c r="AW321" s="128"/>
      <c r="AX321" s="138">
        <v>394</v>
      </c>
    </row>
    <row r="322" spans="1:50" ht="21" customHeight="1" x14ac:dyDescent="0.25">
      <c r="A322" s="138">
        <v>414</v>
      </c>
      <c r="B322" s="94"/>
      <c r="C322" s="95" t="s">
        <v>481</v>
      </c>
      <c r="D322" s="95" t="s">
        <v>47</v>
      </c>
      <c r="E322" s="95" t="s">
        <v>456</v>
      </c>
      <c r="F322" s="95" t="s">
        <v>473</v>
      </c>
      <c r="G322" s="97">
        <v>6</v>
      </c>
      <c r="H322" s="97">
        <v>6</v>
      </c>
      <c r="I322" s="97">
        <v>2025</v>
      </c>
      <c r="J322" s="97">
        <v>341</v>
      </c>
      <c r="K322" s="97" t="s">
        <v>485</v>
      </c>
      <c r="L322" s="98" t="s">
        <v>50</v>
      </c>
      <c r="M322" s="97">
        <v>1</v>
      </c>
      <c r="N322" s="97"/>
      <c r="O322" s="98"/>
      <c r="P322" s="99"/>
      <c r="Q322" s="99"/>
      <c r="R322" s="99"/>
      <c r="S322" s="98" t="s">
        <v>399</v>
      </c>
      <c r="T322" s="174">
        <v>649</v>
      </c>
      <c r="U322" s="94">
        <v>3491</v>
      </c>
      <c r="V322" s="100"/>
      <c r="W322" s="100"/>
      <c r="X322" s="100"/>
      <c r="Y322" s="100"/>
      <c r="Z322" s="101" t="s">
        <v>0</v>
      </c>
      <c r="AA322" s="100" t="s">
        <v>58</v>
      </c>
      <c r="AB322" s="100"/>
      <c r="AC322" s="100"/>
      <c r="AD322" s="100"/>
      <c r="AE322" s="102">
        <v>19.100000000000001</v>
      </c>
      <c r="AF322" s="103">
        <v>57</v>
      </c>
      <c r="AG322" s="103">
        <v>38</v>
      </c>
      <c r="AH322" s="104">
        <v>47</v>
      </c>
      <c r="AI322" s="102">
        <v>3.31</v>
      </c>
      <c r="AJ322" s="105"/>
      <c r="AK322" s="105">
        <v>0</v>
      </c>
      <c r="AL322" s="113"/>
      <c r="AM322" s="113"/>
      <c r="AN322" s="115"/>
      <c r="AO322" s="113"/>
      <c r="AP322" s="113"/>
      <c r="AQ322" s="108"/>
      <c r="AR322" s="109"/>
      <c r="AS322" s="110"/>
      <c r="AT322" s="110"/>
      <c r="AU322" s="111"/>
      <c r="AV322" s="112" t="s">
        <v>54</v>
      </c>
      <c r="AW322" s="110"/>
      <c r="AX322" s="138">
        <v>397</v>
      </c>
    </row>
    <row r="323" spans="1:50" ht="21" customHeight="1" x14ac:dyDescent="0.25">
      <c r="A323" s="138">
        <v>419</v>
      </c>
      <c r="B323" s="94"/>
      <c r="C323" s="95" t="s">
        <v>481</v>
      </c>
      <c r="D323" s="95" t="s">
        <v>47</v>
      </c>
      <c r="E323" s="95" t="s">
        <v>456</v>
      </c>
      <c r="F323" s="95" t="s">
        <v>473</v>
      </c>
      <c r="G323" s="97">
        <v>6</v>
      </c>
      <c r="H323" s="97">
        <v>6</v>
      </c>
      <c r="I323" s="97">
        <v>2025</v>
      </c>
      <c r="J323" s="97">
        <v>341</v>
      </c>
      <c r="K323" s="97" t="s">
        <v>485</v>
      </c>
      <c r="L323" s="98" t="s">
        <v>50</v>
      </c>
      <c r="M323" s="97">
        <v>1</v>
      </c>
      <c r="N323" s="97"/>
      <c r="O323" s="98"/>
      <c r="P323" s="99"/>
      <c r="Q323" s="99"/>
      <c r="R323" s="99"/>
      <c r="S323" s="98" t="s">
        <v>431</v>
      </c>
      <c r="T323" s="174">
        <v>650</v>
      </c>
      <c r="U323" s="94">
        <v>3717</v>
      </c>
      <c r="V323" s="100"/>
      <c r="W323" s="100"/>
      <c r="X323" s="100"/>
      <c r="Y323" s="100"/>
      <c r="Z323" s="101" t="s">
        <v>0</v>
      </c>
      <c r="AA323" s="100" t="s">
        <v>58</v>
      </c>
      <c r="AB323" s="100"/>
      <c r="AC323" s="100"/>
      <c r="AD323" s="100"/>
      <c r="AE323" s="121">
        <v>19.3</v>
      </c>
      <c r="AF323" s="103">
        <v>84</v>
      </c>
      <c r="AG323" s="103">
        <v>66</v>
      </c>
      <c r="AH323" s="104">
        <v>75</v>
      </c>
      <c r="AI323" s="121">
        <v>8.5299999999999994</v>
      </c>
      <c r="AJ323" s="103"/>
      <c r="AK323" s="103">
        <v>0</v>
      </c>
      <c r="AL323" s="113">
        <v>6</v>
      </c>
      <c r="AM323" s="106">
        <f>COUNT(AI315:AI323)</f>
        <v>9</v>
      </c>
      <c r="AN323" s="114">
        <f>SUM(AI315:AI323)</f>
        <v>46.230000000000004</v>
      </c>
      <c r="AO323" s="108"/>
      <c r="AP323" s="108"/>
      <c r="AQ323" s="108"/>
      <c r="AR323" s="109"/>
      <c r="AS323" s="110"/>
      <c r="AT323" s="110"/>
      <c r="AU323" s="111"/>
      <c r="AV323" s="112" t="s">
        <v>54</v>
      </c>
      <c r="AW323" s="110"/>
      <c r="AX323" s="138">
        <v>408</v>
      </c>
    </row>
    <row r="324" spans="1:50" ht="21" customHeight="1" x14ac:dyDescent="0.25">
      <c r="A324" s="138">
        <v>372</v>
      </c>
      <c r="B324" s="94">
        <v>35</v>
      </c>
      <c r="C324" s="95" t="s">
        <v>481</v>
      </c>
      <c r="D324" s="95" t="s">
        <v>47</v>
      </c>
      <c r="E324" s="95" t="s">
        <v>456</v>
      </c>
      <c r="F324" s="95" t="s">
        <v>473</v>
      </c>
      <c r="G324" s="97">
        <v>6</v>
      </c>
      <c r="H324" s="97">
        <v>6</v>
      </c>
      <c r="I324" s="97">
        <v>2025</v>
      </c>
      <c r="J324" s="97">
        <v>336</v>
      </c>
      <c r="K324" s="97" t="s">
        <v>468</v>
      </c>
      <c r="L324" s="98" t="s">
        <v>469</v>
      </c>
      <c r="M324" s="97">
        <v>1</v>
      </c>
      <c r="N324" s="97"/>
      <c r="O324" s="98"/>
      <c r="P324" s="99"/>
      <c r="Q324" s="99"/>
      <c r="R324" s="99"/>
      <c r="S324" s="116" t="s">
        <v>185</v>
      </c>
      <c r="T324" s="174">
        <v>651</v>
      </c>
      <c r="U324" s="175">
        <v>2827</v>
      </c>
      <c r="V324" s="100"/>
      <c r="W324" s="117"/>
      <c r="X324" s="117"/>
      <c r="Y324" s="117"/>
      <c r="Z324" s="106" t="s">
        <v>2</v>
      </c>
      <c r="AA324" s="117" t="s">
        <v>58</v>
      </c>
      <c r="AB324" s="117"/>
      <c r="AC324" s="117"/>
      <c r="AD324" s="117"/>
      <c r="AE324" s="118">
        <v>21</v>
      </c>
      <c r="AF324" s="112">
        <v>76</v>
      </c>
      <c r="AG324" s="112">
        <v>53</v>
      </c>
      <c r="AH324" s="113">
        <v>64</v>
      </c>
      <c r="AI324" s="119">
        <v>6.76</v>
      </c>
      <c r="AJ324" s="120"/>
      <c r="AK324" s="120">
        <v>0</v>
      </c>
      <c r="AL324" s="113"/>
      <c r="AM324" s="113"/>
      <c r="AN324" s="114"/>
      <c r="AO324" s="108"/>
      <c r="AP324" s="108"/>
      <c r="AQ324" s="108"/>
      <c r="AR324" s="109"/>
      <c r="AS324" s="110"/>
      <c r="AT324" s="110"/>
      <c r="AU324" s="110"/>
      <c r="AV324" s="112" t="s">
        <v>54</v>
      </c>
      <c r="AW324" s="110"/>
      <c r="AX324" s="138">
        <v>318</v>
      </c>
    </row>
    <row r="325" spans="1:50" ht="21" customHeight="1" x14ac:dyDescent="0.25">
      <c r="A325" s="138">
        <v>376</v>
      </c>
      <c r="B325" s="94"/>
      <c r="C325" s="95" t="s">
        <v>481</v>
      </c>
      <c r="D325" s="95" t="s">
        <v>47</v>
      </c>
      <c r="E325" s="95" t="s">
        <v>456</v>
      </c>
      <c r="F325" s="95" t="s">
        <v>473</v>
      </c>
      <c r="G325" s="97">
        <v>6</v>
      </c>
      <c r="H325" s="97">
        <v>6</v>
      </c>
      <c r="I325" s="97">
        <v>2025</v>
      </c>
      <c r="J325" s="97">
        <v>336</v>
      </c>
      <c r="K325" s="97" t="s">
        <v>468</v>
      </c>
      <c r="L325" s="98" t="s">
        <v>469</v>
      </c>
      <c r="M325" s="97">
        <v>1</v>
      </c>
      <c r="N325" s="97"/>
      <c r="O325" s="98"/>
      <c r="P325" s="99"/>
      <c r="Q325" s="99"/>
      <c r="R325" s="99"/>
      <c r="S325" s="98" t="s">
        <v>204</v>
      </c>
      <c r="T325" s="174">
        <v>652</v>
      </c>
      <c r="U325" s="94">
        <v>2888</v>
      </c>
      <c r="V325" s="100"/>
      <c r="W325" s="100"/>
      <c r="X325" s="100"/>
      <c r="Y325" s="100"/>
      <c r="Z325" s="101" t="s">
        <v>0</v>
      </c>
      <c r="AA325" s="100" t="s">
        <v>58</v>
      </c>
      <c r="AB325" s="100"/>
      <c r="AC325" s="100"/>
      <c r="AD325" s="100"/>
      <c r="AE325" s="102">
        <v>15.4</v>
      </c>
      <c r="AF325" s="103">
        <v>67</v>
      </c>
      <c r="AG325" s="103">
        <v>53</v>
      </c>
      <c r="AH325" s="104">
        <v>60</v>
      </c>
      <c r="AI325" s="102">
        <v>4.3499999999999996</v>
      </c>
      <c r="AJ325" s="105"/>
      <c r="AK325" s="105">
        <v>0</v>
      </c>
      <c r="AL325" s="106"/>
      <c r="AM325" s="106"/>
      <c r="AN325" s="107"/>
      <c r="AO325" s="106"/>
      <c r="AP325" s="106"/>
      <c r="AQ325" s="108"/>
      <c r="AR325" s="109"/>
      <c r="AS325" s="110"/>
      <c r="AT325" s="110"/>
      <c r="AU325" s="111"/>
      <c r="AV325" s="112" t="s">
        <v>54</v>
      </c>
      <c r="AW325" s="110"/>
      <c r="AX325" s="138">
        <v>325</v>
      </c>
    </row>
    <row r="326" spans="1:50" ht="21" customHeight="1" x14ac:dyDescent="0.25">
      <c r="A326" s="138">
        <v>409</v>
      </c>
      <c r="B326" s="94"/>
      <c r="C326" s="95" t="s">
        <v>481</v>
      </c>
      <c r="D326" s="95" t="s">
        <v>47</v>
      </c>
      <c r="E326" s="95" t="s">
        <v>456</v>
      </c>
      <c r="F326" s="95" t="s">
        <v>473</v>
      </c>
      <c r="G326" s="97">
        <v>6</v>
      </c>
      <c r="H326" s="97">
        <v>6</v>
      </c>
      <c r="I326" s="97">
        <v>2025</v>
      </c>
      <c r="J326" s="97">
        <v>336</v>
      </c>
      <c r="K326" s="97" t="s">
        <v>468</v>
      </c>
      <c r="L326" s="98" t="s">
        <v>469</v>
      </c>
      <c r="M326" s="97">
        <v>1</v>
      </c>
      <c r="N326" s="100"/>
      <c r="O326" s="133"/>
      <c r="P326" s="134"/>
      <c r="Q326" s="134"/>
      <c r="R326" s="134"/>
      <c r="S326" s="185" t="s">
        <v>328</v>
      </c>
      <c r="T326" s="174">
        <v>653</v>
      </c>
      <c r="U326" s="94">
        <v>3416</v>
      </c>
      <c r="V326" s="100"/>
      <c r="W326" s="100"/>
      <c r="X326" s="100"/>
      <c r="Y326" s="100"/>
      <c r="Z326" s="122" t="s">
        <v>0</v>
      </c>
      <c r="AA326" s="100" t="s">
        <v>58</v>
      </c>
      <c r="AB326" s="100"/>
      <c r="AC326" s="100"/>
      <c r="AD326" s="100"/>
      <c r="AE326" s="102">
        <v>19.100000000000001</v>
      </c>
      <c r="AF326" s="127">
        <v>84</v>
      </c>
      <c r="AG326" s="127">
        <v>60</v>
      </c>
      <c r="AH326" s="127">
        <v>72</v>
      </c>
      <c r="AI326" s="102">
        <v>7.78</v>
      </c>
      <c r="AJ326" s="127"/>
      <c r="AK326" s="127">
        <v>0</v>
      </c>
      <c r="AL326" s="108"/>
      <c r="AM326" s="108"/>
      <c r="AN326" s="114"/>
      <c r="AO326" s="108"/>
      <c r="AP326" s="108"/>
      <c r="AQ326" s="108"/>
      <c r="AR326" s="109"/>
      <c r="AS326" s="109"/>
      <c r="AT326" s="109"/>
      <c r="AU326" s="122"/>
      <c r="AV326" s="120" t="s">
        <v>54</v>
      </c>
      <c r="AW326" s="109"/>
      <c r="AX326" s="138">
        <v>385</v>
      </c>
    </row>
    <row r="327" spans="1:50" ht="21" customHeight="1" x14ac:dyDescent="0.25">
      <c r="A327" s="138">
        <v>394</v>
      </c>
      <c r="B327" s="94"/>
      <c r="C327" s="95" t="s">
        <v>481</v>
      </c>
      <c r="D327" s="95" t="s">
        <v>47</v>
      </c>
      <c r="E327" s="95" t="s">
        <v>456</v>
      </c>
      <c r="F327" s="95" t="s">
        <v>473</v>
      </c>
      <c r="G327" s="97">
        <v>6</v>
      </c>
      <c r="H327" s="97">
        <v>6</v>
      </c>
      <c r="I327" s="97">
        <v>2025</v>
      </c>
      <c r="J327" s="97">
        <v>336</v>
      </c>
      <c r="K327" s="97" t="s">
        <v>468</v>
      </c>
      <c r="L327" s="98" t="s">
        <v>469</v>
      </c>
      <c r="M327" s="97">
        <v>1</v>
      </c>
      <c r="N327" s="97"/>
      <c r="O327" s="98"/>
      <c r="P327" s="99"/>
      <c r="Q327" s="99"/>
      <c r="R327" s="99"/>
      <c r="S327" s="98" t="s">
        <v>279</v>
      </c>
      <c r="T327" s="174">
        <v>654</v>
      </c>
      <c r="U327" s="94">
        <v>3199</v>
      </c>
      <c r="V327" s="100"/>
      <c r="W327" s="100"/>
      <c r="X327" s="100"/>
      <c r="Y327" s="100"/>
      <c r="Z327" s="101" t="s">
        <v>0</v>
      </c>
      <c r="AA327" s="100" t="s">
        <v>58</v>
      </c>
      <c r="AB327" s="100"/>
      <c r="AC327" s="100"/>
      <c r="AD327" s="100"/>
      <c r="AE327" s="102">
        <v>20.9</v>
      </c>
      <c r="AF327" s="103">
        <v>81</v>
      </c>
      <c r="AG327" s="103">
        <v>66</v>
      </c>
      <c r="AH327" s="104">
        <v>73</v>
      </c>
      <c r="AI327" s="102">
        <v>8.75</v>
      </c>
      <c r="AJ327" s="105"/>
      <c r="AK327" s="105">
        <v>0</v>
      </c>
      <c r="AL327" s="113"/>
      <c r="AM327" s="113"/>
      <c r="AN327" s="114"/>
      <c r="AO327" s="108"/>
      <c r="AP327" s="108"/>
      <c r="AQ327" s="108"/>
      <c r="AR327" s="109"/>
      <c r="AS327" s="110"/>
      <c r="AT327" s="110"/>
      <c r="AU327" s="111"/>
      <c r="AV327" s="112" t="s">
        <v>54</v>
      </c>
      <c r="AW327" s="110"/>
      <c r="AX327" s="138">
        <v>364</v>
      </c>
    </row>
    <row r="328" spans="1:50" ht="21" customHeight="1" x14ac:dyDescent="0.25">
      <c r="A328" s="138">
        <v>417</v>
      </c>
      <c r="B328" s="94"/>
      <c r="C328" s="95" t="s">
        <v>481</v>
      </c>
      <c r="D328" s="95" t="s">
        <v>47</v>
      </c>
      <c r="E328" s="95" t="s">
        <v>456</v>
      </c>
      <c r="F328" s="95" t="s">
        <v>473</v>
      </c>
      <c r="G328" s="97">
        <v>6</v>
      </c>
      <c r="H328" s="97">
        <v>6</v>
      </c>
      <c r="I328" s="97">
        <v>2025</v>
      </c>
      <c r="J328" s="97">
        <v>336</v>
      </c>
      <c r="K328" s="97" t="s">
        <v>468</v>
      </c>
      <c r="L328" s="98" t="s">
        <v>469</v>
      </c>
      <c r="M328" s="97">
        <v>1</v>
      </c>
      <c r="N328" s="97"/>
      <c r="O328" s="98"/>
      <c r="P328" s="99"/>
      <c r="Q328" s="99"/>
      <c r="R328" s="99"/>
      <c r="S328" s="98" t="s">
        <v>416</v>
      </c>
      <c r="T328" s="174">
        <v>655</v>
      </c>
      <c r="U328" s="94">
        <v>3513</v>
      </c>
      <c r="V328" s="100"/>
      <c r="W328" s="100"/>
      <c r="X328" s="100"/>
      <c r="Y328" s="100"/>
      <c r="Z328" s="101" t="s">
        <v>0</v>
      </c>
      <c r="AA328" s="100" t="s">
        <v>58</v>
      </c>
      <c r="AB328" s="100"/>
      <c r="AC328" s="100"/>
      <c r="AD328" s="100"/>
      <c r="AE328" s="102">
        <v>9.8000000000000007</v>
      </c>
      <c r="AF328" s="103">
        <v>75</v>
      </c>
      <c r="AG328" s="103">
        <v>60</v>
      </c>
      <c r="AH328" s="104">
        <v>67</v>
      </c>
      <c r="AI328" s="102">
        <v>3.23</v>
      </c>
      <c r="AJ328" s="105">
        <v>15</v>
      </c>
      <c r="AK328" s="105">
        <v>6.4</v>
      </c>
      <c r="AL328" s="113"/>
      <c r="AM328" s="106"/>
      <c r="AN328" s="114"/>
      <c r="AO328" s="108"/>
      <c r="AP328" s="108"/>
      <c r="AQ328" s="108"/>
      <c r="AR328" s="109"/>
      <c r="AS328" s="110"/>
      <c r="AT328" s="110"/>
      <c r="AU328" s="111"/>
      <c r="AV328" s="112" t="s">
        <v>54</v>
      </c>
      <c r="AW328" s="110"/>
      <c r="AX328" s="138">
        <v>402</v>
      </c>
    </row>
    <row r="329" spans="1:50" ht="21" customHeight="1" x14ac:dyDescent="0.25">
      <c r="A329" s="138">
        <v>395</v>
      </c>
      <c r="B329" s="94"/>
      <c r="C329" s="95" t="s">
        <v>481</v>
      </c>
      <c r="D329" s="95" t="s">
        <v>47</v>
      </c>
      <c r="E329" s="95" t="s">
        <v>456</v>
      </c>
      <c r="F329" s="95" t="s">
        <v>473</v>
      </c>
      <c r="G329" s="97">
        <v>6</v>
      </c>
      <c r="H329" s="97">
        <v>6</v>
      </c>
      <c r="I329" s="97">
        <v>2025</v>
      </c>
      <c r="J329" s="97">
        <v>336</v>
      </c>
      <c r="K329" s="97" t="s">
        <v>468</v>
      </c>
      <c r="L329" s="98" t="s">
        <v>469</v>
      </c>
      <c r="M329" s="97">
        <v>1</v>
      </c>
      <c r="N329" s="97"/>
      <c r="O329" s="98"/>
      <c r="P329" s="99"/>
      <c r="Q329" s="99"/>
      <c r="R329" s="99"/>
      <c r="S329" s="98" t="s">
        <v>280</v>
      </c>
      <c r="T329" s="174">
        <v>656</v>
      </c>
      <c r="U329" s="94">
        <v>3200</v>
      </c>
      <c r="V329" s="100"/>
      <c r="W329" s="100"/>
      <c r="X329" s="100"/>
      <c r="Y329" s="100"/>
      <c r="Z329" s="101" t="s">
        <v>0</v>
      </c>
      <c r="AA329" s="100" t="s">
        <v>58</v>
      </c>
      <c r="AB329" s="100"/>
      <c r="AC329" s="100"/>
      <c r="AD329" s="100"/>
      <c r="AE329" s="102">
        <v>21</v>
      </c>
      <c r="AF329" s="103">
        <v>85</v>
      </c>
      <c r="AG329" s="103">
        <v>73</v>
      </c>
      <c r="AH329" s="104">
        <v>79</v>
      </c>
      <c r="AI329" s="102">
        <v>10.29</v>
      </c>
      <c r="AJ329" s="105"/>
      <c r="AK329" s="105">
        <v>0</v>
      </c>
      <c r="AL329" s="113"/>
      <c r="AM329" s="113"/>
      <c r="AN329" s="114"/>
      <c r="AO329" s="108"/>
      <c r="AP329" s="108"/>
      <c r="AQ329" s="108"/>
      <c r="AR329" s="109"/>
      <c r="AS329" s="110"/>
      <c r="AT329" s="110"/>
      <c r="AU329" s="111"/>
      <c r="AV329" s="112" t="s">
        <v>54</v>
      </c>
      <c r="AW329" s="110"/>
      <c r="AX329" s="138">
        <v>365</v>
      </c>
    </row>
    <row r="330" spans="1:50" ht="21" customHeight="1" x14ac:dyDescent="0.25">
      <c r="A330" s="138">
        <v>390</v>
      </c>
      <c r="B330" s="94"/>
      <c r="C330" s="95" t="s">
        <v>481</v>
      </c>
      <c r="D330" s="95" t="s">
        <v>47</v>
      </c>
      <c r="E330" s="95" t="s">
        <v>456</v>
      </c>
      <c r="F330" s="95" t="s">
        <v>473</v>
      </c>
      <c r="G330" s="97">
        <v>6</v>
      </c>
      <c r="H330" s="97">
        <v>6</v>
      </c>
      <c r="I330" s="97">
        <v>2025</v>
      </c>
      <c r="J330" s="97">
        <v>336</v>
      </c>
      <c r="K330" s="97" t="s">
        <v>468</v>
      </c>
      <c r="L330" s="98" t="s">
        <v>469</v>
      </c>
      <c r="M330" s="97">
        <v>1</v>
      </c>
      <c r="N330" s="97"/>
      <c r="O330" s="98"/>
      <c r="P330" s="99"/>
      <c r="Q330" s="99"/>
      <c r="R330" s="99"/>
      <c r="S330" s="98" t="s">
        <v>260</v>
      </c>
      <c r="T330" s="174">
        <v>657</v>
      </c>
      <c r="U330" s="94">
        <v>3036</v>
      </c>
      <c r="V330" s="100"/>
      <c r="W330" s="100"/>
      <c r="X330" s="100"/>
      <c r="Y330" s="100"/>
      <c r="Z330" s="101" t="s">
        <v>0</v>
      </c>
      <c r="AA330" s="100" t="s">
        <v>58</v>
      </c>
      <c r="AB330" s="100"/>
      <c r="AC330" s="100"/>
      <c r="AD330" s="100"/>
      <c r="AE330" s="102">
        <v>18.399999999999999</v>
      </c>
      <c r="AF330" s="103">
        <v>45</v>
      </c>
      <c r="AG330" s="103">
        <v>33</v>
      </c>
      <c r="AH330" s="104">
        <v>39</v>
      </c>
      <c r="AI330" s="102">
        <v>2.2000000000000002</v>
      </c>
      <c r="AJ330" s="105"/>
      <c r="AK330" s="105">
        <v>0</v>
      </c>
      <c r="AL330" s="113"/>
      <c r="AM330" s="113"/>
      <c r="AN330" s="115"/>
      <c r="AO330" s="113"/>
      <c r="AP330" s="113"/>
      <c r="AQ330" s="108"/>
      <c r="AR330" s="109"/>
      <c r="AS330" s="110"/>
      <c r="AT330" s="110"/>
      <c r="AU330" s="111"/>
      <c r="AV330" s="112" t="s">
        <v>54</v>
      </c>
      <c r="AW330" s="110"/>
      <c r="AX330" s="138">
        <v>358</v>
      </c>
    </row>
    <row r="331" spans="1:50" ht="21" customHeight="1" x14ac:dyDescent="0.25">
      <c r="A331" s="138">
        <v>398</v>
      </c>
      <c r="B331" s="94"/>
      <c r="C331" s="95" t="s">
        <v>481</v>
      </c>
      <c r="D331" s="95" t="s">
        <v>47</v>
      </c>
      <c r="E331" s="95" t="s">
        <v>456</v>
      </c>
      <c r="F331" s="95" t="s">
        <v>473</v>
      </c>
      <c r="G331" s="97">
        <v>6</v>
      </c>
      <c r="H331" s="97">
        <v>6</v>
      </c>
      <c r="I331" s="97">
        <v>2025</v>
      </c>
      <c r="J331" s="97">
        <v>336</v>
      </c>
      <c r="K331" s="97" t="s">
        <v>468</v>
      </c>
      <c r="L331" s="98" t="s">
        <v>469</v>
      </c>
      <c r="M331" s="97">
        <v>1</v>
      </c>
      <c r="N331" s="97"/>
      <c r="O331" s="98"/>
      <c r="P331" s="99"/>
      <c r="Q331" s="99"/>
      <c r="R331" s="99"/>
      <c r="S331" s="98" t="s">
        <v>291</v>
      </c>
      <c r="T331" s="174">
        <v>658</v>
      </c>
      <c r="U331" s="94">
        <v>3212</v>
      </c>
      <c r="V331" s="100"/>
      <c r="W331" s="100"/>
      <c r="X331" s="100"/>
      <c r="Y331" s="100"/>
      <c r="Z331" s="101" t="s">
        <v>0</v>
      </c>
      <c r="AA331" s="100" t="s">
        <v>58</v>
      </c>
      <c r="AB331" s="100"/>
      <c r="AC331" s="100"/>
      <c r="AD331" s="100"/>
      <c r="AE331" s="102">
        <v>15</v>
      </c>
      <c r="AF331" s="103">
        <v>50</v>
      </c>
      <c r="AG331" s="103">
        <v>36</v>
      </c>
      <c r="AH331" s="104">
        <v>43</v>
      </c>
      <c r="AI331" s="102">
        <v>2.0299999999999998</v>
      </c>
      <c r="AJ331" s="105">
        <v>10</v>
      </c>
      <c r="AK331" s="105">
        <v>6.9</v>
      </c>
      <c r="AL331" s="113">
        <v>7</v>
      </c>
      <c r="AM331" s="106">
        <f>COUNT(AI324:AI331)</f>
        <v>8</v>
      </c>
      <c r="AN331" s="131">
        <f>SUM(AI324:AI331)</f>
        <v>45.39</v>
      </c>
      <c r="AO331" s="108"/>
      <c r="AP331" s="108"/>
      <c r="AQ331" s="106"/>
      <c r="AR331" s="106"/>
      <c r="AS331" s="110"/>
      <c r="AT331" s="110"/>
      <c r="AU331" s="111"/>
      <c r="AV331" s="112" t="s">
        <v>54</v>
      </c>
      <c r="AW331" s="110"/>
      <c r="AX331" s="138">
        <v>370</v>
      </c>
    </row>
    <row r="332" spans="1:50" ht="21" customHeight="1" x14ac:dyDescent="0.25">
      <c r="A332" s="138">
        <v>420</v>
      </c>
      <c r="B332" s="94">
        <v>36</v>
      </c>
      <c r="C332" s="95" t="s">
        <v>481</v>
      </c>
      <c r="D332" s="95" t="s">
        <v>47</v>
      </c>
      <c r="E332" s="95" t="s">
        <v>48</v>
      </c>
      <c r="F332" s="95" t="s">
        <v>473</v>
      </c>
      <c r="G332" s="97">
        <v>6</v>
      </c>
      <c r="H332" s="97">
        <v>6</v>
      </c>
      <c r="I332" s="97">
        <v>2025</v>
      </c>
      <c r="J332" s="97">
        <v>331</v>
      </c>
      <c r="K332" s="97" t="s">
        <v>470</v>
      </c>
      <c r="L332" s="98" t="s">
        <v>479</v>
      </c>
      <c r="M332" s="97">
        <v>1</v>
      </c>
      <c r="N332" s="97"/>
      <c r="O332" s="98"/>
      <c r="P332" s="99"/>
      <c r="Q332" s="99"/>
      <c r="R332" s="99"/>
      <c r="S332" s="98" t="s">
        <v>432</v>
      </c>
      <c r="T332" s="174">
        <v>659</v>
      </c>
      <c r="U332" s="94">
        <v>3718</v>
      </c>
      <c r="V332" s="100"/>
      <c r="W332" s="100"/>
      <c r="X332" s="100"/>
      <c r="Y332" s="100"/>
      <c r="Z332" s="101" t="s">
        <v>0</v>
      </c>
      <c r="AA332" s="100" t="s">
        <v>58</v>
      </c>
      <c r="AB332" s="100"/>
      <c r="AC332" s="100"/>
      <c r="AD332" s="100"/>
      <c r="AE332" s="121">
        <v>17.8</v>
      </c>
      <c r="AF332" s="103">
        <v>60</v>
      </c>
      <c r="AG332" s="103">
        <v>41</v>
      </c>
      <c r="AH332" s="104">
        <v>50</v>
      </c>
      <c r="AI332" s="102">
        <v>3.5</v>
      </c>
      <c r="AJ332" s="105"/>
      <c r="AK332" s="105">
        <v>0</v>
      </c>
      <c r="AL332" s="113"/>
      <c r="AM332" s="106"/>
      <c r="AN332" s="114"/>
      <c r="AO332" s="108"/>
      <c r="AP332" s="108"/>
      <c r="AQ332" s="108"/>
      <c r="AR332" s="109"/>
      <c r="AS332" s="110"/>
      <c r="AT332" s="110"/>
      <c r="AU332" s="111"/>
      <c r="AV332" s="112" t="s">
        <v>54</v>
      </c>
      <c r="AW332" s="110"/>
      <c r="AX332" s="138">
        <v>409</v>
      </c>
    </row>
    <row r="333" spans="1:50" ht="21" customHeight="1" x14ac:dyDescent="0.25">
      <c r="A333" s="138">
        <v>425</v>
      </c>
      <c r="B333" s="94"/>
      <c r="C333" s="95" t="s">
        <v>481</v>
      </c>
      <c r="D333" s="95" t="s">
        <v>47</v>
      </c>
      <c r="E333" s="95" t="s">
        <v>48</v>
      </c>
      <c r="F333" s="95" t="s">
        <v>473</v>
      </c>
      <c r="G333" s="97">
        <v>6</v>
      </c>
      <c r="H333" s="97">
        <v>6</v>
      </c>
      <c r="I333" s="97">
        <v>2025</v>
      </c>
      <c r="J333" s="97">
        <v>331</v>
      </c>
      <c r="K333" s="97" t="s">
        <v>470</v>
      </c>
      <c r="L333" s="98" t="s">
        <v>479</v>
      </c>
      <c r="M333" s="97">
        <v>1</v>
      </c>
      <c r="N333" s="97"/>
      <c r="O333" s="98"/>
      <c r="P333" s="99"/>
      <c r="Q333" s="99"/>
      <c r="R333" s="99"/>
      <c r="S333" s="98" t="s">
        <v>454</v>
      </c>
      <c r="T333" s="174">
        <v>660</v>
      </c>
      <c r="U333" s="94">
        <v>3847</v>
      </c>
      <c r="V333" s="100"/>
      <c r="W333" s="100"/>
      <c r="X333" s="100"/>
      <c r="Y333" s="100"/>
      <c r="Z333" s="101" t="s">
        <v>0</v>
      </c>
      <c r="AA333" s="100" t="s">
        <v>58</v>
      </c>
      <c r="AB333" s="100"/>
      <c r="AC333" s="100"/>
      <c r="AD333" s="100"/>
      <c r="AE333" s="121">
        <v>15.6</v>
      </c>
      <c r="AF333" s="103">
        <v>58</v>
      </c>
      <c r="AG333" s="103">
        <v>50</v>
      </c>
      <c r="AH333" s="104">
        <v>54</v>
      </c>
      <c r="AI333" s="102">
        <v>3.57</v>
      </c>
      <c r="AJ333" s="112"/>
      <c r="AK333" s="105">
        <v>0</v>
      </c>
      <c r="AL333" s="113"/>
      <c r="AM333" s="106"/>
      <c r="AN333" s="114"/>
      <c r="AO333" s="108"/>
      <c r="AP333" s="108"/>
      <c r="AQ333" s="108"/>
      <c r="AR333" s="109"/>
      <c r="AS333" s="110"/>
      <c r="AT333" s="110"/>
      <c r="AU333" s="111"/>
      <c r="AV333" s="112" t="s">
        <v>54</v>
      </c>
      <c r="AW333" s="110"/>
      <c r="AX333" s="138">
        <v>417</v>
      </c>
    </row>
    <row r="334" spans="1:50" ht="21" customHeight="1" x14ac:dyDescent="0.25">
      <c r="A334" s="138">
        <v>377</v>
      </c>
      <c r="B334" s="94"/>
      <c r="C334" s="95" t="s">
        <v>481</v>
      </c>
      <c r="D334" s="95" t="s">
        <v>47</v>
      </c>
      <c r="E334" s="95" t="s">
        <v>48</v>
      </c>
      <c r="F334" s="95" t="s">
        <v>473</v>
      </c>
      <c r="G334" s="97">
        <v>6</v>
      </c>
      <c r="H334" s="97">
        <v>6</v>
      </c>
      <c r="I334" s="97">
        <v>2025</v>
      </c>
      <c r="J334" s="97">
        <v>331</v>
      </c>
      <c r="K334" s="97" t="s">
        <v>470</v>
      </c>
      <c r="L334" s="98" t="s">
        <v>479</v>
      </c>
      <c r="M334" s="97">
        <v>1</v>
      </c>
      <c r="N334" s="97"/>
      <c r="O334" s="98"/>
      <c r="P334" s="99"/>
      <c r="Q334" s="99"/>
      <c r="R334" s="99"/>
      <c r="S334" s="98" t="s">
        <v>205</v>
      </c>
      <c r="T334" s="174">
        <v>661</v>
      </c>
      <c r="U334" s="94">
        <v>2889</v>
      </c>
      <c r="V334" s="100"/>
      <c r="W334" s="100"/>
      <c r="X334" s="100"/>
      <c r="Y334" s="100"/>
      <c r="Z334" s="101" t="s">
        <v>0</v>
      </c>
      <c r="AA334" s="100" t="s">
        <v>58</v>
      </c>
      <c r="AB334" s="100"/>
      <c r="AC334" s="100"/>
      <c r="AD334" s="100"/>
      <c r="AE334" s="102">
        <v>10.199999999999999</v>
      </c>
      <c r="AF334" s="103">
        <v>70</v>
      </c>
      <c r="AG334" s="103">
        <v>66</v>
      </c>
      <c r="AH334" s="104">
        <v>68</v>
      </c>
      <c r="AI334" s="102">
        <v>3.7</v>
      </c>
      <c r="AJ334" s="105"/>
      <c r="AK334" s="105">
        <v>0</v>
      </c>
      <c r="AL334" s="113"/>
      <c r="AM334" s="113"/>
      <c r="AN334" s="114"/>
      <c r="AO334" s="108"/>
      <c r="AP334" s="108"/>
      <c r="AQ334" s="108"/>
      <c r="AR334" s="109"/>
      <c r="AS334" s="110"/>
      <c r="AT334" s="110"/>
      <c r="AU334" s="111"/>
      <c r="AV334" s="112" t="s">
        <v>54</v>
      </c>
      <c r="AW334" s="110"/>
      <c r="AX334" s="138">
        <v>326</v>
      </c>
    </row>
    <row r="335" spans="1:50" ht="21" customHeight="1" x14ac:dyDescent="0.25">
      <c r="A335" s="138">
        <v>418</v>
      </c>
      <c r="B335" s="94"/>
      <c r="C335" s="95" t="s">
        <v>481</v>
      </c>
      <c r="D335" s="95" t="s">
        <v>47</v>
      </c>
      <c r="E335" s="95" t="s">
        <v>48</v>
      </c>
      <c r="F335" s="95" t="s">
        <v>473</v>
      </c>
      <c r="G335" s="97">
        <v>6</v>
      </c>
      <c r="H335" s="97">
        <v>6</v>
      </c>
      <c r="I335" s="97">
        <v>2025</v>
      </c>
      <c r="J335" s="97">
        <v>331</v>
      </c>
      <c r="K335" s="97" t="s">
        <v>470</v>
      </c>
      <c r="L335" s="98" t="s">
        <v>479</v>
      </c>
      <c r="M335" s="97">
        <v>1</v>
      </c>
      <c r="N335" s="97"/>
      <c r="O335" s="98"/>
      <c r="P335" s="99"/>
      <c r="Q335" s="99"/>
      <c r="R335" s="99"/>
      <c r="S335" s="98" t="s">
        <v>422</v>
      </c>
      <c r="T335" s="174">
        <v>662</v>
      </c>
      <c r="U335" s="94">
        <v>3704</v>
      </c>
      <c r="V335" s="100"/>
      <c r="W335" s="100"/>
      <c r="X335" s="100"/>
      <c r="Y335" s="100"/>
      <c r="Z335" s="101" t="s">
        <v>302</v>
      </c>
      <c r="AA335" s="100" t="s">
        <v>58</v>
      </c>
      <c r="AB335" s="100"/>
      <c r="AC335" s="100"/>
      <c r="AD335" s="100"/>
      <c r="AE335" s="121">
        <v>19.399999999999999</v>
      </c>
      <c r="AF335" s="103">
        <v>70</v>
      </c>
      <c r="AG335" s="103">
        <v>51</v>
      </c>
      <c r="AH335" s="104">
        <v>60</v>
      </c>
      <c r="AI335" s="121">
        <v>5.49</v>
      </c>
      <c r="AJ335" s="103"/>
      <c r="AK335" s="103">
        <v>0</v>
      </c>
      <c r="AL335" s="113"/>
      <c r="AM335" s="106"/>
      <c r="AN335" s="114"/>
      <c r="AO335" s="108"/>
      <c r="AP335" s="108"/>
      <c r="AQ335" s="108"/>
      <c r="AR335" s="109"/>
      <c r="AS335" s="110"/>
      <c r="AT335" s="110"/>
      <c r="AU335" s="111"/>
      <c r="AV335" s="112" t="s">
        <v>54</v>
      </c>
      <c r="AW335" s="110"/>
      <c r="AX335" s="138">
        <v>405</v>
      </c>
    </row>
    <row r="336" spans="1:50" ht="21" customHeight="1" x14ac:dyDescent="0.25">
      <c r="A336" s="138">
        <v>371</v>
      </c>
      <c r="B336" s="94"/>
      <c r="C336" s="95" t="s">
        <v>481</v>
      </c>
      <c r="D336" s="95" t="s">
        <v>47</v>
      </c>
      <c r="E336" s="95" t="s">
        <v>48</v>
      </c>
      <c r="F336" s="95" t="s">
        <v>473</v>
      </c>
      <c r="G336" s="97">
        <v>6</v>
      </c>
      <c r="H336" s="97">
        <v>6</v>
      </c>
      <c r="I336" s="97">
        <v>2025</v>
      </c>
      <c r="J336" s="97">
        <v>331</v>
      </c>
      <c r="K336" s="97" t="s">
        <v>470</v>
      </c>
      <c r="L336" s="98" t="s">
        <v>479</v>
      </c>
      <c r="M336" s="97">
        <v>1</v>
      </c>
      <c r="N336" s="97"/>
      <c r="O336" s="98"/>
      <c r="P336" s="99"/>
      <c r="Q336" s="99"/>
      <c r="R336" s="99"/>
      <c r="S336" s="98" t="s">
        <v>166</v>
      </c>
      <c r="T336" s="174">
        <v>663</v>
      </c>
      <c r="U336" s="94">
        <v>2805</v>
      </c>
      <c r="V336" s="100"/>
      <c r="W336" s="100"/>
      <c r="X336" s="100"/>
      <c r="Y336" s="100"/>
      <c r="Z336" s="101" t="s">
        <v>0</v>
      </c>
      <c r="AA336" s="100" t="s">
        <v>58</v>
      </c>
      <c r="AB336" s="100"/>
      <c r="AC336" s="100"/>
      <c r="AD336" s="100"/>
      <c r="AE336" s="102">
        <v>17.899999999999999</v>
      </c>
      <c r="AF336" s="103">
        <v>57</v>
      </c>
      <c r="AG336" s="103">
        <v>40</v>
      </c>
      <c r="AH336" s="104">
        <v>48</v>
      </c>
      <c r="AI336" s="102">
        <v>3.24</v>
      </c>
      <c r="AJ336" s="105"/>
      <c r="AK336" s="105">
        <v>0</v>
      </c>
      <c r="AL336" s="113"/>
      <c r="AM336" s="106"/>
      <c r="AN336" s="114"/>
      <c r="AO336" s="108"/>
      <c r="AP336" s="108"/>
      <c r="AQ336" s="108"/>
      <c r="AR336" s="109"/>
      <c r="AS336" s="110"/>
      <c r="AT336" s="110"/>
      <c r="AU336" s="111"/>
      <c r="AV336" s="112" t="s">
        <v>54</v>
      </c>
      <c r="AW336" s="110"/>
      <c r="AX336" s="138">
        <v>316</v>
      </c>
    </row>
    <row r="337" spans="1:50" ht="21" customHeight="1" x14ac:dyDescent="0.25">
      <c r="A337" s="138">
        <v>379</v>
      </c>
      <c r="B337" s="94"/>
      <c r="C337" s="95" t="s">
        <v>481</v>
      </c>
      <c r="D337" s="95" t="s">
        <v>47</v>
      </c>
      <c r="E337" s="95" t="s">
        <v>48</v>
      </c>
      <c r="F337" s="95" t="s">
        <v>473</v>
      </c>
      <c r="G337" s="97">
        <v>6</v>
      </c>
      <c r="H337" s="97">
        <v>6</v>
      </c>
      <c r="I337" s="97">
        <v>2025</v>
      </c>
      <c r="J337" s="97">
        <v>331</v>
      </c>
      <c r="K337" s="97" t="s">
        <v>470</v>
      </c>
      <c r="L337" s="98" t="s">
        <v>479</v>
      </c>
      <c r="M337" s="97">
        <v>1</v>
      </c>
      <c r="N337" s="97"/>
      <c r="O337" s="98"/>
      <c r="P337" s="99"/>
      <c r="Q337" s="99"/>
      <c r="R337" s="99"/>
      <c r="S337" s="98" t="s">
        <v>209</v>
      </c>
      <c r="T337" s="174">
        <v>664</v>
      </c>
      <c r="U337" s="94">
        <v>2893</v>
      </c>
      <c r="V337" s="100"/>
      <c r="W337" s="100"/>
      <c r="X337" s="100"/>
      <c r="Y337" s="100"/>
      <c r="Z337" s="101" t="s">
        <v>0</v>
      </c>
      <c r="AA337" s="100" t="s">
        <v>58</v>
      </c>
      <c r="AB337" s="100"/>
      <c r="AC337" s="100"/>
      <c r="AD337" s="100"/>
      <c r="AE337" s="102">
        <v>16.899999999999999</v>
      </c>
      <c r="AF337" s="103">
        <v>81</v>
      </c>
      <c r="AG337" s="103">
        <v>74</v>
      </c>
      <c r="AH337" s="104">
        <v>77</v>
      </c>
      <c r="AI337" s="102">
        <v>7.87</v>
      </c>
      <c r="AJ337" s="105"/>
      <c r="AK337" s="105">
        <v>0</v>
      </c>
      <c r="AL337" s="113"/>
      <c r="AM337" s="113"/>
      <c r="AN337" s="114"/>
      <c r="AO337" s="108"/>
      <c r="AP337" s="108"/>
      <c r="AQ337" s="108"/>
      <c r="AR337" s="109"/>
      <c r="AS337" s="110"/>
      <c r="AT337" s="110"/>
      <c r="AU337" s="111"/>
      <c r="AV337" s="112" t="s">
        <v>54</v>
      </c>
      <c r="AW337" s="110"/>
      <c r="AX337" s="138">
        <v>329</v>
      </c>
    </row>
    <row r="338" spans="1:50" ht="21" customHeight="1" x14ac:dyDescent="0.25">
      <c r="A338" s="138">
        <v>382</v>
      </c>
      <c r="B338" s="94"/>
      <c r="C338" s="95" t="s">
        <v>481</v>
      </c>
      <c r="D338" s="95" t="s">
        <v>47</v>
      </c>
      <c r="E338" s="95" t="s">
        <v>48</v>
      </c>
      <c r="F338" s="95" t="s">
        <v>473</v>
      </c>
      <c r="G338" s="97">
        <v>6</v>
      </c>
      <c r="H338" s="97">
        <v>6</v>
      </c>
      <c r="I338" s="97">
        <v>2025</v>
      </c>
      <c r="J338" s="97">
        <v>331</v>
      </c>
      <c r="K338" s="97" t="s">
        <v>470</v>
      </c>
      <c r="L338" s="98" t="s">
        <v>479</v>
      </c>
      <c r="M338" s="97">
        <v>1</v>
      </c>
      <c r="N338" s="97"/>
      <c r="O338" s="98"/>
      <c r="P338" s="99"/>
      <c r="Q338" s="99"/>
      <c r="R338" s="99"/>
      <c r="S338" s="116" t="s">
        <v>214</v>
      </c>
      <c r="T338" s="174">
        <v>665</v>
      </c>
      <c r="U338" s="175">
        <v>2899</v>
      </c>
      <c r="V338" s="100"/>
      <c r="W338" s="117"/>
      <c r="X338" s="117"/>
      <c r="Y338" s="117"/>
      <c r="Z338" s="106" t="s">
        <v>0</v>
      </c>
      <c r="AA338" s="117" t="s">
        <v>58</v>
      </c>
      <c r="AB338" s="117"/>
      <c r="AC338" s="117"/>
      <c r="AD338" s="117"/>
      <c r="AE338" s="118">
        <v>16.399999999999999</v>
      </c>
      <c r="AF338" s="112">
        <v>71</v>
      </c>
      <c r="AG338" s="112">
        <v>57</v>
      </c>
      <c r="AH338" s="113">
        <v>64</v>
      </c>
      <c r="AI338" s="119">
        <v>5.28</v>
      </c>
      <c r="AJ338" s="120"/>
      <c r="AK338" s="120">
        <v>0</v>
      </c>
      <c r="AL338" s="106"/>
      <c r="AM338" s="106"/>
      <c r="AN338" s="107"/>
      <c r="AO338" s="106"/>
      <c r="AP338" s="106"/>
      <c r="AQ338" s="108"/>
      <c r="AR338" s="109"/>
      <c r="AS338" s="110"/>
      <c r="AT338" s="110"/>
      <c r="AU338" s="110"/>
      <c r="AV338" s="112" t="s">
        <v>54</v>
      </c>
      <c r="AW338" s="110"/>
      <c r="AX338" s="138">
        <v>334</v>
      </c>
    </row>
    <row r="339" spans="1:50" ht="21" customHeight="1" x14ac:dyDescent="0.25">
      <c r="A339" s="138">
        <v>378</v>
      </c>
      <c r="B339" s="94"/>
      <c r="C339" s="95" t="s">
        <v>481</v>
      </c>
      <c r="D339" s="95" t="s">
        <v>47</v>
      </c>
      <c r="E339" s="95" t="s">
        <v>48</v>
      </c>
      <c r="F339" s="95" t="s">
        <v>473</v>
      </c>
      <c r="G339" s="97">
        <v>6</v>
      </c>
      <c r="H339" s="97">
        <v>6</v>
      </c>
      <c r="I339" s="97">
        <v>2025</v>
      </c>
      <c r="J339" s="97">
        <v>331</v>
      </c>
      <c r="K339" s="97" t="s">
        <v>470</v>
      </c>
      <c r="L339" s="98" t="s">
        <v>479</v>
      </c>
      <c r="M339" s="97">
        <v>1</v>
      </c>
      <c r="N339" s="97"/>
      <c r="O339" s="98"/>
      <c r="P339" s="99"/>
      <c r="Q339" s="99"/>
      <c r="R339" s="99"/>
      <c r="S339" s="116" t="s">
        <v>208</v>
      </c>
      <c r="T339" s="174">
        <v>666</v>
      </c>
      <c r="U339" s="175">
        <v>2892</v>
      </c>
      <c r="V339" s="100"/>
      <c r="W339" s="117"/>
      <c r="X339" s="117"/>
      <c r="Y339" s="117"/>
      <c r="Z339" s="106" t="s">
        <v>0</v>
      </c>
      <c r="AA339" s="117" t="s">
        <v>58</v>
      </c>
      <c r="AB339" s="117"/>
      <c r="AC339" s="117"/>
      <c r="AD339" s="117"/>
      <c r="AE339" s="119">
        <v>16.2</v>
      </c>
      <c r="AF339" s="112">
        <v>69</v>
      </c>
      <c r="AG339" s="112">
        <v>59</v>
      </c>
      <c r="AH339" s="113">
        <v>64</v>
      </c>
      <c r="AI339" s="119">
        <v>5.21</v>
      </c>
      <c r="AJ339" s="120"/>
      <c r="AK339" s="120">
        <v>0</v>
      </c>
      <c r="AL339" s="106"/>
      <c r="AM339" s="106"/>
      <c r="AN339" s="107"/>
      <c r="AO339" s="106"/>
      <c r="AP339" s="106"/>
      <c r="AQ339" s="108"/>
      <c r="AR339" s="109"/>
      <c r="AS339" s="110"/>
      <c r="AT339" s="110"/>
      <c r="AU339" s="110"/>
      <c r="AV339" s="112" t="s">
        <v>54</v>
      </c>
      <c r="AW339" s="110"/>
      <c r="AX339" s="138">
        <v>328</v>
      </c>
    </row>
    <row r="340" spans="1:50" ht="21" customHeight="1" x14ac:dyDescent="0.25">
      <c r="A340" s="138">
        <v>400</v>
      </c>
      <c r="B340" s="94"/>
      <c r="C340" s="95" t="s">
        <v>481</v>
      </c>
      <c r="D340" s="95" t="s">
        <v>47</v>
      </c>
      <c r="E340" s="95" t="s">
        <v>48</v>
      </c>
      <c r="F340" s="95" t="s">
        <v>473</v>
      </c>
      <c r="G340" s="97">
        <v>6</v>
      </c>
      <c r="H340" s="97">
        <v>6</v>
      </c>
      <c r="I340" s="97">
        <v>2025</v>
      </c>
      <c r="J340" s="97">
        <v>331</v>
      </c>
      <c r="K340" s="97" t="s">
        <v>470</v>
      </c>
      <c r="L340" s="98" t="s">
        <v>479</v>
      </c>
      <c r="M340" s="97">
        <v>1</v>
      </c>
      <c r="N340" s="97"/>
      <c r="O340" s="98"/>
      <c r="P340" s="99"/>
      <c r="Q340" s="99"/>
      <c r="R340" s="99"/>
      <c r="S340" s="116" t="s">
        <v>296</v>
      </c>
      <c r="T340" s="174">
        <v>667</v>
      </c>
      <c r="U340" s="175">
        <v>3218</v>
      </c>
      <c r="V340" s="100"/>
      <c r="W340" s="117"/>
      <c r="X340" s="117"/>
      <c r="Y340" s="117"/>
      <c r="Z340" s="106" t="s">
        <v>0</v>
      </c>
      <c r="AA340" s="117" t="s">
        <v>58</v>
      </c>
      <c r="AB340" s="117"/>
      <c r="AC340" s="117"/>
      <c r="AD340" s="117"/>
      <c r="AE340" s="118">
        <v>20.5</v>
      </c>
      <c r="AF340" s="112">
        <v>52</v>
      </c>
      <c r="AG340" s="112">
        <v>39</v>
      </c>
      <c r="AH340" s="113">
        <v>45</v>
      </c>
      <c r="AI340" s="119">
        <v>3.26</v>
      </c>
      <c r="AJ340" s="120"/>
      <c r="AK340" s="120">
        <v>0</v>
      </c>
      <c r="AL340" s="113"/>
      <c r="AM340" s="113"/>
      <c r="AN340" s="115"/>
      <c r="AO340" s="113"/>
      <c r="AP340" s="113"/>
      <c r="AQ340" s="108"/>
      <c r="AR340" s="109"/>
      <c r="AS340" s="110"/>
      <c r="AT340" s="110"/>
      <c r="AU340" s="110"/>
      <c r="AV340" s="112" t="s">
        <v>54</v>
      </c>
      <c r="AW340" s="110"/>
      <c r="AX340" s="138">
        <v>373</v>
      </c>
    </row>
    <row r="341" spans="1:50" ht="21" customHeight="1" x14ac:dyDescent="0.25">
      <c r="A341" s="138">
        <v>373</v>
      </c>
      <c r="B341" s="94"/>
      <c r="C341" s="95" t="s">
        <v>481</v>
      </c>
      <c r="D341" s="95" t="s">
        <v>47</v>
      </c>
      <c r="E341" s="95" t="s">
        <v>48</v>
      </c>
      <c r="F341" s="95" t="s">
        <v>473</v>
      </c>
      <c r="G341" s="97">
        <v>6</v>
      </c>
      <c r="H341" s="97">
        <v>6</v>
      </c>
      <c r="I341" s="97">
        <v>2025</v>
      </c>
      <c r="J341" s="97">
        <v>331</v>
      </c>
      <c r="K341" s="97" t="s">
        <v>470</v>
      </c>
      <c r="L341" s="98" t="s">
        <v>479</v>
      </c>
      <c r="M341" s="97">
        <v>1</v>
      </c>
      <c r="N341" s="97"/>
      <c r="O341" s="98"/>
      <c r="P341" s="99"/>
      <c r="Q341" s="99"/>
      <c r="R341" s="99"/>
      <c r="S341" s="98" t="s">
        <v>186</v>
      </c>
      <c r="T341" s="174">
        <v>668</v>
      </c>
      <c r="U341" s="94">
        <v>2828</v>
      </c>
      <c r="V341" s="100"/>
      <c r="W341" s="100"/>
      <c r="X341" s="100"/>
      <c r="Y341" s="100"/>
      <c r="Z341" s="101" t="s">
        <v>5</v>
      </c>
      <c r="AA341" s="100" t="s">
        <v>58</v>
      </c>
      <c r="AB341" s="100"/>
      <c r="AC341" s="100"/>
      <c r="AD341" s="100"/>
      <c r="AE341" s="102">
        <v>15.8</v>
      </c>
      <c r="AF341" s="103">
        <v>58</v>
      </c>
      <c r="AG341" s="103">
        <v>46</v>
      </c>
      <c r="AH341" s="104">
        <v>52</v>
      </c>
      <c r="AI341" s="102">
        <v>3.36</v>
      </c>
      <c r="AJ341" s="105"/>
      <c r="AK341" s="105">
        <v>0</v>
      </c>
      <c r="AL341" s="113">
        <v>8</v>
      </c>
      <c r="AM341" s="113">
        <f>COUNT(AI332:AI341)</f>
        <v>10</v>
      </c>
      <c r="AN341" s="114">
        <f>SUM(AI332:AI341)</f>
        <v>44.48</v>
      </c>
      <c r="AO341" s="108"/>
      <c r="AP341" s="108"/>
      <c r="AQ341" s="108"/>
      <c r="AR341" s="109"/>
      <c r="AS341" s="110"/>
      <c r="AT341" s="110"/>
      <c r="AU341" s="111"/>
      <c r="AV341" s="112" t="s">
        <v>54</v>
      </c>
      <c r="AW341" s="110"/>
      <c r="AX341" s="138">
        <v>319</v>
      </c>
    </row>
    <row r="342" spans="1:50" ht="21" customHeight="1" x14ac:dyDescent="0.25">
      <c r="A342" s="138">
        <v>384</v>
      </c>
      <c r="B342" s="94">
        <v>37</v>
      </c>
      <c r="C342" s="95" t="s">
        <v>481</v>
      </c>
      <c r="D342" s="95" t="s">
        <v>47</v>
      </c>
      <c r="E342" s="95" t="s">
        <v>48</v>
      </c>
      <c r="F342" s="95" t="s">
        <v>473</v>
      </c>
      <c r="G342" s="97">
        <v>6</v>
      </c>
      <c r="H342" s="97">
        <v>6</v>
      </c>
      <c r="I342" s="97">
        <v>2025</v>
      </c>
      <c r="J342" s="97">
        <v>345</v>
      </c>
      <c r="K342" s="97" t="s">
        <v>56</v>
      </c>
      <c r="L342" s="98" t="s">
        <v>57</v>
      </c>
      <c r="M342" s="97">
        <v>1</v>
      </c>
      <c r="N342" s="97"/>
      <c r="O342" s="98"/>
      <c r="P342" s="99"/>
      <c r="Q342" s="99"/>
      <c r="R342" s="99"/>
      <c r="S342" s="98" t="s">
        <v>225</v>
      </c>
      <c r="T342" s="174">
        <v>669</v>
      </c>
      <c r="U342" s="94">
        <v>2910</v>
      </c>
      <c r="V342" s="100"/>
      <c r="W342" s="100"/>
      <c r="X342" s="100"/>
      <c r="Y342" s="100"/>
      <c r="Z342" s="101" t="s">
        <v>0</v>
      </c>
      <c r="AA342" s="100" t="s">
        <v>58</v>
      </c>
      <c r="AB342" s="100"/>
      <c r="AC342" s="100"/>
      <c r="AD342" s="100"/>
      <c r="AE342" s="102">
        <v>16</v>
      </c>
      <c r="AF342" s="103">
        <v>54</v>
      </c>
      <c r="AG342" s="103">
        <v>48</v>
      </c>
      <c r="AH342" s="104">
        <v>51</v>
      </c>
      <c r="AI342" s="102">
        <v>3.27</v>
      </c>
      <c r="AJ342" s="105"/>
      <c r="AK342" s="105">
        <v>0</v>
      </c>
      <c r="AL342" s="113"/>
      <c r="AM342" s="106"/>
      <c r="AN342" s="114"/>
      <c r="AO342" s="108"/>
      <c r="AP342" s="108"/>
      <c r="AQ342" s="108"/>
      <c r="AR342" s="109"/>
      <c r="AS342" s="110"/>
      <c r="AT342" s="110"/>
      <c r="AU342" s="111"/>
      <c r="AV342" s="112" t="s">
        <v>54</v>
      </c>
      <c r="AW342" s="110"/>
      <c r="AX342" s="138">
        <v>339</v>
      </c>
    </row>
    <row r="343" spans="1:50" ht="21" customHeight="1" x14ac:dyDescent="0.25">
      <c r="A343" s="138">
        <v>386</v>
      </c>
      <c r="B343" s="94"/>
      <c r="C343" s="95" t="s">
        <v>481</v>
      </c>
      <c r="D343" s="95" t="s">
        <v>47</v>
      </c>
      <c r="E343" s="95" t="s">
        <v>48</v>
      </c>
      <c r="F343" s="95" t="s">
        <v>473</v>
      </c>
      <c r="G343" s="97">
        <v>6</v>
      </c>
      <c r="H343" s="97">
        <v>6</v>
      </c>
      <c r="I343" s="97">
        <v>2025</v>
      </c>
      <c r="J343" s="97">
        <v>345</v>
      </c>
      <c r="K343" s="97" t="s">
        <v>56</v>
      </c>
      <c r="L343" s="98" t="s">
        <v>57</v>
      </c>
      <c r="M343" s="97">
        <v>1</v>
      </c>
      <c r="N343" s="97"/>
      <c r="O343" s="98"/>
      <c r="P343" s="99"/>
      <c r="Q343" s="99"/>
      <c r="R343" s="99"/>
      <c r="S343" s="98" t="s">
        <v>230</v>
      </c>
      <c r="T343" s="174">
        <v>670</v>
      </c>
      <c r="U343" s="94">
        <v>2915</v>
      </c>
      <c r="V343" s="100"/>
      <c r="W343" s="100"/>
      <c r="X343" s="100"/>
      <c r="Y343" s="100"/>
      <c r="Z343" s="101" t="s">
        <v>0</v>
      </c>
      <c r="AA343" s="100" t="s">
        <v>58</v>
      </c>
      <c r="AB343" s="100"/>
      <c r="AC343" s="100"/>
      <c r="AD343" s="100"/>
      <c r="AE343" s="121">
        <v>16</v>
      </c>
      <c r="AF343" s="103">
        <v>93</v>
      </c>
      <c r="AG343" s="103">
        <v>61</v>
      </c>
      <c r="AH343" s="104">
        <v>77</v>
      </c>
      <c r="AI343" s="102">
        <v>7.45</v>
      </c>
      <c r="AJ343" s="105"/>
      <c r="AK343" s="105">
        <v>0</v>
      </c>
      <c r="AL343" s="113"/>
      <c r="AM343" s="106"/>
      <c r="AN343" s="114"/>
      <c r="AO343" s="108"/>
      <c r="AP343" s="108"/>
      <c r="AQ343" s="108"/>
      <c r="AR343" s="109"/>
      <c r="AS343" s="110"/>
      <c r="AT343" s="110"/>
      <c r="AU343" s="111"/>
      <c r="AV343" s="112" t="s">
        <v>54</v>
      </c>
      <c r="AW343" s="110"/>
      <c r="AX343" s="138">
        <v>342</v>
      </c>
    </row>
    <row r="344" spans="1:50" ht="21" customHeight="1" x14ac:dyDescent="0.25">
      <c r="A344" s="138">
        <v>416</v>
      </c>
      <c r="B344" s="94"/>
      <c r="C344" s="95" t="s">
        <v>481</v>
      </c>
      <c r="D344" s="95" t="s">
        <v>47</v>
      </c>
      <c r="E344" s="95" t="s">
        <v>48</v>
      </c>
      <c r="F344" s="95" t="s">
        <v>473</v>
      </c>
      <c r="G344" s="97">
        <v>6</v>
      </c>
      <c r="H344" s="97">
        <v>6</v>
      </c>
      <c r="I344" s="97">
        <v>2025</v>
      </c>
      <c r="J344" s="97">
        <v>345</v>
      </c>
      <c r="K344" s="97" t="s">
        <v>56</v>
      </c>
      <c r="L344" s="98" t="s">
        <v>57</v>
      </c>
      <c r="M344" s="97">
        <v>1</v>
      </c>
      <c r="N344" s="97"/>
      <c r="O344" s="98"/>
      <c r="P344" s="99"/>
      <c r="Q344" s="99"/>
      <c r="R344" s="99"/>
      <c r="S344" s="98" t="s">
        <v>410</v>
      </c>
      <c r="T344" s="94">
        <v>671</v>
      </c>
      <c r="U344" s="94">
        <v>3503</v>
      </c>
      <c r="V344" s="100"/>
      <c r="W344" s="100"/>
      <c r="X344" s="100"/>
      <c r="Y344" s="100"/>
      <c r="Z344" s="101" t="s">
        <v>6</v>
      </c>
      <c r="AA344" s="100" t="s">
        <v>58</v>
      </c>
      <c r="AB344" s="100"/>
      <c r="AC344" s="100"/>
      <c r="AD344" s="100"/>
      <c r="AE344" s="102">
        <v>18.3</v>
      </c>
      <c r="AF344" s="103">
        <v>63</v>
      </c>
      <c r="AG344" s="103">
        <v>49</v>
      </c>
      <c r="AH344" s="104">
        <v>56</v>
      </c>
      <c r="AI344" s="102">
        <v>4.51</v>
      </c>
      <c r="AJ344" s="112"/>
      <c r="AK344" s="105">
        <v>0</v>
      </c>
      <c r="AL344" s="113"/>
      <c r="AM344" s="106"/>
      <c r="AN344" s="114"/>
      <c r="AO344" s="108"/>
      <c r="AP344" s="108"/>
      <c r="AQ344" s="108"/>
      <c r="AR344" s="109"/>
      <c r="AS344" s="110"/>
      <c r="AT344" s="110"/>
      <c r="AU344" s="111"/>
      <c r="AV344" s="112" t="s">
        <v>54</v>
      </c>
      <c r="AW344" s="110"/>
      <c r="AX344" s="138">
        <v>400</v>
      </c>
    </row>
    <row r="345" spans="1:50" ht="21" customHeight="1" x14ac:dyDescent="0.25">
      <c r="A345" s="138">
        <v>375</v>
      </c>
      <c r="B345" s="94"/>
      <c r="C345" s="95" t="s">
        <v>481</v>
      </c>
      <c r="D345" s="95" t="s">
        <v>47</v>
      </c>
      <c r="E345" s="95" t="s">
        <v>48</v>
      </c>
      <c r="F345" s="95" t="s">
        <v>473</v>
      </c>
      <c r="G345" s="97">
        <v>6</v>
      </c>
      <c r="H345" s="97">
        <v>6</v>
      </c>
      <c r="I345" s="97">
        <v>2025</v>
      </c>
      <c r="J345" s="97">
        <v>345</v>
      </c>
      <c r="K345" s="97" t="s">
        <v>56</v>
      </c>
      <c r="L345" s="98" t="s">
        <v>57</v>
      </c>
      <c r="M345" s="97">
        <v>1</v>
      </c>
      <c r="N345" s="97"/>
      <c r="O345" s="98"/>
      <c r="P345" s="99"/>
      <c r="Q345" s="99"/>
      <c r="R345" s="99"/>
      <c r="S345" s="98" t="s">
        <v>199</v>
      </c>
      <c r="T345" s="174">
        <v>672</v>
      </c>
      <c r="U345" s="94">
        <v>2877</v>
      </c>
      <c r="V345" s="100"/>
      <c r="W345" s="100"/>
      <c r="X345" s="100"/>
      <c r="Y345" s="100"/>
      <c r="Z345" s="101" t="s">
        <v>0</v>
      </c>
      <c r="AA345" s="100" t="s">
        <v>58</v>
      </c>
      <c r="AB345" s="100"/>
      <c r="AC345" s="100"/>
      <c r="AD345" s="100"/>
      <c r="AE345" s="102">
        <v>17.899999999999999</v>
      </c>
      <c r="AF345" s="103">
        <v>60</v>
      </c>
      <c r="AG345" s="103">
        <v>47</v>
      </c>
      <c r="AH345" s="104">
        <v>53</v>
      </c>
      <c r="AI345" s="102">
        <v>3.95</v>
      </c>
      <c r="AJ345" s="105"/>
      <c r="AK345" s="105">
        <v>0</v>
      </c>
      <c r="AL345" s="113"/>
      <c r="AM345" s="106"/>
      <c r="AN345" s="114"/>
      <c r="AO345" s="108"/>
      <c r="AP345" s="108"/>
      <c r="AQ345" s="106"/>
      <c r="AR345" s="106"/>
      <c r="AS345" s="110"/>
      <c r="AT345" s="110"/>
      <c r="AU345" s="111"/>
      <c r="AV345" s="112" t="s">
        <v>54</v>
      </c>
      <c r="AW345" s="110"/>
      <c r="AX345" s="138">
        <v>322</v>
      </c>
    </row>
    <row r="346" spans="1:50" ht="21" customHeight="1" x14ac:dyDescent="0.25">
      <c r="A346" s="138">
        <v>380</v>
      </c>
      <c r="B346" s="94"/>
      <c r="C346" s="95" t="s">
        <v>481</v>
      </c>
      <c r="D346" s="95" t="s">
        <v>47</v>
      </c>
      <c r="E346" s="95" t="s">
        <v>48</v>
      </c>
      <c r="F346" s="95" t="s">
        <v>473</v>
      </c>
      <c r="G346" s="97">
        <v>6</v>
      </c>
      <c r="H346" s="97">
        <v>6</v>
      </c>
      <c r="I346" s="97">
        <v>2025</v>
      </c>
      <c r="J346" s="97">
        <v>345</v>
      </c>
      <c r="K346" s="97" t="s">
        <v>56</v>
      </c>
      <c r="L346" s="98" t="s">
        <v>57</v>
      </c>
      <c r="M346" s="97">
        <v>1</v>
      </c>
      <c r="N346" s="97"/>
      <c r="O346" s="98"/>
      <c r="P346" s="99"/>
      <c r="Q346" s="99"/>
      <c r="R346" s="99"/>
      <c r="S346" s="116" t="s">
        <v>210</v>
      </c>
      <c r="T346" s="174">
        <v>673</v>
      </c>
      <c r="U346" s="175">
        <v>2894</v>
      </c>
      <c r="V346" s="100"/>
      <c r="W346" s="117"/>
      <c r="X346" s="117"/>
      <c r="Y346" s="117"/>
      <c r="Z346" s="106" t="s">
        <v>0</v>
      </c>
      <c r="AA346" s="117" t="s">
        <v>58</v>
      </c>
      <c r="AB346" s="117"/>
      <c r="AC346" s="117"/>
      <c r="AD346" s="117"/>
      <c r="AE346" s="119">
        <v>17.5</v>
      </c>
      <c r="AF346" s="112">
        <v>95</v>
      </c>
      <c r="AG346" s="112">
        <v>80</v>
      </c>
      <c r="AH346" s="113">
        <v>87</v>
      </c>
      <c r="AI346" s="119">
        <v>9.9600000000000009</v>
      </c>
      <c r="AJ346" s="112">
        <v>16</v>
      </c>
      <c r="AK346" s="120">
        <v>4.3</v>
      </c>
      <c r="AL346" s="106"/>
      <c r="AM346" s="106"/>
      <c r="AN346" s="107"/>
      <c r="AO346" s="106"/>
      <c r="AP346" s="106"/>
      <c r="AQ346" s="108"/>
      <c r="AR346" s="109"/>
      <c r="AS346" s="110"/>
      <c r="AT346" s="110"/>
      <c r="AU346" s="110"/>
      <c r="AV346" s="112" t="s">
        <v>54</v>
      </c>
      <c r="AW346" s="110"/>
      <c r="AX346" s="138">
        <v>330</v>
      </c>
    </row>
    <row r="347" spans="1:50" ht="21" customHeight="1" x14ac:dyDescent="0.25">
      <c r="A347" s="138">
        <v>401</v>
      </c>
      <c r="B347" s="94"/>
      <c r="C347" s="95" t="s">
        <v>481</v>
      </c>
      <c r="D347" s="95" t="s">
        <v>47</v>
      </c>
      <c r="E347" s="95" t="s">
        <v>48</v>
      </c>
      <c r="F347" s="95" t="s">
        <v>473</v>
      </c>
      <c r="G347" s="97">
        <v>6</v>
      </c>
      <c r="H347" s="97">
        <v>6</v>
      </c>
      <c r="I347" s="97">
        <v>2025</v>
      </c>
      <c r="J347" s="97">
        <v>345</v>
      </c>
      <c r="K347" s="97" t="s">
        <v>56</v>
      </c>
      <c r="L347" s="98" t="s">
        <v>57</v>
      </c>
      <c r="M347" s="97">
        <v>1</v>
      </c>
      <c r="N347" s="97"/>
      <c r="O347" s="98"/>
      <c r="P347" s="99"/>
      <c r="Q347" s="99"/>
      <c r="R347" s="99"/>
      <c r="S347" s="98" t="s">
        <v>298</v>
      </c>
      <c r="T347" s="174">
        <v>674</v>
      </c>
      <c r="U347" s="94">
        <v>3385</v>
      </c>
      <c r="V347" s="100"/>
      <c r="W347" s="100"/>
      <c r="X347" s="100"/>
      <c r="Y347" s="100"/>
      <c r="Z347" s="101" t="s">
        <v>0</v>
      </c>
      <c r="AA347" s="100" t="s">
        <v>58</v>
      </c>
      <c r="AB347" s="100"/>
      <c r="AC347" s="100"/>
      <c r="AD347" s="100"/>
      <c r="AE347" s="102">
        <v>8.9</v>
      </c>
      <c r="AF347" s="103">
        <v>70</v>
      </c>
      <c r="AG347" s="103">
        <v>67</v>
      </c>
      <c r="AH347" s="104">
        <v>68</v>
      </c>
      <c r="AI347" s="102">
        <v>3.23</v>
      </c>
      <c r="AJ347" s="105"/>
      <c r="AK347" s="105">
        <v>0</v>
      </c>
      <c r="AL347" s="113"/>
      <c r="AM347" s="113"/>
      <c r="AN347" s="115"/>
      <c r="AO347" s="113"/>
      <c r="AP347" s="113"/>
      <c r="AQ347" s="108"/>
      <c r="AR347" s="109"/>
      <c r="AS347" s="110"/>
      <c r="AT347" s="110"/>
      <c r="AU347" s="111"/>
      <c r="AV347" s="112" t="s">
        <v>54</v>
      </c>
      <c r="AW347" s="110"/>
      <c r="AX347" s="138">
        <v>374</v>
      </c>
    </row>
    <row r="348" spans="1:50" ht="21" customHeight="1" x14ac:dyDescent="0.25">
      <c r="A348" s="138">
        <v>406</v>
      </c>
      <c r="B348" s="94"/>
      <c r="C348" s="95" t="s">
        <v>481</v>
      </c>
      <c r="D348" s="95" t="s">
        <v>47</v>
      </c>
      <c r="E348" s="95" t="s">
        <v>48</v>
      </c>
      <c r="F348" s="95" t="s">
        <v>473</v>
      </c>
      <c r="G348" s="97">
        <v>6</v>
      </c>
      <c r="H348" s="97">
        <v>6</v>
      </c>
      <c r="I348" s="97">
        <v>2025</v>
      </c>
      <c r="J348" s="97">
        <v>345</v>
      </c>
      <c r="K348" s="97" t="s">
        <v>56</v>
      </c>
      <c r="L348" s="98" t="s">
        <v>57</v>
      </c>
      <c r="M348" s="97">
        <v>1</v>
      </c>
      <c r="N348" s="97"/>
      <c r="O348" s="98"/>
      <c r="P348" s="99"/>
      <c r="Q348" s="99"/>
      <c r="R348" s="99"/>
      <c r="S348" s="98" t="s">
        <v>313</v>
      </c>
      <c r="T348" s="174">
        <v>675</v>
      </c>
      <c r="U348" s="94">
        <v>3401</v>
      </c>
      <c r="V348" s="100"/>
      <c r="W348" s="100"/>
      <c r="X348" s="100"/>
      <c r="Y348" s="100"/>
      <c r="Z348" s="101" t="s">
        <v>0</v>
      </c>
      <c r="AA348" s="100" t="s">
        <v>58</v>
      </c>
      <c r="AB348" s="100"/>
      <c r="AC348" s="100"/>
      <c r="AD348" s="100"/>
      <c r="AE348" s="102">
        <v>13.7</v>
      </c>
      <c r="AF348" s="103">
        <v>57</v>
      </c>
      <c r="AG348" s="103">
        <v>42</v>
      </c>
      <c r="AH348" s="104">
        <v>49</v>
      </c>
      <c r="AI348" s="102">
        <v>2.58</v>
      </c>
      <c r="AJ348" s="105"/>
      <c r="AK348" s="105">
        <v>0</v>
      </c>
      <c r="AL348" s="113"/>
      <c r="AM348" s="106"/>
      <c r="AN348" s="131"/>
      <c r="AO348" s="108"/>
      <c r="AP348" s="108"/>
      <c r="AQ348" s="106"/>
      <c r="AR348" s="106"/>
      <c r="AS348" s="110"/>
      <c r="AT348" s="110"/>
      <c r="AU348" s="111"/>
      <c r="AV348" s="112" t="s">
        <v>54</v>
      </c>
      <c r="AW348" s="110"/>
      <c r="AX348" s="138">
        <v>381</v>
      </c>
    </row>
    <row r="349" spans="1:50" ht="21" customHeight="1" x14ac:dyDescent="0.25">
      <c r="A349" s="138">
        <v>383</v>
      </c>
      <c r="B349" s="94"/>
      <c r="C349" s="95" t="s">
        <v>481</v>
      </c>
      <c r="D349" s="95" t="s">
        <v>47</v>
      </c>
      <c r="E349" s="95" t="s">
        <v>48</v>
      </c>
      <c r="F349" s="95" t="s">
        <v>473</v>
      </c>
      <c r="G349" s="97">
        <v>6</v>
      </c>
      <c r="H349" s="97">
        <v>6</v>
      </c>
      <c r="I349" s="97">
        <v>2025</v>
      </c>
      <c r="J349" s="97">
        <v>345</v>
      </c>
      <c r="K349" s="97" t="s">
        <v>56</v>
      </c>
      <c r="L349" s="98" t="s">
        <v>57</v>
      </c>
      <c r="M349" s="97">
        <v>1</v>
      </c>
      <c r="N349" s="97"/>
      <c r="O349" s="98"/>
      <c r="P349" s="99"/>
      <c r="Q349" s="99"/>
      <c r="R349" s="99"/>
      <c r="S349" s="98" t="s">
        <v>217</v>
      </c>
      <c r="T349" s="174">
        <v>676</v>
      </c>
      <c r="U349" s="94">
        <v>2902</v>
      </c>
      <c r="V349" s="100"/>
      <c r="W349" s="100"/>
      <c r="X349" s="100"/>
      <c r="Y349" s="100"/>
      <c r="Z349" s="101" t="s">
        <v>0</v>
      </c>
      <c r="AA349" s="100" t="s">
        <v>58</v>
      </c>
      <c r="AB349" s="100"/>
      <c r="AC349" s="100"/>
      <c r="AD349" s="100"/>
      <c r="AE349" s="102">
        <v>16.8</v>
      </c>
      <c r="AF349" s="103">
        <v>70</v>
      </c>
      <c r="AG349" s="103">
        <v>47</v>
      </c>
      <c r="AH349" s="104">
        <v>58</v>
      </c>
      <c r="AI349" s="102">
        <v>4.4400000000000004</v>
      </c>
      <c r="AJ349" s="105"/>
      <c r="AK349" s="105">
        <v>0</v>
      </c>
      <c r="AL349" s="113"/>
      <c r="AM349" s="113"/>
      <c r="AN349" s="114"/>
      <c r="AO349" s="108"/>
      <c r="AP349" s="108"/>
      <c r="AQ349" s="106"/>
      <c r="AR349" s="106"/>
      <c r="AS349" s="110"/>
      <c r="AT349" s="110"/>
      <c r="AU349" s="111"/>
      <c r="AV349" s="112" t="s">
        <v>54</v>
      </c>
      <c r="AW349" s="110"/>
      <c r="AX349" s="138">
        <v>337</v>
      </c>
    </row>
    <row r="350" spans="1:50" ht="21" customHeight="1" x14ac:dyDescent="0.25">
      <c r="A350" s="138">
        <v>391</v>
      </c>
      <c r="B350" s="94"/>
      <c r="C350" s="95" t="s">
        <v>481</v>
      </c>
      <c r="D350" s="95" t="s">
        <v>47</v>
      </c>
      <c r="E350" s="95" t="s">
        <v>48</v>
      </c>
      <c r="F350" s="95" t="s">
        <v>473</v>
      </c>
      <c r="G350" s="97">
        <v>6</v>
      </c>
      <c r="H350" s="97">
        <v>6</v>
      </c>
      <c r="I350" s="97">
        <v>2025</v>
      </c>
      <c r="J350" s="97">
        <v>345</v>
      </c>
      <c r="K350" s="97" t="s">
        <v>56</v>
      </c>
      <c r="L350" s="98" t="s">
        <v>57</v>
      </c>
      <c r="M350" s="97">
        <v>1</v>
      </c>
      <c r="N350" s="97"/>
      <c r="O350" s="98"/>
      <c r="P350" s="99"/>
      <c r="Q350" s="99"/>
      <c r="R350" s="99"/>
      <c r="S350" s="98" t="s">
        <v>263</v>
      </c>
      <c r="T350" s="174">
        <v>677</v>
      </c>
      <c r="U350" s="94">
        <v>3039</v>
      </c>
      <c r="V350" s="100"/>
      <c r="W350" s="100"/>
      <c r="X350" s="100"/>
      <c r="Y350" s="100"/>
      <c r="Z350" s="101" t="s">
        <v>0</v>
      </c>
      <c r="AA350" s="100" t="s">
        <v>58</v>
      </c>
      <c r="AB350" s="100"/>
      <c r="AC350" s="100"/>
      <c r="AD350" s="100"/>
      <c r="AE350" s="102">
        <v>17.3</v>
      </c>
      <c r="AF350" s="103">
        <v>50</v>
      </c>
      <c r="AG350" s="103">
        <v>37</v>
      </c>
      <c r="AH350" s="104">
        <v>43</v>
      </c>
      <c r="AI350" s="102">
        <v>2.5099999999999998</v>
      </c>
      <c r="AJ350" s="105"/>
      <c r="AK350" s="105">
        <v>0</v>
      </c>
      <c r="AL350" s="113"/>
      <c r="AM350" s="113"/>
      <c r="AN350" s="114"/>
      <c r="AO350" s="108"/>
      <c r="AP350" s="108"/>
      <c r="AQ350" s="108"/>
      <c r="AR350" s="109"/>
      <c r="AS350" s="110"/>
      <c r="AT350" s="110"/>
      <c r="AU350" s="111"/>
      <c r="AV350" s="112" t="s">
        <v>54</v>
      </c>
      <c r="AW350" s="110"/>
      <c r="AX350" s="138">
        <v>360</v>
      </c>
    </row>
    <row r="351" spans="1:50" ht="21" customHeight="1" x14ac:dyDescent="0.25">
      <c r="A351" s="138">
        <v>374</v>
      </c>
      <c r="B351" s="94"/>
      <c r="C351" s="95" t="s">
        <v>481</v>
      </c>
      <c r="D351" s="95" t="s">
        <v>47</v>
      </c>
      <c r="E351" s="95" t="s">
        <v>48</v>
      </c>
      <c r="F351" s="95" t="s">
        <v>473</v>
      </c>
      <c r="G351" s="97">
        <v>6</v>
      </c>
      <c r="H351" s="97">
        <v>6</v>
      </c>
      <c r="I351" s="97">
        <v>2025</v>
      </c>
      <c r="J351" s="97">
        <v>345</v>
      </c>
      <c r="K351" s="97" t="s">
        <v>56</v>
      </c>
      <c r="L351" s="98" t="s">
        <v>57</v>
      </c>
      <c r="M351" s="97">
        <v>1</v>
      </c>
      <c r="N351" s="97"/>
      <c r="O351" s="95"/>
      <c r="P351" s="99"/>
      <c r="Q351" s="99"/>
      <c r="R351" s="99"/>
      <c r="S351" s="95" t="s">
        <v>197</v>
      </c>
      <c r="T351" s="174">
        <v>678</v>
      </c>
      <c r="U351" s="94">
        <v>2874</v>
      </c>
      <c r="V351" s="100"/>
      <c r="W351" s="100"/>
      <c r="X351" s="100"/>
      <c r="Y351" s="100"/>
      <c r="Z351" s="122" t="s">
        <v>0</v>
      </c>
      <c r="AA351" s="100" t="s">
        <v>58</v>
      </c>
      <c r="AB351" s="123"/>
      <c r="AC351" s="123"/>
      <c r="AD351" s="123"/>
      <c r="AE351" s="124">
        <v>13.9</v>
      </c>
      <c r="AF351" s="125">
        <v>85</v>
      </c>
      <c r="AG351" s="125">
        <v>74</v>
      </c>
      <c r="AH351" s="122">
        <v>79</v>
      </c>
      <c r="AI351" s="124">
        <v>6.25</v>
      </c>
      <c r="AJ351" s="125">
        <v>20</v>
      </c>
      <c r="AK351" s="126">
        <v>8.1999999999999993</v>
      </c>
      <c r="AL351" s="122">
        <v>9</v>
      </c>
      <c r="AM351" s="122">
        <f>COUNT(AI342:AI351)</f>
        <v>10</v>
      </c>
      <c r="AN351" s="124">
        <f>SUM(AI342:AI351)</f>
        <v>48.149999999999991</v>
      </c>
      <c r="AO351" s="122"/>
      <c r="AP351" s="122"/>
      <c r="AQ351" s="122"/>
      <c r="AR351" s="122"/>
      <c r="AS351" s="125"/>
      <c r="AT351" s="125"/>
      <c r="AU351" s="125"/>
      <c r="AV351" s="112" t="s">
        <v>54</v>
      </c>
      <c r="AW351" s="125"/>
      <c r="AX351" s="138">
        <v>321</v>
      </c>
    </row>
    <row r="352" spans="1:50" ht="21" customHeight="1" x14ac:dyDescent="0.25">
      <c r="A352" s="138">
        <v>336</v>
      </c>
      <c r="B352" s="94">
        <v>38</v>
      </c>
      <c r="C352" s="95" t="s">
        <v>481</v>
      </c>
      <c r="D352" s="95" t="s">
        <v>47</v>
      </c>
      <c r="E352" s="95" t="s">
        <v>48</v>
      </c>
      <c r="F352" s="95" t="s">
        <v>473</v>
      </c>
      <c r="G352" s="97">
        <v>6</v>
      </c>
      <c r="H352" s="97">
        <v>6</v>
      </c>
      <c r="I352" s="97">
        <v>2025</v>
      </c>
      <c r="J352" s="97">
        <v>335</v>
      </c>
      <c r="K352" s="97" t="s">
        <v>487</v>
      </c>
      <c r="L352" s="98" t="s">
        <v>488</v>
      </c>
      <c r="M352" s="97">
        <v>1</v>
      </c>
      <c r="N352" s="97"/>
      <c r="O352" s="98"/>
      <c r="P352" s="99"/>
      <c r="Q352" s="99"/>
      <c r="R352" s="99"/>
      <c r="S352" s="116" t="s">
        <v>106</v>
      </c>
      <c r="T352" s="174">
        <v>635</v>
      </c>
      <c r="U352" s="175">
        <v>230</v>
      </c>
      <c r="V352" s="100"/>
      <c r="W352" s="117"/>
      <c r="X352" s="117"/>
      <c r="Y352" s="117"/>
      <c r="Z352" s="106" t="s">
        <v>3</v>
      </c>
      <c r="AA352" s="117" t="s">
        <v>58</v>
      </c>
      <c r="AB352" s="117"/>
      <c r="AC352" s="117"/>
      <c r="AD352" s="117"/>
      <c r="AE352" s="119">
        <v>21.2</v>
      </c>
      <c r="AF352" s="112">
        <v>63</v>
      </c>
      <c r="AG352" s="112">
        <v>50</v>
      </c>
      <c r="AH352" s="113">
        <v>56</v>
      </c>
      <c r="AI352" s="119">
        <v>5.22</v>
      </c>
      <c r="AJ352" s="120"/>
      <c r="AK352" s="120">
        <v>0</v>
      </c>
      <c r="AL352" s="113"/>
      <c r="AM352" s="106"/>
      <c r="AN352" s="114"/>
      <c r="AO352" s="108"/>
      <c r="AP352" s="108"/>
      <c r="AQ352" s="113"/>
      <c r="AR352" s="106"/>
      <c r="AS352" s="110"/>
      <c r="AT352" s="110"/>
      <c r="AU352" s="110"/>
      <c r="AV352" s="112" t="s">
        <v>54</v>
      </c>
      <c r="AW352" s="110"/>
      <c r="AX352" s="138">
        <v>280</v>
      </c>
    </row>
    <row r="353" spans="1:50" ht="21" customHeight="1" x14ac:dyDescent="0.25">
      <c r="A353" s="138">
        <v>349</v>
      </c>
      <c r="B353" s="94"/>
      <c r="C353" s="95" t="s">
        <v>481</v>
      </c>
      <c r="D353" s="95" t="s">
        <v>47</v>
      </c>
      <c r="E353" s="95" t="s">
        <v>48</v>
      </c>
      <c r="F353" s="95" t="s">
        <v>473</v>
      </c>
      <c r="G353" s="97">
        <v>6</v>
      </c>
      <c r="H353" s="97">
        <v>6</v>
      </c>
      <c r="I353" s="97">
        <v>2025</v>
      </c>
      <c r="J353" s="97">
        <v>335</v>
      </c>
      <c r="K353" s="97" t="s">
        <v>487</v>
      </c>
      <c r="L353" s="98" t="s">
        <v>488</v>
      </c>
      <c r="M353" s="97">
        <v>1</v>
      </c>
      <c r="N353" s="97"/>
      <c r="O353" s="98"/>
      <c r="P353" s="99"/>
      <c r="Q353" s="99"/>
      <c r="R353" s="99"/>
      <c r="S353" s="98" t="s">
        <v>139</v>
      </c>
      <c r="T353" s="174">
        <v>679</v>
      </c>
      <c r="U353" s="94">
        <v>262</v>
      </c>
      <c r="V353" s="100"/>
      <c r="W353" s="100"/>
      <c r="X353" s="100"/>
      <c r="Y353" s="100"/>
      <c r="Z353" s="101" t="s">
        <v>0</v>
      </c>
      <c r="AA353" s="100" t="s">
        <v>58</v>
      </c>
      <c r="AB353" s="100"/>
      <c r="AC353" s="100"/>
      <c r="AD353" s="100"/>
      <c r="AE353" s="121">
        <v>16.8</v>
      </c>
      <c r="AF353" s="103">
        <v>51</v>
      </c>
      <c r="AG353" s="103">
        <v>38</v>
      </c>
      <c r="AH353" s="104">
        <v>44</v>
      </c>
      <c r="AI353" s="102">
        <v>2.2200000000000002</v>
      </c>
      <c r="AJ353" s="105">
        <v>14</v>
      </c>
      <c r="AK353" s="105">
        <v>12.9</v>
      </c>
      <c r="AL353" s="113"/>
      <c r="AM353" s="106"/>
      <c r="AN353" s="114"/>
      <c r="AO353" s="108"/>
      <c r="AP353" s="108"/>
      <c r="AQ353" s="108"/>
      <c r="AR353" s="109"/>
      <c r="AS353" s="110"/>
      <c r="AT353" s="110"/>
      <c r="AU353" s="111"/>
      <c r="AV353" s="112" t="s">
        <v>54</v>
      </c>
      <c r="AW353" s="110"/>
      <c r="AX353" s="138">
        <v>293</v>
      </c>
    </row>
    <row r="354" spans="1:50" ht="21" customHeight="1" x14ac:dyDescent="0.25">
      <c r="A354" s="138">
        <v>345</v>
      </c>
      <c r="B354" s="94"/>
      <c r="C354" s="95" t="s">
        <v>481</v>
      </c>
      <c r="D354" s="95" t="s">
        <v>47</v>
      </c>
      <c r="E354" s="95" t="s">
        <v>48</v>
      </c>
      <c r="F354" s="95" t="s">
        <v>473</v>
      </c>
      <c r="G354" s="97">
        <v>6</v>
      </c>
      <c r="H354" s="97">
        <v>6</v>
      </c>
      <c r="I354" s="97">
        <v>2025</v>
      </c>
      <c r="J354" s="97">
        <v>335</v>
      </c>
      <c r="K354" s="97" t="s">
        <v>487</v>
      </c>
      <c r="L354" s="98" t="s">
        <v>488</v>
      </c>
      <c r="M354" s="97">
        <v>1</v>
      </c>
      <c r="N354" s="97"/>
      <c r="O354" s="98"/>
      <c r="P354" s="99"/>
      <c r="Q354" s="99"/>
      <c r="R354" s="99"/>
      <c r="S354" s="98" t="s">
        <v>133</v>
      </c>
      <c r="T354" s="174">
        <v>680</v>
      </c>
      <c r="U354" s="94">
        <v>256</v>
      </c>
      <c r="V354" s="100"/>
      <c r="W354" s="100"/>
      <c r="X354" s="100"/>
      <c r="Y354" s="100"/>
      <c r="Z354" s="101" t="s">
        <v>0</v>
      </c>
      <c r="AA354" s="100" t="s">
        <v>58</v>
      </c>
      <c r="AB354" s="100"/>
      <c r="AC354" s="100"/>
      <c r="AD354" s="100"/>
      <c r="AE354" s="102">
        <v>21.1</v>
      </c>
      <c r="AF354" s="103">
        <v>70</v>
      </c>
      <c r="AG354" s="103">
        <v>53</v>
      </c>
      <c r="AH354" s="104">
        <v>61</v>
      </c>
      <c r="AI354" s="102">
        <v>6.17</v>
      </c>
      <c r="AJ354" s="105"/>
      <c r="AK354" s="105">
        <v>0</v>
      </c>
      <c r="AL354" s="113"/>
      <c r="AM354" s="106"/>
      <c r="AN354" s="114"/>
      <c r="AO354" s="108"/>
      <c r="AP354" s="108"/>
      <c r="AQ354" s="108"/>
      <c r="AR354" s="109"/>
      <c r="AS354" s="110"/>
      <c r="AT354" s="110"/>
      <c r="AU354" s="111"/>
      <c r="AV354" s="112" t="s">
        <v>54</v>
      </c>
      <c r="AW354" s="110"/>
      <c r="AX354" s="138">
        <v>289</v>
      </c>
    </row>
    <row r="355" spans="1:50" ht="21" customHeight="1" x14ac:dyDescent="0.25">
      <c r="A355" s="138">
        <v>358</v>
      </c>
      <c r="B355" s="94"/>
      <c r="C355" s="95" t="s">
        <v>481</v>
      </c>
      <c r="D355" s="95" t="s">
        <v>47</v>
      </c>
      <c r="E355" s="95" t="s">
        <v>48</v>
      </c>
      <c r="F355" s="95" t="s">
        <v>473</v>
      </c>
      <c r="G355" s="97">
        <v>6</v>
      </c>
      <c r="H355" s="97">
        <v>6</v>
      </c>
      <c r="I355" s="97">
        <v>2025</v>
      </c>
      <c r="J355" s="97">
        <v>335</v>
      </c>
      <c r="K355" s="97" t="s">
        <v>487</v>
      </c>
      <c r="L355" s="98" t="s">
        <v>488</v>
      </c>
      <c r="M355" s="97">
        <v>1</v>
      </c>
      <c r="N355" s="97"/>
      <c r="O355" s="98"/>
      <c r="P355" s="99"/>
      <c r="Q355" s="99"/>
      <c r="R355" s="99"/>
      <c r="S355" s="116" t="s">
        <v>149</v>
      </c>
      <c r="T355" s="174">
        <v>681</v>
      </c>
      <c r="U355" s="175">
        <v>346</v>
      </c>
      <c r="V355" s="100"/>
      <c r="W355" s="117"/>
      <c r="X355" s="117"/>
      <c r="Y355" s="117"/>
      <c r="Z355" s="106" t="s">
        <v>0</v>
      </c>
      <c r="AA355" s="117" t="s">
        <v>58</v>
      </c>
      <c r="AB355" s="117"/>
      <c r="AC355" s="117"/>
      <c r="AD355" s="117"/>
      <c r="AE355" s="118">
        <v>19.8</v>
      </c>
      <c r="AF355" s="112">
        <v>56</v>
      </c>
      <c r="AG355" s="112">
        <v>40</v>
      </c>
      <c r="AH355" s="113">
        <v>48</v>
      </c>
      <c r="AI355" s="119">
        <v>3.58</v>
      </c>
      <c r="AJ355" s="120"/>
      <c r="AK355" s="120">
        <v>0</v>
      </c>
      <c r="AL355" s="113"/>
      <c r="AM355" s="113"/>
      <c r="AN355" s="115"/>
      <c r="AO355" s="113"/>
      <c r="AP355" s="113"/>
      <c r="AQ355" s="108"/>
      <c r="AR355" s="109"/>
      <c r="AS355" s="110"/>
      <c r="AT355" s="110"/>
      <c r="AU355" s="110"/>
      <c r="AV355" s="112" t="s">
        <v>54</v>
      </c>
      <c r="AW355" s="110"/>
      <c r="AX355" s="138">
        <v>302</v>
      </c>
    </row>
    <row r="356" spans="1:50" ht="21" customHeight="1" x14ac:dyDescent="0.25">
      <c r="A356" s="138">
        <v>423</v>
      </c>
      <c r="B356" s="94"/>
      <c r="C356" s="95" t="s">
        <v>481</v>
      </c>
      <c r="D356" s="95" t="s">
        <v>47</v>
      </c>
      <c r="E356" s="95" t="s">
        <v>48</v>
      </c>
      <c r="F356" s="95" t="s">
        <v>473</v>
      </c>
      <c r="G356" s="97">
        <v>6</v>
      </c>
      <c r="H356" s="97">
        <v>6</v>
      </c>
      <c r="I356" s="97">
        <v>2025</v>
      </c>
      <c r="J356" s="97">
        <v>335</v>
      </c>
      <c r="K356" s="97" t="s">
        <v>487</v>
      </c>
      <c r="L356" s="98" t="s">
        <v>488</v>
      </c>
      <c r="M356" s="97">
        <v>1</v>
      </c>
      <c r="N356" s="97"/>
      <c r="O356" s="98"/>
      <c r="P356" s="99"/>
      <c r="Q356" s="99"/>
      <c r="R356" s="99"/>
      <c r="S356" s="98" t="s">
        <v>449</v>
      </c>
      <c r="T356" s="174">
        <v>682</v>
      </c>
      <c r="U356" s="94">
        <v>3745</v>
      </c>
      <c r="V356" s="100"/>
      <c r="W356" s="100"/>
      <c r="X356" s="100"/>
      <c r="Y356" s="100"/>
      <c r="Z356" s="101" t="s">
        <v>0</v>
      </c>
      <c r="AA356" s="100" t="s">
        <v>58</v>
      </c>
      <c r="AB356" s="100"/>
      <c r="AC356" s="100"/>
      <c r="AD356" s="100"/>
      <c r="AE356" s="121">
        <v>17.100000000000001</v>
      </c>
      <c r="AF356" s="103">
        <v>78</v>
      </c>
      <c r="AG356" s="103">
        <v>61</v>
      </c>
      <c r="AH356" s="104">
        <v>69</v>
      </c>
      <c r="AI356" s="121">
        <v>6.39</v>
      </c>
      <c r="AJ356" s="103"/>
      <c r="AK356" s="103">
        <v>0</v>
      </c>
      <c r="AL356" s="113"/>
      <c r="AM356" s="106"/>
      <c r="AN356" s="114"/>
      <c r="AO356" s="108"/>
      <c r="AP356" s="108"/>
      <c r="AQ356" s="108"/>
      <c r="AR356" s="109"/>
      <c r="AS356" s="110"/>
      <c r="AT356" s="110"/>
      <c r="AU356" s="111"/>
      <c r="AV356" s="112" t="s">
        <v>54</v>
      </c>
      <c r="AW356" s="110"/>
      <c r="AX356" s="138">
        <v>415</v>
      </c>
    </row>
    <row r="357" spans="1:50" ht="21" customHeight="1" x14ac:dyDescent="0.25">
      <c r="A357" s="138">
        <v>346</v>
      </c>
      <c r="B357" s="94"/>
      <c r="C357" s="95" t="s">
        <v>481</v>
      </c>
      <c r="D357" s="95" t="s">
        <v>47</v>
      </c>
      <c r="E357" s="95" t="s">
        <v>48</v>
      </c>
      <c r="F357" s="95" t="s">
        <v>473</v>
      </c>
      <c r="G357" s="97">
        <v>6</v>
      </c>
      <c r="H357" s="97">
        <v>6</v>
      </c>
      <c r="I357" s="97">
        <v>2025</v>
      </c>
      <c r="J357" s="97">
        <v>335</v>
      </c>
      <c r="K357" s="97" t="s">
        <v>487</v>
      </c>
      <c r="L357" s="98" t="s">
        <v>488</v>
      </c>
      <c r="M357" s="97">
        <v>1</v>
      </c>
      <c r="N357" s="97"/>
      <c r="O357" s="98"/>
      <c r="P357" s="99"/>
      <c r="Q357" s="99"/>
      <c r="R357" s="99"/>
      <c r="S357" s="98" t="s">
        <v>136</v>
      </c>
      <c r="T357" s="174">
        <v>683</v>
      </c>
      <c r="U357" s="94">
        <v>259</v>
      </c>
      <c r="V357" s="100"/>
      <c r="W357" s="100"/>
      <c r="X357" s="100"/>
      <c r="Y357" s="100"/>
      <c r="Z357" s="101" t="s">
        <v>3</v>
      </c>
      <c r="AA357" s="100" t="s">
        <v>58</v>
      </c>
      <c r="AB357" s="100"/>
      <c r="AC357" s="100"/>
      <c r="AD357" s="100"/>
      <c r="AE357" s="102">
        <v>21</v>
      </c>
      <c r="AF357" s="103">
        <v>59</v>
      </c>
      <c r="AG357" s="103">
        <v>47</v>
      </c>
      <c r="AH357" s="104">
        <v>53</v>
      </c>
      <c r="AI357" s="102">
        <v>4.63</v>
      </c>
      <c r="AJ357" s="105"/>
      <c r="AK357" s="105">
        <v>0</v>
      </c>
      <c r="AL357" s="113"/>
      <c r="AM357" s="106"/>
      <c r="AN357" s="114"/>
      <c r="AO357" s="108"/>
      <c r="AP357" s="108"/>
      <c r="AQ357" s="108"/>
      <c r="AR357" s="109"/>
      <c r="AS357" s="110"/>
      <c r="AT357" s="110"/>
      <c r="AU357" s="111"/>
      <c r="AV357" s="112" t="s">
        <v>54</v>
      </c>
      <c r="AW357" s="110"/>
      <c r="AX357" s="138">
        <v>290</v>
      </c>
    </row>
    <row r="358" spans="1:50" ht="21" customHeight="1" x14ac:dyDescent="0.25">
      <c r="A358" s="138">
        <v>322</v>
      </c>
      <c r="B358" s="94"/>
      <c r="C358" s="95" t="s">
        <v>481</v>
      </c>
      <c r="D358" s="95" t="s">
        <v>47</v>
      </c>
      <c r="E358" s="95" t="s">
        <v>48</v>
      </c>
      <c r="F358" s="95" t="s">
        <v>473</v>
      </c>
      <c r="G358" s="97">
        <v>6</v>
      </c>
      <c r="H358" s="97">
        <v>6</v>
      </c>
      <c r="I358" s="97">
        <v>2025</v>
      </c>
      <c r="J358" s="97">
        <v>335</v>
      </c>
      <c r="K358" s="97" t="s">
        <v>487</v>
      </c>
      <c r="L358" s="98" t="s">
        <v>488</v>
      </c>
      <c r="M358" s="97">
        <v>1</v>
      </c>
      <c r="N358" s="97"/>
      <c r="O358" s="95"/>
      <c r="P358" s="99"/>
      <c r="Q358" s="99"/>
      <c r="R358" s="99"/>
      <c r="S358" s="95" t="s">
        <v>62</v>
      </c>
      <c r="T358" s="174">
        <v>684</v>
      </c>
      <c r="U358" s="94">
        <v>184</v>
      </c>
      <c r="V358" s="100"/>
      <c r="W358" s="100"/>
      <c r="X358" s="100"/>
      <c r="Y358" s="100"/>
      <c r="Z358" s="122" t="s">
        <v>0</v>
      </c>
      <c r="AA358" s="100" t="s">
        <v>58</v>
      </c>
      <c r="AB358" s="123"/>
      <c r="AC358" s="123"/>
      <c r="AD358" s="123"/>
      <c r="AE358" s="124">
        <v>9.6</v>
      </c>
      <c r="AF358" s="125">
        <v>89</v>
      </c>
      <c r="AG358" s="125">
        <v>71</v>
      </c>
      <c r="AH358" s="122">
        <v>80</v>
      </c>
      <c r="AI358" s="124">
        <v>4.4400000000000004</v>
      </c>
      <c r="AJ358" s="125">
        <v>20</v>
      </c>
      <c r="AK358" s="126">
        <v>8</v>
      </c>
      <c r="AL358" s="122"/>
      <c r="AM358" s="122"/>
      <c r="AN358" s="124"/>
      <c r="AO358" s="122"/>
      <c r="AP358" s="122"/>
      <c r="AQ358" s="122"/>
      <c r="AR358" s="122"/>
      <c r="AS358" s="125"/>
      <c r="AT358" s="125"/>
      <c r="AU358" s="125"/>
      <c r="AV358" s="112" t="s">
        <v>54</v>
      </c>
      <c r="AW358" s="125"/>
      <c r="AX358" s="138">
        <v>266</v>
      </c>
    </row>
    <row r="359" spans="1:50" ht="21" customHeight="1" x14ac:dyDescent="0.25">
      <c r="A359" s="138">
        <v>340</v>
      </c>
      <c r="B359" s="94"/>
      <c r="C359" s="95" t="s">
        <v>481</v>
      </c>
      <c r="D359" s="95" t="s">
        <v>47</v>
      </c>
      <c r="E359" s="95" t="s">
        <v>48</v>
      </c>
      <c r="F359" s="95" t="s">
        <v>473</v>
      </c>
      <c r="G359" s="97">
        <v>6</v>
      </c>
      <c r="H359" s="97">
        <v>6</v>
      </c>
      <c r="I359" s="97">
        <v>2025</v>
      </c>
      <c r="J359" s="97">
        <v>335</v>
      </c>
      <c r="K359" s="97" t="s">
        <v>487</v>
      </c>
      <c r="L359" s="98" t="s">
        <v>488</v>
      </c>
      <c r="M359" s="97">
        <v>1</v>
      </c>
      <c r="N359" s="97"/>
      <c r="O359" s="98"/>
      <c r="P359" s="99"/>
      <c r="Q359" s="99"/>
      <c r="R359" s="99"/>
      <c r="S359" s="98" t="s">
        <v>127</v>
      </c>
      <c r="T359" s="174">
        <v>685</v>
      </c>
      <c r="U359" s="94">
        <v>250</v>
      </c>
      <c r="V359" s="100"/>
      <c r="W359" s="100"/>
      <c r="X359" s="100"/>
      <c r="Y359" s="100"/>
      <c r="Z359" s="101" t="s">
        <v>3</v>
      </c>
      <c r="AA359" s="100" t="s">
        <v>58</v>
      </c>
      <c r="AB359" s="100"/>
      <c r="AC359" s="100"/>
      <c r="AD359" s="100"/>
      <c r="AE359" s="121">
        <v>19.5</v>
      </c>
      <c r="AF359" s="103">
        <v>59</v>
      </c>
      <c r="AG359" s="103">
        <v>40</v>
      </c>
      <c r="AH359" s="104">
        <v>49</v>
      </c>
      <c r="AI359" s="102">
        <v>3.68</v>
      </c>
      <c r="AJ359" s="105"/>
      <c r="AK359" s="105">
        <v>0</v>
      </c>
      <c r="AL359" s="113"/>
      <c r="AM359" s="106"/>
      <c r="AN359" s="114"/>
      <c r="AO359" s="108"/>
      <c r="AP359" s="108"/>
      <c r="AQ359" s="108"/>
      <c r="AR359" s="109"/>
      <c r="AS359" s="110"/>
      <c r="AT359" s="110"/>
      <c r="AU359" s="111"/>
      <c r="AV359" s="112" t="s">
        <v>54</v>
      </c>
      <c r="AW359" s="110"/>
      <c r="AX359" s="138">
        <v>284</v>
      </c>
    </row>
    <row r="360" spans="1:50" ht="21" customHeight="1" x14ac:dyDescent="0.25">
      <c r="A360" s="138">
        <v>353</v>
      </c>
      <c r="B360" s="94"/>
      <c r="C360" s="95" t="s">
        <v>481</v>
      </c>
      <c r="D360" s="95" t="s">
        <v>47</v>
      </c>
      <c r="E360" s="95" t="s">
        <v>48</v>
      </c>
      <c r="F360" s="95" t="s">
        <v>473</v>
      </c>
      <c r="G360" s="97">
        <v>6</v>
      </c>
      <c r="H360" s="97">
        <v>6</v>
      </c>
      <c r="I360" s="97">
        <v>2025</v>
      </c>
      <c r="J360" s="97">
        <v>335</v>
      </c>
      <c r="K360" s="97" t="s">
        <v>487</v>
      </c>
      <c r="L360" s="98" t="s">
        <v>488</v>
      </c>
      <c r="M360" s="97">
        <v>1</v>
      </c>
      <c r="N360" s="97"/>
      <c r="O360" s="98"/>
      <c r="P360" s="99"/>
      <c r="Q360" s="99"/>
      <c r="R360" s="99"/>
      <c r="S360" s="116" t="s">
        <v>143</v>
      </c>
      <c r="T360" s="174">
        <v>686</v>
      </c>
      <c r="U360" s="175">
        <v>340</v>
      </c>
      <c r="V360" s="100"/>
      <c r="W360" s="117"/>
      <c r="X360" s="117"/>
      <c r="Y360" s="117"/>
      <c r="Z360" s="106" t="s">
        <v>0</v>
      </c>
      <c r="AA360" s="117" t="s">
        <v>58</v>
      </c>
      <c r="AB360" s="117"/>
      <c r="AC360" s="117"/>
      <c r="AD360" s="117"/>
      <c r="AE360" s="119">
        <v>11.5</v>
      </c>
      <c r="AF360" s="112">
        <v>64</v>
      </c>
      <c r="AG360" s="112">
        <v>55</v>
      </c>
      <c r="AH360" s="113">
        <v>59</v>
      </c>
      <c r="AI360" s="119">
        <v>3.14</v>
      </c>
      <c r="AJ360" s="120"/>
      <c r="AK360" s="120">
        <v>0</v>
      </c>
      <c r="AL360" s="106"/>
      <c r="AM360" s="106"/>
      <c r="AN360" s="107"/>
      <c r="AO360" s="106"/>
      <c r="AP360" s="106"/>
      <c r="AQ360" s="108"/>
      <c r="AR360" s="109"/>
      <c r="AS360" s="110"/>
      <c r="AT360" s="110"/>
      <c r="AU360" s="110"/>
      <c r="AV360" s="112" t="s">
        <v>54</v>
      </c>
      <c r="AW360" s="110"/>
      <c r="AX360" s="138">
        <v>297</v>
      </c>
    </row>
    <row r="361" spans="1:50" ht="21" customHeight="1" x14ac:dyDescent="0.25">
      <c r="A361" s="138">
        <v>354</v>
      </c>
      <c r="B361" s="94"/>
      <c r="C361" s="95" t="s">
        <v>481</v>
      </c>
      <c r="D361" s="95" t="s">
        <v>47</v>
      </c>
      <c r="E361" s="95" t="s">
        <v>48</v>
      </c>
      <c r="F361" s="95" t="s">
        <v>473</v>
      </c>
      <c r="G361" s="97">
        <v>6</v>
      </c>
      <c r="H361" s="97">
        <v>6</v>
      </c>
      <c r="I361" s="97">
        <v>2025</v>
      </c>
      <c r="J361" s="97">
        <v>335</v>
      </c>
      <c r="K361" s="97" t="s">
        <v>487</v>
      </c>
      <c r="L361" s="98" t="s">
        <v>488</v>
      </c>
      <c r="M361" s="97">
        <v>1</v>
      </c>
      <c r="N361" s="97"/>
      <c r="O361" s="98"/>
      <c r="P361" s="99"/>
      <c r="Q361" s="99"/>
      <c r="R361" s="99"/>
      <c r="S361" s="98" t="s">
        <v>144</v>
      </c>
      <c r="T361" s="174">
        <v>687</v>
      </c>
      <c r="U361" s="94">
        <v>341</v>
      </c>
      <c r="V361" s="100"/>
      <c r="W361" s="100"/>
      <c r="X361" s="100"/>
      <c r="Y361" s="100"/>
      <c r="Z361" s="101" t="s">
        <v>0</v>
      </c>
      <c r="AA361" s="100" t="s">
        <v>58</v>
      </c>
      <c r="AB361" s="100"/>
      <c r="AC361" s="100"/>
      <c r="AD361" s="100"/>
      <c r="AE361" s="102">
        <v>18.5</v>
      </c>
      <c r="AF361" s="103">
        <v>65</v>
      </c>
      <c r="AG361" s="103">
        <v>46</v>
      </c>
      <c r="AH361" s="104">
        <v>55</v>
      </c>
      <c r="AI361" s="102">
        <v>4.4000000000000004</v>
      </c>
      <c r="AJ361" s="105"/>
      <c r="AK361" s="105">
        <v>0</v>
      </c>
      <c r="AL361" s="113"/>
      <c r="AM361" s="106"/>
      <c r="AN361" s="114"/>
      <c r="AO361" s="108"/>
      <c r="AP361" s="108"/>
      <c r="AQ361" s="108"/>
      <c r="AR361" s="109"/>
      <c r="AS361" s="110"/>
      <c r="AT361" s="110"/>
      <c r="AU361" s="111"/>
      <c r="AV361" s="112" t="s">
        <v>54</v>
      </c>
      <c r="AW361" s="110"/>
      <c r="AX361" s="138">
        <v>298</v>
      </c>
    </row>
    <row r="362" spans="1:50" ht="21" customHeight="1" x14ac:dyDescent="0.25">
      <c r="A362" s="138">
        <v>407</v>
      </c>
      <c r="B362" s="94"/>
      <c r="C362" s="95" t="s">
        <v>481</v>
      </c>
      <c r="D362" s="95" t="s">
        <v>47</v>
      </c>
      <c r="E362" s="95" t="s">
        <v>48</v>
      </c>
      <c r="F362" s="95" t="s">
        <v>473</v>
      </c>
      <c r="G362" s="97">
        <v>6</v>
      </c>
      <c r="H362" s="97">
        <v>6</v>
      </c>
      <c r="I362" s="97">
        <v>2025</v>
      </c>
      <c r="J362" s="97">
        <v>335</v>
      </c>
      <c r="K362" s="97" t="s">
        <v>487</v>
      </c>
      <c r="L362" s="98" t="s">
        <v>488</v>
      </c>
      <c r="M362" s="97">
        <v>1</v>
      </c>
      <c r="N362" s="97"/>
      <c r="O362" s="98"/>
      <c r="P362" s="99"/>
      <c r="Q362" s="99"/>
      <c r="R362" s="99"/>
      <c r="S362" s="98" t="s">
        <v>323</v>
      </c>
      <c r="T362" s="174">
        <v>688</v>
      </c>
      <c r="U362" s="94">
        <v>3411</v>
      </c>
      <c r="V362" s="100"/>
      <c r="W362" s="100"/>
      <c r="X362" s="100"/>
      <c r="Y362" s="100"/>
      <c r="Z362" s="101" t="s">
        <v>0</v>
      </c>
      <c r="AA362" s="100" t="s">
        <v>58</v>
      </c>
      <c r="AB362" s="100"/>
      <c r="AC362" s="100"/>
      <c r="AD362" s="100"/>
      <c r="AE362" s="102">
        <v>12.8</v>
      </c>
      <c r="AF362" s="103">
        <v>61</v>
      </c>
      <c r="AG362" s="103">
        <v>51</v>
      </c>
      <c r="AH362" s="104">
        <v>56</v>
      </c>
      <c r="AI362" s="102">
        <v>3.15</v>
      </c>
      <c r="AJ362" s="105"/>
      <c r="AK362" s="105">
        <v>0</v>
      </c>
      <c r="AL362" s="113">
        <v>10</v>
      </c>
      <c r="AM362" s="106">
        <f>COUNT(AI352:AI362)</f>
        <v>11</v>
      </c>
      <c r="AN362" s="114">
        <f>SUM(AI352:AI362)</f>
        <v>47.019999999999996</v>
      </c>
      <c r="AO362" s="108"/>
      <c r="AP362" s="108"/>
      <c r="AQ362" s="106"/>
      <c r="AR362" s="106"/>
      <c r="AS362" s="110"/>
      <c r="AT362" s="110"/>
      <c r="AU362" s="111"/>
      <c r="AV362" s="112" t="s">
        <v>54</v>
      </c>
      <c r="AW362" s="110"/>
      <c r="AX362" s="138">
        <v>383</v>
      </c>
    </row>
    <row r="363" spans="1:50" ht="21" customHeight="1" x14ac:dyDescent="0.25">
      <c r="A363" s="138">
        <v>344</v>
      </c>
      <c r="B363" s="94">
        <v>39</v>
      </c>
      <c r="C363" s="95" t="s">
        <v>481</v>
      </c>
      <c r="D363" s="95" t="s">
        <v>47</v>
      </c>
      <c r="E363" s="95" t="s">
        <v>456</v>
      </c>
      <c r="F363" s="95" t="s">
        <v>473</v>
      </c>
      <c r="G363" s="97">
        <v>6</v>
      </c>
      <c r="H363" s="97">
        <v>6</v>
      </c>
      <c r="I363" s="97">
        <v>2025</v>
      </c>
      <c r="J363" s="97">
        <v>338</v>
      </c>
      <c r="K363" s="97" t="s">
        <v>463</v>
      </c>
      <c r="L363" s="98" t="s">
        <v>482</v>
      </c>
      <c r="M363" s="97">
        <v>2</v>
      </c>
      <c r="N363" s="97"/>
      <c r="O363" s="98"/>
      <c r="P363" s="99"/>
      <c r="Q363" s="99"/>
      <c r="R363" s="99"/>
      <c r="S363" s="116" t="s">
        <v>132</v>
      </c>
      <c r="T363" s="174">
        <v>689</v>
      </c>
      <c r="U363" s="175">
        <v>255</v>
      </c>
      <c r="V363" s="100"/>
      <c r="W363" s="117"/>
      <c r="X363" s="117"/>
      <c r="Y363" s="117"/>
      <c r="Z363" s="106" t="s">
        <v>0</v>
      </c>
      <c r="AA363" s="117" t="s">
        <v>58</v>
      </c>
      <c r="AB363" s="117"/>
      <c r="AC363" s="117"/>
      <c r="AD363" s="117"/>
      <c r="AE363" s="119">
        <v>20.399999999999999</v>
      </c>
      <c r="AF363" s="112">
        <v>66</v>
      </c>
      <c r="AG363" s="112">
        <v>43</v>
      </c>
      <c r="AH363" s="113">
        <v>54</v>
      </c>
      <c r="AI363" s="119">
        <v>4.67</v>
      </c>
      <c r="AJ363" s="120"/>
      <c r="AK363" s="120">
        <v>0</v>
      </c>
      <c r="AL363" s="113"/>
      <c r="AM363" s="106"/>
      <c r="AN363" s="114"/>
      <c r="AO363" s="108"/>
      <c r="AP363" s="108"/>
      <c r="AQ363" s="113"/>
      <c r="AR363" s="106"/>
      <c r="AS363" s="110"/>
      <c r="AT363" s="110"/>
      <c r="AU363" s="110"/>
      <c r="AV363" s="112" t="s">
        <v>54</v>
      </c>
      <c r="AW363" s="110"/>
      <c r="AX363" s="138">
        <v>288</v>
      </c>
    </row>
    <row r="364" spans="1:50" ht="21" customHeight="1" x14ac:dyDescent="0.25">
      <c r="A364" s="138">
        <v>362</v>
      </c>
      <c r="B364" s="94"/>
      <c r="C364" s="95" t="s">
        <v>481</v>
      </c>
      <c r="D364" s="95" t="s">
        <v>47</v>
      </c>
      <c r="E364" s="95" t="s">
        <v>456</v>
      </c>
      <c r="F364" s="95" t="s">
        <v>473</v>
      </c>
      <c r="G364" s="97">
        <v>6</v>
      </c>
      <c r="H364" s="97">
        <v>6</v>
      </c>
      <c r="I364" s="97">
        <v>2025</v>
      </c>
      <c r="J364" s="97">
        <v>338</v>
      </c>
      <c r="K364" s="97" t="s">
        <v>463</v>
      </c>
      <c r="L364" s="98" t="s">
        <v>482</v>
      </c>
      <c r="M364" s="97">
        <v>2</v>
      </c>
      <c r="N364" s="97"/>
      <c r="O364" s="98"/>
      <c r="P364" s="99"/>
      <c r="Q364" s="99"/>
      <c r="R364" s="99"/>
      <c r="S364" s="98" t="s">
        <v>154</v>
      </c>
      <c r="T364" s="174">
        <v>690</v>
      </c>
      <c r="U364" s="94">
        <v>362</v>
      </c>
      <c r="V364" s="100"/>
      <c r="W364" s="100"/>
      <c r="X364" s="100"/>
      <c r="Y364" s="100"/>
      <c r="Z364" s="101" t="s">
        <v>2</v>
      </c>
      <c r="AA364" s="100" t="s">
        <v>58</v>
      </c>
      <c r="AB364" s="100"/>
      <c r="AC364" s="100"/>
      <c r="AD364" s="100"/>
      <c r="AE364" s="102">
        <v>15.4</v>
      </c>
      <c r="AF364" s="103">
        <v>79</v>
      </c>
      <c r="AG364" s="103">
        <v>68</v>
      </c>
      <c r="AH364" s="104">
        <v>73</v>
      </c>
      <c r="AI364" s="102">
        <v>6.45</v>
      </c>
      <c r="AJ364" s="105"/>
      <c r="AK364" s="105">
        <v>0</v>
      </c>
      <c r="AL364" s="113"/>
      <c r="AM364" s="106"/>
      <c r="AN364" s="114"/>
      <c r="AO364" s="108"/>
      <c r="AP364" s="108"/>
      <c r="AQ364" s="106"/>
      <c r="AR364" s="106"/>
      <c r="AS364" s="110"/>
      <c r="AT364" s="110"/>
      <c r="AU364" s="111"/>
      <c r="AV364" s="112" t="s">
        <v>54</v>
      </c>
      <c r="AW364" s="110"/>
      <c r="AX364" s="138">
        <v>306</v>
      </c>
    </row>
    <row r="365" spans="1:50" ht="21" customHeight="1" x14ac:dyDescent="0.25">
      <c r="A365" s="138">
        <v>341</v>
      </c>
      <c r="B365" s="94"/>
      <c r="C365" s="95" t="s">
        <v>481</v>
      </c>
      <c r="D365" s="95" t="s">
        <v>47</v>
      </c>
      <c r="E365" s="95" t="s">
        <v>456</v>
      </c>
      <c r="F365" s="95" t="s">
        <v>473</v>
      </c>
      <c r="G365" s="97">
        <v>6</v>
      </c>
      <c r="H365" s="97">
        <v>6</v>
      </c>
      <c r="I365" s="97">
        <v>2025</v>
      </c>
      <c r="J365" s="97">
        <v>338</v>
      </c>
      <c r="K365" s="97" t="s">
        <v>463</v>
      </c>
      <c r="L365" s="98" t="s">
        <v>482</v>
      </c>
      <c r="M365" s="97">
        <v>2</v>
      </c>
      <c r="N365" s="97"/>
      <c r="O365" s="98"/>
      <c r="P365" s="99"/>
      <c r="Q365" s="99"/>
      <c r="R365" s="99"/>
      <c r="S365" s="98" t="s">
        <v>129</v>
      </c>
      <c r="T365" s="174">
        <v>691</v>
      </c>
      <c r="U365" s="94">
        <v>252</v>
      </c>
      <c r="V365" s="100"/>
      <c r="W365" s="100"/>
      <c r="X365" s="100"/>
      <c r="Y365" s="100"/>
      <c r="Z365" s="101" t="s">
        <v>2</v>
      </c>
      <c r="AA365" s="100" t="s">
        <v>58</v>
      </c>
      <c r="AB365" s="100"/>
      <c r="AC365" s="100"/>
      <c r="AD365" s="100"/>
      <c r="AE365" s="102">
        <v>18.7</v>
      </c>
      <c r="AF365" s="103">
        <v>60</v>
      </c>
      <c r="AG365" s="103">
        <v>38</v>
      </c>
      <c r="AH365" s="104">
        <v>49</v>
      </c>
      <c r="AI365" s="102">
        <v>3.53</v>
      </c>
      <c r="AJ365" s="105"/>
      <c r="AK365" s="105">
        <v>0</v>
      </c>
      <c r="AL365" s="113"/>
      <c r="AM365" s="106"/>
      <c r="AN365" s="114"/>
      <c r="AO365" s="108"/>
      <c r="AP365" s="108"/>
      <c r="AQ365" s="108"/>
      <c r="AR365" s="109"/>
      <c r="AS365" s="110"/>
      <c r="AT365" s="110"/>
      <c r="AU365" s="111"/>
      <c r="AV365" s="112" t="s">
        <v>54</v>
      </c>
      <c r="AW365" s="110"/>
      <c r="AX365" s="138">
        <v>285</v>
      </c>
    </row>
    <row r="366" spans="1:50" ht="21" customHeight="1" x14ac:dyDescent="0.25">
      <c r="A366" s="138">
        <v>331</v>
      </c>
      <c r="B366" s="94"/>
      <c r="C366" s="95" t="s">
        <v>481</v>
      </c>
      <c r="D366" s="95" t="s">
        <v>47</v>
      </c>
      <c r="E366" s="95" t="s">
        <v>456</v>
      </c>
      <c r="F366" s="95" t="s">
        <v>473</v>
      </c>
      <c r="G366" s="97">
        <v>6</v>
      </c>
      <c r="H366" s="97">
        <v>6</v>
      </c>
      <c r="I366" s="97">
        <v>2025</v>
      </c>
      <c r="J366" s="97">
        <v>338</v>
      </c>
      <c r="K366" s="97" t="s">
        <v>463</v>
      </c>
      <c r="L366" s="98" t="s">
        <v>482</v>
      </c>
      <c r="M366" s="97">
        <v>2</v>
      </c>
      <c r="N366" s="97"/>
      <c r="O366" s="98"/>
      <c r="P366" s="99"/>
      <c r="Q366" s="99"/>
      <c r="R366" s="99"/>
      <c r="S366" s="98" t="s">
        <v>99</v>
      </c>
      <c r="T366" s="174">
        <v>692</v>
      </c>
      <c r="U366" s="94">
        <v>223</v>
      </c>
      <c r="V366" s="100"/>
      <c r="W366" s="100"/>
      <c r="X366" s="100"/>
      <c r="Y366" s="100"/>
      <c r="Z366" s="101" t="s">
        <v>8</v>
      </c>
      <c r="AA366" s="100" t="s">
        <v>58</v>
      </c>
      <c r="AB366" s="100"/>
      <c r="AC366" s="100"/>
      <c r="AD366" s="100"/>
      <c r="AE366" s="102">
        <v>21.6</v>
      </c>
      <c r="AF366" s="103">
        <v>50</v>
      </c>
      <c r="AG366" s="103">
        <v>34</v>
      </c>
      <c r="AH366" s="104">
        <v>42</v>
      </c>
      <c r="AI366" s="102">
        <v>2.99</v>
      </c>
      <c r="AJ366" s="105"/>
      <c r="AK366" s="105">
        <v>0</v>
      </c>
      <c r="AL366" s="113"/>
      <c r="AM366" s="113"/>
      <c r="AN366" s="114"/>
      <c r="AO366" s="108"/>
      <c r="AP366" s="108"/>
      <c r="AQ366" s="108"/>
      <c r="AR366" s="109"/>
      <c r="AS366" s="110"/>
      <c r="AT366" s="110"/>
      <c r="AU366" s="111"/>
      <c r="AV366" s="112" t="s">
        <v>54</v>
      </c>
      <c r="AW366" s="110"/>
      <c r="AX366" s="138">
        <v>275</v>
      </c>
    </row>
    <row r="367" spans="1:50" ht="21" customHeight="1" x14ac:dyDescent="0.25">
      <c r="A367" s="138">
        <v>360</v>
      </c>
      <c r="B367" s="94"/>
      <c r="C367" s="95" t="s">
        <v>481</v>
      </c>
      <c r="D367" s="95" t="s">
        <v>47</v>
      </c>
      <c r="E367" s="95" t="s">
        <v>456</v>
      </c>
      <c r="F367" s="95" t="s">
        <v>473</v>
      </c>
      <c r="G367" s="97">
        <v>6</v>
      </c>
      <c r="H367" s="97">
        <v>6</v>
      </c>
      <c r="I367" s="97">
        <v>2025</v>
      </c>
      <c r="J367" s="97">
        <v>338</v>
      </c>
      <c r="K367" s="97" t="s">
        <v>463</v>
      </c>
      <c r="L367" s="98" t="s">
        <v>482</v>
      </c>
      <c r="M367" s="97">
        <v>2</v>
      </c>
      <c r="N367" s="97"/>
      <c r="O367" s="98"/>
      <c r="P367" s="99"/>
      <c r="Q367" s="99"/>
      <c r="R367" s="99"/>
      <c r="S367" s="116" t="s">
        <v>151</v>
      </c>
      <c r="T367" s="174">
        <v>693</v>
      </c>
      <c r="U367" s="175">
        <v>348</v>
      </c>
      <c r="V367" s="100"/>
      <c r="W367" s="117"/>
      <c r="X367" s="117"/>
      <c r="Y367" s="117"/>
      <c r="Z367" s="106" t="s">
        <v>0</v>
      </c>
      <c r="AA367" s="117" t="s">
        <v>58</v>
      </c>
      <c r="AB367" s="117"/>
      <c r="AC367" s="117"/>
      <c r="AD367" s="117"/>
      <c r="AE367" s="119">
        <v>20</v>
      </c>
      <c r="AF367" s="112">
        <v>56</v>
      </c>
      <c r="AG367" s="112">
        <v>35</v>
      </c>
      <c r="AH367" s="113">
        <v>45</v>
      </c>
      <c r="AI367" s="119">
        <v>3.18</v>
      </c>
      <c r="AJ367" s="112"/>
      <c r="AK367" s="112">
        <v>0</v>
      </c>
      <c r="AL367" s="113"/>
      <c r="AM367" s="106"/>
      <c r="AN367" s="114"/>
      <c r="AO367" s="108"/>
      <c r="AP367" s="108"/>
      <c r="AQ367" s="108"/>
      <c r="AR367" s="109"/>
      <c r="AS367" s="110"/>
      <c r="AT367" s="110"/>
      <c r="AU367" s="110"/>
      <c r="AV367" s="112" t="s">
        <v>54</v>
      </c>
      <c r="AW367" s="110"/>
      <c r="AX367" s="138">
        <v>304</v>
      </c>
    </row>
    <row r="368" spans="1:50" ht="21" customHeight="1" x14ac:dyDescent="0.25">
      <c r="A368" s="138">
        <v>364</v>
      </c>
      <c r="B368" s="94"/>
      <c r="C368" s="95" t="s">
        <v>481</v>
      </c>
      <c r="D368" s="95" t="s">
        <v>47</v>
      </c>
      <c r="E368" s="95" t="s">
        <v>456</v>
      </c>
      <c r="F368" s="95" t="s">
        <v>473</v>
      </c>
      <c r="G368" s="97">
        <v>6</v>
      </c>
      <c r="H368" s="97">
        <v>6</v>
      </c>
      <c r="I368" s="97">
        <v>2025</v>
      </c>
      <c r="J368" s="97">
        <v>338</v>
      </c>
      <c r="K368" s="97" t="s">
        <v>463</v>
      </c>
      <c r="L368" s="98" t="s">
        <v>482</v>
      </c>
      <c r="M368" s="97">
        <v>2</v>
      </c>
      <c r="N368" s="97"/>
      <c r="O368" s="98"/>
      <c r="P368" s="99"/>
      <c r="Q368" s="99"/>
      <c r="R368" s="99"/>
      <c r="S368" s="98" t="s">
        <v>156</v>
      </c>
      <c r="T368" s="174">
        <v>694</v>
      </c>
      <c r="U368" s="94">
        <v>364</v>
      </c>
      <c r="V368" s="100"/>
      <c r="W368" s="100"/>
      <c r="X368" s="100"/>
      <c r="Y368" s="100"/>
      <c r="Z368" s="101" t="s">
        <v>0</v>
      </c>
      <c r="AA368" s="100" t="s">
        <v>58</v>
      </c>
      <c r="AB368" s="100"/>
      <c r="AC368" s="100"/>
      <c r="AD368" s="100"/>
      <c r="AE368" s="102">
        <v>13.6</v>
      </c>
      <c r="AF368" s="103">
        <v>55</v>
      </c>
      <c r="AG368" s="103">
        <v>44</v>
      </c>
      <c r="AH368" s="104">
        <v>49</v>
      </c>
      <c r="AI368" s="102">
        <v>2.56</v>
      </c>
      <c r="AJ368" s="105"/>
      <c r="AK368" s="105">
        <v>0</v>
      </c>
      <c r="AL368" s="113"/>
      <c r="AM368" s="113"/>
      <c r="AN368" s="114"/>
      <c r="AO368" s="108"/>
      <c r="AP368" s="108"/>
      <c r="AQ368" s="108"/>
      <c r="AR368" s="109"/>
      <c r="AS368" s="110"/>
      <c r="AT368" s="110"/>
      <c r="AU368" s="111"/>
      <c r="AV368" s="112" t="s">
        <v>54</v>
      </c>
      <c r="AW368" s="110"/>
      <c r="AX368" s="138">
        <v>308</v>
      </c>
    </row>
    <row r="369" spans="1:50" ht="21" customHeight="1" x14ac:dyDescent="0.25">
      <c r="A369" s="138">
        <v>356</v>
      </c>
      <c r="B369" s="94"/>
      <c r="C369" s="95" t="s">
        <v>481</v>
      </c>
      <c r="D369" s="95" t="s">
        <v>47</v>
      </c>
      <c r="E369" s="95" t="s">
        <v>456</v>
      </c>
      <c r="F369" s="95" t="s">
        <v>473</v>
      </c>
      <c r="G369" s="97">
        <v>6</v>
      </c>
      <c r="H369" s="97">
        <v>6</v>
      </c>
      <c r="I369" s="97">
        <v>2025</v>
      </c>
      <c r="J369" s="97">
        <v>338</v>
      </c>
      <c r="K369" s="97" t="s">
        <v>463</v>
      </c>
      <c r="L369" s="98" t="s">
        <v>482</v>
      </c>
      <c r="M369" s="97">
        <v>2</v>
      </c>
      <c r="N369" s="97"/>
      <c r="O369" s="98"/>
      <c r="P369" s="99"/>
      <c r="Q369" s="99"/>
      <c r="R369" s="99"/>
      <c r="S369" s="116" t="s">
        <v>147</v>
      </c>
      <c r="T369" s="174">
        <v>695</v>
      </c>
      <c r="U369" s="175">
        <v>344</v>
      </c>
      <c r="V369" s="100"/>
      <c r="W369" s="117"/>
      <c r="X369" s="117"/>
      <c r="Y369" s="117"/>
      <c r="Z369" s="106" t="s">
        <v>3</v>
      </c>
      <c r="AA369" s="117" t="s">
        <v>58</v>
      </c>
      <c r="AB369" s="117"/>
      <c r="AC369" s="117"/>
      <c r="AD369" s="117"/>
      <c r="AE369" s="119">
        <v>13.3</v>
      </c>
      <c r="AF369" s="112">
        <v>60</v>
      </c>
      <c r="AG369" s="112">
        <v>50</v>
      </c>
      <c r="AH369" s="113">
        <v>55</v>
      </c>
      <c r="AI369" s="119">
        <v>3.16</v>
      </c>
      <c r="AJ369" s="120"/>
      <c r="AK369" s="120">
        <v>0</v>
      </c>
      <c r="AL369" s="113"/>
      <c r="AM369" s="106"/>
      <c r="AN369" s="114"/>
      <c r="AO369" s="108"/>
      <c r="AP369" s="108"/>
      <c r="AQ369" s="108"/>
      <c r="AR369" s="109"/>
      <c r="AS369" s="110"/>
      <c r="AT369" s="110"/>
      <c r="AU369" s="110"/>
      <c r="AV369" s="112" t="s">
        <v>54</v>
      </c>
      <c r="AW369" s="110"/>
      <c r="AX369" s="138">
        <v>300</v>
      </c>
    </row>
    <row r="370" spans="1:50" ht="21" customHeight="1" x14ac:dyDescent="0.25">
      <c r="A370" s="138">
        <v>393</v>
      </c>
      <c r="B370" s="94"/>
      <c r="C370" s="95" t="s">
        <v>481</v>
      </c>
      <c r="D370" s="95" t="s">
        <v>47</v>
      </c>
      <c r="E370" s="95" t="s">
        <v>456</v>
      </c>
      <c r="F370" s="95" t="s">
        <v>473</v>
      </c>
      <c r="G370" s="97">
        <v>6</v>
      </c>
      <c r="H370" s="97">
        <v>6</v>
      </c>
      <c r="I370" s="97">
        <v>2025</v>
      </c>
      <c r="J370" s="97">
        <v>338</v>
      </c>
      <c r="K370" s="97" t="s">
        <v>463</v>
      </c>
      <c r="L370" s="98" t="s">
        <v>482</v>
      </c>
      <c r="M370" s="97">
        <v>2</v>
      </c>
      <c r="N370" s="97"/>
      <c r="O370" s="98"/>
      <c r="P370" s="99"/>
      <c r="Q370" s="99"/>
      <c r="R370" s="99"/>
      <c r="S370" s="98" t="s">
        <v>277</v>
      </c>
      <c r="T370" s="174">
        <v>696</v>
      </c>
      <c r="U370" s="94">
        <v>3195</v>
      </c>
      <c r="V370" s="100"/>
      <c r="W370" s="100"/>
      <c r="X370" s="100"/>
      <c r="Y370" s="100"/>
      <c r="Z370" s="101" t="s">
        <v>5</v>
      </c>
      <c r="AA370" s="100" t="s">
        <v>58</v>
      </c>
      <c r="AB370" s="100"/>
      <c r="AC370" s="100"/>
      <c r="AD370" s="100"/>
      <c r="AE370" s="102">
        <v>12.1</v>
      </c>
      <c r="AF370" s="103">
        <v>124</v>
      </c>
      <c r="AG370" s="103">
        <v>119</v>
      </c>
      <c r="AH370" s="104">
        <v>121</v>
      </c>
      <c r="AI370" s="102">
        <v>13.91</v>
      </c>
      <c r="AJ370" s="105"/>
      <c r="AK370" s="105">
        <v>0</v>
      </c>
      <c r="AL370" s="113"/>
      <c r="AM370" s="113"/>
      <c r="AN370" s="114"/>
      <c r="AO370" s="108"/>
      <c r="AP370" s="108"/>
      <c r="AQ370" s="108"/>
      <c r="AR370" s="109"/>
      <c r="AS370" s="110"/>
      <c r="AT370" s="110"/>
      <c r="AU370" s="111"/>
      <c r="AV370" s="112" t="s">
        <v>54</v>
      </c>
      <c r="AW370" s="110"/>
      <c r="AX370" s="138">
        <v>363</v>
      </c>
    </row>
    <row r="371" spans="1:50" ht="21" customHeight="1" x14ac:dyDescent="0.25">
      <c r="A371" s="138">
        <v>421</v>
      </c>
      <c r="B371" s="94"/>
      <c r="C371" s="95" t="s">
        <v>481</v>
      </c>
      <c r="D371" s="95" t="s">
        <v>47</v>
      </c>
      <c r="E371" s="95" t="s">
        <v>456</v>
      </c>
      <c r="F371" s="95" t="s">
        <v>473</v>
      </c>
      <c r="G371" s="97">
        <v>6</v>
      </c>
      <c r="H371" s="97">
        <v>6</v>
      </c>
      <c r="I371" s="97">
        <v>2025</v>
      </c>
      <c r="J371" s="97">
        <v>338</v>
      </c>
      <c r="K371" s="97" t="s">
        <v>463</v>
      </c>
      <c r="L371" s="98" t="s">
        <v>482</v>
      </c>
      <c r="M371" s="97">
        <v>2</v>
      </c>
      <c r="N371" s="97"/>
      <c r="O371" s="98"/>
      <c r="P371" s="99"/>
      <c r="Q371" s="99"/>
      <c r="R371" s="99"/>
      <c r="S371" s="98" t="s">
        <v>435</v>
      </c>
      <c r="T371" s="174">
        <v>697</v>
      </c>
      <c r="U371" s="94">
        <v>3730</v>
      </c>
      <c r="V371" s="100"/>
      <c r="W371" s="100"/>
      <c r="X371" s="100"/>
      <c r="Y371" s="100"/>
      <c r="Z371" s="101" t="s">
        <v>0</v>
      </c>
      <c r="AA371" s="100" t="s">
        <v>58</v>
      </c>
      <c r="AB371" s="100"/>
      <c r="AC371" s="100"/>
      <c r="AD371" s="100"/>
      <c r="AE371" s="121">
        <v>19</v>
      </c>
      <c r="AF371" s="103">
        <v>76</v>
      </c>
      <c r="AG371" s="103">
        <v>58</v>
      </c>
      <c r="AH371" s="104">
        <v>67</v>
      </c>
      <c r="AI371" s="102">
        <v>6.7</v>
      </c>
      <c r="AJ371" s="105"/>
      <c r="AK371" s="105">
        <v>0</v>
      </c>
      <c r="AL371" s="113">
        <v>11</v>
      </c>
      <c r="AM371" s="106">
        <f>COUNT(AI363:AI371)</f>
        <v>9</v>
      </c>
      <c r="AN371" s="114">
        <f>SUM(AI363:AI371)</f>
        <v>47.150000000000006</v>
      </c>
      <c r="AO371" s="108"/>
      <c r="AP371" s="108"/>
      <c r="AQ371" s="108"/>
      <c r="AR371" s="109"/>
      <c r="AS371" s="110"/>
      <c r="AT371" s="110"/>
      <c r="AU371" s="111"/>
      <c r="AV371" s="112" t="s">
        <v>54</v>
      </c>
      <c r="AW371" s="110"/>
      <c r="AX371" s="138">
        <v>411</v>
      </c>
    </row>
    <row r="372" spans="1:50" s="2" customFormat="1" ht="21" customHeight="1" x14ac:dyDescent="0.25">
      <c r="A372" s="138">
        <v>410</v>
      </c>
      <c r="B372" s="94">
        <v>40</v>
      </c>
      <c r="C372" s="95" t="s">
        <v>481</v>
      </c>
      <c r="D372" s="95" t="s">
        <v>47</v>
      </c>
      <c r="E372" s="95" t="s">
        <v>48</v>
      </c>
      <c r="F372" s="95" t="s">
        <v>473</v>
      </c>
      <c r="G372" s="97">
        <v>6</v>
      </c>
      <c r="H372" s="97">
        <v>6</v>
      </c>
      <c r="I372" s="97">
        <v>2025</v>
      </c>
      <c r="J372" s="97">
        <v>332</v>
      </c>
      <c r="K372" s="97" t="s">
        <v>483</v>
      </c>
      <c r="L372" s="98" t="s">
        <v>460</v>
      </c>
      <c r="M372" s="97">
        <v>2</v>
      </c>
      <c r="N372" s="97"/>
      <c r="O372" s="98"/>
      <c r="P372" s="99"/>
      <c r="Q372" s="99"/>
      <c r="R372" s="99"/>
      <c r="S372" s="98" t="s">
        <v>333</v>
      </c>
      <c r="T372" s="174">
        <v>698</v>
      </c>
      <c r="U372" s="94">
        <v>3421</v>
      </c>
      <c r="V372" s="100"/>
      <c r="W372" s="100"/>
      <c r="X372" s="100"/>
      <c r="Y372" s="100"/>
      <c r="Z372" s="101" t="s">
        <v>0</v>
      </c>
      <c r="AA372" s="100" t="s">
        <v>58</v>
      </c>
      <c r="AB372" s="100"/>
      <c r="AC372" s="100"/>
      <c r="AD372" s="100"/>
      <c r="AE372" s="102">
        <v>17.399999999999999</v>
      </c>
      <c r="AF372" s="103">
        <v>64</v>
      </c>
      <c r="AG372" s="103">
        <v>56</v>
      </c>
      <c r="AH372" s="104">
        <v>60</v>
      </c>
      <c r="AI372" s="102">
        <v>4.92</v>
      </c>
      <c r="AJ372" s="120"/>
      <c r="AK372" s="105">
        <v>0</v>
      </c>
      <c r="AL372" s="113"/>
      <c r="AM372" s="106"/>
      <c r="AN372" s="131"/>
      <c r="AO372" s="108"/>
      <c r="AP372" s="108"/>
      <c r="AQ372" s="108"/>
      <c r="AR372" s="109"/>
      <c r="AS372" s="110"/>
      <c r="AT372" s="110"/>
      <c r="AU372" s="111"/>
      <c r="AV372" s="112" t="s">
        <v>54</v>
      </c>
      <c r="AW372" s="110"/>
      <c r="AX372" s="138">
        <v>386</v>
      </c>
    </row>
    <row r="373" spans="1:50" ht="21" customHeight="1" x14ac:dyDescent="0.25">
      <c r="A373" s="138">
        <v>397</v>
      </c>
      <c r="B373" s="94"/>
      <c r="C373" s="95" t="s">
        <v>481</v>
      </c>
      <c r="D373" s="95" t="s">
        <v>47</v>
      </c>
      <c r="E373" s="95" t="s">
        <v>48</v>
      </c>
      <c r="F373" s="95" t="s">
        <v>473</v>
      </c>
      <c r="G373" s="97">
        <v>6</v>
      </c>
      <c r="H373" s="97">
        <v>6</v>
      </c>
      <c r="I373" s="97">
        <v>2025</v>
      </c>
      <c r="J373" s="97">
        <v>332</v>
      </c>
      <c r="K373" s="97" t="s">
        <v>483</v>
      </c>
      <c r="L373" s="98" t="s">
        <v>460</v>
      </c>
      <c r="M373" s="97">
        <v>2</v>
      </c>
      <c r="N373" s="97"/>
      <c r="O373" s="98"/>
      <c r="P373" s="99"/>
      <c r="Q373" s="99"/>
      <c r="R373" s="99"/>
      <c r="S373" s="98" t="s">
        <v>281</v>
      </c>
      <c r="T373" s="174">
        <v>699</v>
      </c>
      <c r="U373" s="94">
        <v>3202</v>
      </c>
      <c r="V373" s="100"/>
      <c r="W373" s="100"/>
      <c r="X373" s="100"/>
      <c r="Y373" s="100"/>
      <c r="Z373" s="101" t="s">
        <v>0</v>
      </c>
      <c r="AA373" s="100" t="s">
        <v>58</v>
      </c>
      <c r="AB373" s="100"/>
      <c r="AC373" s="100"/>
      <c r="AD373" s="100"/>
      <c r="AE373" s="102">
        <v>14.3</v>
      </c>
      <c r="AF373" s="103">
        <v>68</v>
      </c>
      <c r="AG373" s="103">
        <v>57</v>
      </c>
      <c r="AH373" s="104">
        <v>62</v>
      </c>
      <c r="AI373" s="102">
        <v>4.32</v>
      </c>
      <c r="AJ373" s="105"/>
      <c r="AK373" s="105">
        <v>0</v>
      </c>
      <c r="AL373" s="113"/>
      <c r="AM373" s="113"/>
      <c r="AN373" s="114"/>
      <c r="AO373" s="108"/>
      <c r="AP373" s="108"/>
      <c r="AQ373" s="108"/>
      <c r="AR373" s="109"/>
      <c r="AS373" s="110"/>
      <c r="AT373" s="110"/>
      <c r="AU373" s="111"/>
      <c r="AV373" s="112" t="s">
        <v>54</v>
      </c>
      <c r="AW373" s="110"/>
      <c r="AX373" s="138">
        <v>367</v>
      </c>
    </row>
    <row r="374" spans="1:50" ht="21" customHeight="1" x14ac:dyDescent="0.25">
      <c r="A374" s="138">
        <v>402</v>
      </c>
      <c r="B374" s="94"/>
      <c r="C374" s="95" t="s">
        <v>481</v>
      </c>
      <c r="D374" s="95" t="s">
        <v>47</v>
      </c>
      <c r="E374" s="95" t="s">
        <v>48</v>
      </c>
      <c r="F374" s="95" t="s">
        <v>473</v>
      </c>
      <c r="G374" s="97">
        <v>6</v>
      </c>
      <c r="H374" s="97">
        <v>6</v>
      </c>
      <c r="I374" s="97">
        <v>2025</v>
      </c>
      <c r="J374" s="97">
        <v>332</v>
      </c>
      <c r="K374" s="97" t="s">
        <v>483</v>
      </c>
      <c r="L374" s="98" t="s">
        <v>460</v>
      </c>
      <c r="M374" s="97">
        <v>2</v>
      </c>
      <c r="N374" s="97"/>
      <c r="O374" s="98"/>
      <c r="P374" s="99"/>
      <c r="Q374" s="99"/>
      <c r="R374" s="99"/>
      <c r="S374" s="98" t="s">
        <v>300</v>
      </c>
      <c r="T374" s="174">
        <v>700</v>
      </c>
      <c r="U374" s="94">
        <v>3387</v>
      </c>
      <c r="V374" s="100"/>
      <c r="W374" s="100"/>
      <c r="X374" s="100"/>
      <c r="Y374" s="100"/>
      <c r="Z374" s="101" t="s">
        <v>0</v>
      </c>
      <c r="AA374" s="100" t="s">
        <v>58</v>
      </c>
      <c r="AB374" s="100"/>
      <c r="AC374" s="100"/>
      <c r="AD374" s="100"/>
      <c r="AE374" s="102">
        <v>18.899999999999999</v>
      </c>
      <c r="AF374" s="103">
        <v>61</v>
      </c>
      <c r="AG374" s="103">
        <v>51</v>
      </c>
      <c r="AH374" s="104">
        <v>56</v>
      </c>
      <c r="AI374" s="102">
        <v>4.66</v>
      </c>
      <c r="AJ374" s="105"/>
      <c r="AK374" s="105">
        <v>0</v>
      </c>
      <c r="AL374" s="113"/>
      <c r="AM374" s="106"/>
      <c r="AN374" s="114"/>
      <c r="AO374" s="108"/>
      <c r="AP374" s="108"/>
      <c r="AQ374" s="108"/>
      <c r="AR374" s="109"/>
      <c r="AS374" s="110"/>
      <c r="AT374" s="110"/>
      <c r="AU374" s="111"/>
      <c r="AV374" s="112" t="s">
        <v>54</v>
      </c>
      <c r="AW374" s="110"/>
      <c r="AX374" s="138">
        <v>375</v>
      </c>
    </row>
    <row r="375" spans="1:50" ht="21" customHeight="1" x14ac:dyDescent="0.25">
      <c r="A375" s="138">
        <v>381</v>
      </c>
      <c r="B375" s="94"/>
      <c r="C375" s="95" t="s">
        <v>481</v>
      </c>
      <c r="D375" s="95" t="s">
        <v>47</v>
      </c>
      <c r="E375" s="95" t="s">
        <v>48</v>
      </c>
      <c r="F375" s="95" t="s">
        <v>473</v>
      </c>
      <c r="G375" s="97">
        <v>6</v>
      </c>
      <c r="H375" s="97">
        <v>6</v>
      </c>
      <c r="I375" s="97">
        <v>2025</v>
      </c>
      <c r="J375" s="97">
        <v>332</v>
      </c>
      <c r="K375" s="97" t="s">
        <v>483</v>
      </c>
      <c r="L375" s="98" t="s">
        <v>460</v>
      </c>
      <c r="M375" s="97">
        <v>2</v>
      </c>
      <c r="N375" s="97"/>
      <c r="O375" s="98"/>
      <c r="P375" s="99"/>
      <c r="Q375" s="99"/>
      <c r="R375" s="99"/>
      <c r="S375" s="116" t="s">
        <v>211</v>
      </c>
      <c r="T375" s="174">
        <v>701</v>
      </c>
      <c r="U375" s="175">
        <v>2895</v>
      </c>
      <c r="V375" s="100"/>
      <c r="W375" s="117"/>
      <c r="X375" s="117"/>
      <c r="Y375" s="117"/>
      <c r="Z375" s="106" t="s">
        <v>3</v>
      </c>
      <c r="AA375" s="117" t="s">
        <v>58</v>
      </c>
      <c r="AB375" s="117"/>
      <c r="AC375" s="117"/>
      <c r="AD375" s="117"/>
      <c r="AE375" s="118">
        <v>19</v>
      </c>
      <c r="AF375" s="112">
        <v>85</v>
      </c>
      <c r="AG375" s="112">
        <v>67</v>
      </c>
      <c r="AH375" s="113">
        <v>76</v>
      </c>
      <c r="AI375" s="119">
        <v>8.6199999999999992</v>
      </c>
      <c r="AJ375" s="120"/>
      <c r="AK375" s="120">
        <v>0</v>
      </c>
      <c r="AL375" s="113"/>
      <c r="AM375" s="113"/>
      <c r="AN375" s="115"/>
      <c r="AO375" s="113"/>
      <c r="AP375" s="113"/>
      <c r="AQ375" s="108"/>
      <c r="AR375" s="109"/>
      <c r="AS375" s="110"/>
      <c r="AT375" s="110"/>
      <c r="AU375" s="110"/>
      <c r="AV375" s="112" t="s">
        <v>54</v>
      </c>
      <c r="AW375" s="110"/>
      <c r="AX375" s="138">
        <v>331</v>
      </c>
    </row>
    <row r="376" spans="1:50" ht="21" customHeight="1" x14ac:dyDescent="0.25">
      <c r="A376" s="138">
        <v>404</v>
      </c>
      <c r="B376" s="94"/>
      <c r="C376" s="95" t="s">
        <v>481</v>
      </c>
      <c r="D376" s="95" t="s">
        <v>47</v>
      </c>
      <c r="E376" s="95" t="s">
        <v>48</v>
      </c>
      <c r="F376" s="95" t="s">
        <v>473</v>
      </c>
      <c r="G376" s="97">
        <v>6</v>
      </c>
      <c r="H376" s="97">
        <v>6</v>
      </c>
      <c r="I376" s="97">
        <v>2025</v>
      </c>
      <c r="J376" s="97">
        <v>332</v>
      </c>
      <c r="K376" s="97" t="s">
        <v>483</v>
      </c>
      <c r="L376" s="98" t="s">
        <v>460</v>
      </c>
      <c r="M376" s="97">
        <v>2</v>
      </c>
      <c r="N376" s="97"/>
      <c r="O376" s="98"/>
      <c r="P376" s="99"/>
      <c r="Q376" s="99"/>
      <c r="R376" s="99"/>
      <c r="S376" s="116" t="s">
        <v>308</v>
      </c>
      <c r="T376" s="174">
        <v>702</v>
      </c>
      <c r="U376" s="175">
        <v>3396</v>
      </c>
      <c r="V376" s="100"/>
      <c r="W376" s="117"/>
      <c r="X376" s="117"/>
      <c r="Y376" s="117"/>
      <c r="Z376" s="106" t="s">
        <v>3</v>
      </c>
      <c r="AA376" s="117" t="s">
        <v>58</v>
      </c>
      <c r="AB376" s="117"/>
      <c r="AC376" s="117"/>
      <c r="AD376" s="117"/>
      <c r="AE376" s="118">
        <v>16.3</v>
      </c>
      <c r="AF376" s="112">
        <v>56</v>
      </c>
      <c r="AG376" s="112">
        <v>38</v>
      </c>
      <c r="AH376" s="113">
        <v>47</v>
      </c>
      <c r="AI376" s="119">
        <v>2.83</v>
      </c>
      <c r="AJ376" s="120"/>
      <c r="AK376" s="120">
        <v>0</v>
      </c>
      <c r="AL376" s="113"/>
      <c r="AM376" s="113"/>
      <c r="AN376" s="115"/>
      <c r="AO376" s="113"/>
      <c r="AP376" s="113"/>
      <c r="AQ376" s="108"/>
      <c r="AR376" s="109"/>
      <c r="AS376" s="110"/>
      <c r="AT376" s="110"/>
      <c r="AU376" s="110"/>
      <c r="AV376" s="112" t="s">
        <v>54</v>
      </c>
      <c r="AW376" s="110"/>
      <c r="AX376" s="138">
        <v>379</v>
      </c>
    </row>
    <row r="377" spans="1:50" ht="21" customHeight="1" x14ac:dyDescent="0.25">
      <c r="A377" s="138">
        <v>405</v>
      </c>
      <c r="B377" s="94"/>
      <c r="C377" s="95" t="s">
        <v>481</v>
      </c>
      <c r="D377" s="95" t="s">
        <v>47</v>
      </c>
      <c r="E377" s="95" t="s">
        <v>48</v>
      </c>
      <c r="F377" s="95" t="s">
        <v>473</v>
      </c>
      <c r="G377" s="97">
        <v>6</v>
      </c>
      <c r="H377" s="97">
        <v>6</v>
      </c>
      <c r="I377" s="97">
        <v>2025</v>
      </c>
      <c r="J377" s="97">
        <v>332</v>
      </c>
      <c r="K377" s="97" t="s">
        <v>483</v>
      </c>
      <c r="L377" s="98" t="s">
        <v>460</v>
      </c>
      <c r="M377" s="97">
        <v>2</v>
      </c>
      <c r="N377" s="97"/>
      <c r="O377" s="95"/>
      <c r="P377" s="99"/>
      <c r="Q377" s="99"/>
      <c r="R377" s="99"/>
      <c r="S377" s="95" t="s">
        <v>312</v>
      </c>
      <c r="T377" s="174">
        <v>703</v>
      </c>
      <c r="U377" s="175">
        <v>3400</v>
      </c>
      <c r="V377" s="100"/>
      <c r="W377" s="100"/>
      <c r="X377" s="100"/>
      <c r="Y377" s="100"/>
      <c r="Z377" s="122" t="s">
        <v>3</v>
      </c>
      <c r="AA377" s="100" t="s">
        <v>58</v>
      </c>
      <c r="AB377" s="123"/>
      <c r="AC377" s="123"/>
      <c r="AD377" s="123"/>
      <c r="AE377" s="114">
        <v>15.5</v>
      </c>
      <c r="AF377" s="120">
        <v>89</v>
      </c>
      <c r="AG377" s="120">
        <v>63</v>
      </c>
      <c r="AH377" s="108">
        <v>76</v>
      </c>
      <c r="AI377" s="114">
        <v>7.03</v>
      </c>
      <c r="AJ377" s="120"/>
      <c r="AK377" s="126">
        <v>0</v>
      </c>
      <c r="AL377" s="122"/>
      <c r="AM377" s="122"/>
      <c r="AN377" s="124"/>
      <c r="AO377" s="122"/>
      <c r="AP377" s="122"/>
      <c r="AQ377" s="122"/>
      <c r="AR377" s="122"/>
      <c r="AS377" s="125"/>
      <c r="AT377" s="125"/>
      <c r="AU377" s="125"/>
      <c r="AV377" s="120" t="s">
        <v>54</v>
      </c>
      <c r="AW377" s="125"/>
      <c r="AX377" s="138">
        <v>380</v>
      </c>
    </row>
    <row r="378" spans="1:50" ht="21" customHeight="1" x14ac:dyDescent="0.25">
      <c r="A378" s="138">
        <v>408</v>
      </c>
      <c r="B378" s="94"/>
      <c r="C378" s="95" t="s">
        <v>481</v>
      </c>
      <c r="D378" s="95" t="s">
        <v>47</v>
      </c>
      <c r="E378" s="95" t="s">
        <v>48</v>
      </c>
      <c r="F378" s="95" t="s">
        <v>473</v>
      </c>
      <c r="G378" s="97">
        <v>6</v>
      </c>
      <c r="H378" s="97">
        <v>6</v>
      </c>
      <c r="I378" s="97">
        <v>2025</v>
      </c>
      <c r="J378" s="97">
        <v>332</v>
      </c>
      <c r="K378" s="97" t="s">
        <v>483</v>
      </c>
      <c r="L378" s="98" t="s">
        <v>460</v>
      </c>
      <c r="M378" s="97">
        <v>2</v>
      </c>
      <c r="N378" s="122"/>
      <c r="O378" s="133"/>
      <c r="P378" s="134"/>
      <c r="Q378" s="134"/>
      <c r="R378" s="134"/>
      <c r="S378" s="133" t="s">
        <v>327</v>
      </c>
      <c r="T378" s="174">
        <v>704</v>
      </c>
      <c r="U378" s="94">
        <v>3415</v>
      </c>
      <c r="V378" s="100"/>
      <c r="W378" s="100"/>
      <c r="X378" s="100"/>
      <c r="Y378" s="100"/>
      <c r="Z378" s="122" t="s">
        <v>0</v>
      </c>
      <c r="AA378" s="100" t="s">
        <v>58</v>
      </c>
      <c r="AB378" s="100"/>
      <c r="AC378" s="100"/>
      <c r="AD378" s="100"/>
      <c r="AE378" s="102">
        <v>18.600000000000001</v>
      </c>
      <c r="AF378" s="127">
        <v>76</v>
      </c>
      <c r="AG378" s="127">
        <v>60</v>
      </c>
      <c r="AH378" s="127">
        <v>68</v>
      </c>
      <c r="AI378" s="102">
        <v>6.75</v>
      </c>
      <c r="AJ378" s="127"/>
      <c r="AK378" s="127">
        <v>0</v>
      </c>
      <c r="AL378" s="108"/>
      <c r="AM378" s="108"/>
      <c r="AN378" s="114"/>
      <c r="AO378" s="108"/>
      <c r="AP378" s="108"/>
      <c r="AQ378" s="108"/>
      <c r="AR378" s="109"/>
      <c r="AS378" s="109"/>
      <c r="AT378" s="109"/>
      <c r="AU378" s="122"/>
      <c r="AV378" s="120" t="s">
        <v>54</v>
      </c>
      <c r="AW378" s="109"/>
      <c r="AX378" s="138">
        <v>384</v>
      </c>
    </row>
    <row r="379" spans="1:50" ht="21" customHeight="1" x14ac:dyDescent="0.25">
      <c r="A379" s="138">
        <v>385</v>
      </c>
      <c r="B379" s="94"/>
      <c r="C379" s="95" t="s">
        <v>481</v>
      </c>
      <c r="D379" s="95" t="s">
        <v>47</v>
      </c>
      <c r="E379" s="95" t="s">
        <v>48</v>
      </c>
      <c r="F379" s="95" t="s">
        <v>473</v>
      </c>
      <c r="G379" s="97">
        <v>6</v>
      </c>
      <c r="H379" s="97">
        <v>6</v>
      </c>
      <c r="I379" s="97">
        <v>2025</v>
      </c>
      <c r="J379" s="97">
        <v>332</v>
      </c>
      <c r="K379" s="97" t="s">
        <v>483</v>
      </c>
      <c r="L379" s="98" t="s">
        <v>460</v>
      </c>
      <c r="M379" s="97">
        <v>2</v>
      </c>
      <c r="N379" s="97"/>
      <c r="O379" s="98"/>
      <c r="P379" s="99"/>
      <c r="Q379" s="99"/>
      <c r="R379" s="99"/>
      <c r="S379" s="98" t="s">
        <v>228</v>
      </c>
      <c r="T379" s="174">
        <v>705</v>
      </c>
      <c r="U379" s="94">
        <v>2913</v>
      </c>
      <c r="V379" s="100"/>
      <c r="W379" s="100"/>
      <c r="X379" s="100"/>
      <c r="Y379" s="100"/>
      <c r="Z379" s="101" t="s">
        <v>0</v>
      </c>
      <c r="AA379" s="100" t="s">
        <v>58</v>
      </c>
      <c r="AB379" s="100"/>
      <c r="AC379" s="100"/>
      <c r="AD379" s="100"/>
      <c r="AE379" s="102">
        <v>12.7</v>
      </c>
      <c r="AF379" s="103">
        <v>75</v>
      </c>
      <c r="AG379" s="103">
        <v>63</v>
      </c>
      <c r="AH379" s="104">
        <v>69</v>
      </c>
      <c r="AI379" s="102">
        <v>4.75</v>
      </c>
      <c r="AJ379" s="105"/>
      <c r="AK379" s="105">
        <v>0</v>
      </c>
      <c r="AL379" s="106"/>
      <c r="AM379" s="106"/>
      <c r="AN379" s="107"/>
      <c r="AO379" s="106"/>
      <c r="AP379" s="106"/>
      <c r="AQ379" s="108"/>
      <c r="AR379" s="109"/>
      <c r="AS379" s="110"/>
      <c r="AT379" s="110"/>
      <c r="AU379" s="111"/>
      <c r="AV379" s="112" t="s">
        <v>54</v>
      </c>
      <c r="AW379" s="110"/>
      <c r="AX379" s="138">
        <v>341</v>
      </c>
    </row>
    <row r="380" spans="1:50" ht="21" customHeight="1" x14ac:dyDescent="0.25">
      <c r="A380" s="138">
        <v>403</v>
      </c>
      <c r="B380" s="94"/>
      <c r="C380" s="95" t="s">
        <v>481</v>
      </c>
      <c r="D380" s="95" t="s">
        <v>47</v>
      </c>
      <c r="E380" s="95" t="s">
        <v>48</v>
      </c>
      <c r="F380" s="95" t="s">
        <v>473</v>
      </c>
      <c r="G380" s="97">
        <v>6</v>
      </c>
      <c r="H380" s="97">
        <v>6</v>
      </c>
      <c r="I380" s="97">
        <v>2025</v>
      </c>
      <c r="J380" s="97">
        <v>332</v>
      </c>
      <c r="K380" s="97" t="s">
        <v>483</v>
      </c>
      <c r="L380" s="98" t="s">
        <v>460</v>
      </c>
      <c r="M380" s="97">
        <v>2</v>
      </c>
      <c r="N380" s="97"/>
      <c r="O380" s="98"/>
      <c r="P380" s="99"/>
      <c r="Q380" s="99"/>
      <c r="R380" s="99"/>
      <c r="S380" s="116" t="s">
        <v>306</v>
      </c>
      <c r="T380" s="174">
        <v>706</v>
      </c>
      <c r="U380" s="175">
        <v>3394</v>
      </c>
      <c r="V380" s="100"/>
      <c r="W380" s="117"/>
      <c r="X380" s="117"/>
      <c r="Y380" s="117"/>
      <c r="Z380" s="106" t="s">
        <v>0</v>
      </c>
      <c r="AA380" s="117" t="s">
        <v>58</v>
      </c>
      <c r="AB380" s="117"/>
      <c r="AC380" s="117"/>
      <c r="AD380" s="117"/>
      <c r="AE380" s="118">
        <v>12.1</v>
      </c>
      <c r="AF380" s="112">
        <v>58</v>
      </c>
      <c r="AG380" s="112">
        <v>48</v>
      </c>
      <c r="AH380" s="113">
        <v>53</v>
      </c>
      <c r="AI380" s="119">
        <v>2.67</v>
      </c>
      <c r="AJ380" s="120"/>
      <c r="AK380" s="120">
        <v>0</v>
      </c>
      <c r="AL380" s="113">
        <v>12</v>
      </c>
      <c r="AM380" s="113">
        <f>COUNT(AI372:AI380)</f>
        <v>9</v>
      </c>
      <c r="AN380" s="115">
        <f>SUM(AI372:AI380)</f>
        <v>46.550000000000004</v>
      </c>
      <c r="AO380" s="113"/>
      <c r="AP380" s="113"/>
      <c r="AQ380" s="106"/>
      <c r="AR380" s="106"/>
      <c r="AS380" s="110"/>
      <c r="AT380" s="110"/>
      <c r="AU380" s="110"/>
      <c r="AV380" s="112" t="s">
        <v>54</v>
      </c>
      <c r="AW380" s="110"/>
      <c r="AX380" s="138">
        <v>378</v>
      </c>
    </row>
    <row r="381" spans="1:50" ht="21" customHeight="1" x14ac:dyDescent="0.25">
      <c r="A381" s="138">
        <v>324</v>
      </c>
      <c r="B381" s="94">
        <v>41</v>
      </c>
      <c r="C381" s="95" t="s">
        <v>472</v>
      </c>
      <c r="D381" s="95" t="s">
        <v>47</v>
      </c>
      <c r="E381" s="95" t="s">
        <v>456</v>
      </c>
      <c r="F381" s="95" t="s">
        <v>473</v>
      </c>
      <c r="G381" s="97">
        <v>6</v>
      </c>
      <c r="H381" s="97">
        <v>6</v>
      </c>
      <c r="I381" s="97">
        <v>2025</v>
      </c>
      <c r="J381" s="97">
        <v>345</v>
      </c>
      <c r="K381" s="97" t="s">
        <v>56</v>
      </c>
      <c r="L381" s="98" t="s">
        <v>57</v>
      </c>
      <c r="M381" s="97">
        <v>2</v>
      </c>
      <c r="N381" s="97"/>
      <c r="O381" s="98"/>
      <c r="P381" s="99"/>
      <c r="Q381" s="99"/>
      <c r="R381" s="99"/>
      <c r="S381" s="116" t="s">
        <v>76</v>
      </c>
      <c r="T381" s="174">
        <v>707</v>
      </c>
      <c r="U381" s="175">
        <v>200</v>
      </c>
      <c r="V381" s="100"/>
      <c r="W381" s="117"/>
      <c r="X381" s="117"/>
      <c r="Y381" s="117"/>
      <c r="Z381" s="106" t="s">
        <v>7</v>
      </c>
      <c r="AA381" s="117" t="s">
        <v>58</v>
      </c>
      <c r="AB381" s="117"/>
      <c r="AC381" s="117"/>
      <c r="AD381" s="117"/>
      <c r="AE381" s="119">
        <v>18.600000000000001</v>
      </c>
      <c r="AF381" s="112">
        <v>73</v>
      </c>
      <c r="AG381" s="112">
        <v>65</v>
      </c>
      <c r="AH381" s="113">
        <v>69</v>
      </c>
      <c r="AI381" s="119">
        <v>6.96</v>
      </c>
      <c r="AJ381" s="120"/>
      <c r="AK381" s="120">
        <v>0</v>
      </c>
      <c r="AL381" s="106"/>
      <c r="AM381" s="106"/>
      <c r="AN381" s="107"/>
      <c r="AO381" s="106"/>
      <c r="AP381" s="106"/>
      <c r="AQ381" s="108"/>
      <c r="AR381" s="109"/>
      <c r="AS381" s="110"/>
      <c r="AT381" s="110"/>
      <c r="AU381" s="110"/>
      <c r="AV381" s="112" t="s">
        <v>54</v>
      </c>
      <c r="AW381" s="110"/>
      <c r="AX381" s="138">
        <v>268</v>
      </c>
    </row>
    <row r="382" spans="1:50" ht="21" customHeight="1" x14ac:dyDescent="0.25">
      <c r="A382" s="138">
        <v>338</v>
      </c>
      <c r="B382" s="94"/>
      <c r="C382" s="95" t="s">
        <v>472</v>
      </c>
      <c r="D382" s="95" t="s">
        <v>47</v>
      </c>
      <c r="E382" s="95" t="s">
        <v>456</v>
      </c>
      <c r="F382" s="95" t="s">
        <v>473</v>
      </c>
      <c r="G382" s="97">
        <v>6</v>
      </c>
      <c r="H382" s="97">
        <v>6</v>
      </c>
      <c r="I382" s="97">
        <v>2025</v>
      </c>
      <c r="J382" s="97">
        <v>345</v>
      </c>
      <c r="K382" s="97" t="s">
        <v>56</v>
      </c>
      <c r="L382" s="98" t="s">
        <v>57</v>
      </c>
      <c r="M382" s="97">
        <v>2</v>
      </c>
      <c r="N382" s="97"/>
      <c r="O382" s="98"/>
      <c r="P382" s="99"/>
      <c r="Q382" s="99"/>
      <c r="R382" s="99"/>
      <c r="S382" s="116" t="s">
        <v>125</v>
      </c>
      <c r="T382" s="174">
        <v>708</v>
      </c>
      <c r="U382" s="175">
        <v>248</v>
      </c>
      <c r="V382" s="100"/>
      <c r="W382" s="117"/>
      <c r="X382" s="117"/>
      <c r="Y382" s="117"/>
      <c r="Z382" s="106" t="s">
        <v>3</v>
      </c>
      <c r="AA382" s="117" t="s">
        <v>58</v>
      </c>
      <c r="AB382" s="117"/>
      <c r="AC382" s="117"/>
      <c r="AD382" s="117"/>
      <c r="AE382" s="118">
        <v>15.1</v>
      </c>
      <c r="AF382" s="112">
        <v>63</v>
      </c>
      <c r="AG382" s="112">
        <v>50</v>
      </c>
      <c r="AH382" s="113">
        <v>56</v>
      </c>
      <c r="AI382" s="119">
        <v>3.72</v>
      </c>
      <c r="AJ382" s="120"/>
      <c r="AK382" s="120">
        <v>0</v>
      </c>
      <c r="AL382" s="113"/>
      <c r="AM382" s="106"/>
      <c r="AN382" s="114"/>
      <c r="AO382" s="108"/>
      <c r="AP382" s="108"/>
      <c r="AQ382" s="108"/>
      <c r="AR382" s="109"/>
      <c r="AS382" s="110"/>
      <c r="AT382" s="110"/>
      <c r="AU382" s="110"/>
      <c r="AV382" s="112" t="s">
        <v>54</v>
      </c>
      <c r="AW382" s="110"/>
      <c r="AX382" s="138">
        <v>282</v>
      </c>
    </row>
    <row r="383" spans="1:50" ht="21" customHeight="1" x14ac:dyDescent="0.25">
      <c r="A383" s="138">
        <v>363</v>
      </c>
      <c r="B383" s="94"/>
      <c r="C383" s="95" t="s">
        <v>472</v>
      </c>
      <c r="D383" s="95" t="s">
        <v>47</v>
      </c>
      <c r="E383" s="95" t="s">
        <v>456</v>
      </c>
      <c r="F383" s="95" t="s">
        <v>473</v>
      </c>
      <c r="G383" s="97">
        <v>6</v>
      </c>
      <c r="H383" s="97">
        <v>6</v>
      </c>
      <c r="I383" s="97">
        <v>2025</v>
      </c>
      <c r="J383" s="97">
        <v>345</v>
      </c>
      <c r="K383" s="97" t="s">
        <v>56</v>
      </c>
      <c r="L383" s="98" t="s">
        <v>57</v>
      </c>
      <c r="M383" s="97">
        <v>2</v>
      </c>
      <c r="N383" s="97"/>
      <c r="O383" s="98"/>
      <c r="P383" s="99"/>
      <c r="Q383" s="99"/>
      <c r="R383" s="99"/>
      <c r="S383" s="98" t="s">
        <v>155</v>
      </c>
      <c r="T383" s="174">
        <v>709</v>
      </c>
      <c r="U383" s="94">
        <v>363</v>
      </c>
      <c r="V383" s="100"/>
      <c r="W383" s="100"/>
      <c r="X383" s="100"/>
      <c r="Y383" s="100"/>
      <c r="Z383" s="101" t="s">
        <v>2</v>
      </c>
      <c r="AA383" s="100" t="s">
        <v>58</v>
      </c>
      <c r="AB383" s="100"/>
      <c r="AC383" s="100"/>
      <c r="AD383" s="100"/>
      <c r="AE383" s="102">
        <v>12.5</v>
      </c>
      <c r="AF383" s="103">
        <v>68</v>
      </c>
      <c r="AG383" s="103">
        <v>54</v>
      </c>
      <c r="AH383" s="104">
        <v>61</v>
      </c>
      <c r="AI383" s="102">
        <v>3.65</v>
      </c>
      <c r="AJ383" s="105"/>
      <c r="AK383" s="105">
        <v>0</v>
      </c>
      <c r="AL383" s="113"/>
      <c r="AM383" s="106"/>
      <c r="AN383" s="114"/>
      <c r="AO383" s="108"/>
      <c r="AP383" s="108"/>
      <c r="AQ383" s="108"/>
      <c r="AR383" s="109"/>
      <c r="AS383" s="110"/>
      <c r="AT383" s="110"/>
      <c r="AU383" s="111"/>
      <c r="AV383" s="112" t="s">
        <v>54</v>
      </c>
      <c r="AW383" s="110"/>
      <c r="AX383" s="138">
        <v>307</v>
      </c>
    </row>
    <row r="384" spans="1:50" ht="21" customHeight="1" x14ac:dyDescent="0.25">
      <c r="A384" s="138">
        <v>329</v>
      </c>
      <c r="B384" s="94"/>
      <c r="C384" s="95" t="s">
        <v>472</v>
      </c>
      <c r="D384" s="95" t="s">
        <v>47</v>
      </c>
      <c r="E384" s="95" t="s">
        <v>456</v>
      </c>
      <c r="F384" s="95" t="s">
        <v>473</v>
      </c>
      <c r="G384" s="97">
        <v>6</v>
      </c>
      <c r="H384" s="97">
        <v>6</v>
      </c>
      <c r="I384" s="97">
        <v>2025</v>
      </c>
      <c r="J384" s="97">
        <v>345</v>
      </c>
      <c r="K384" s="97" t="s">
        <v>56</v>
      </c>
      <c r="L384" s="98" t="s">
        <v>57</v>
      </c>
      <c r="M384" s="97">
        <v>2</v>
      </c>
      <c r="N384" s="97"/>
      <c r="O384" s="98"/>
      <c r="P384" s="99"/>
      <c r="Q384" s="99"/>
      <c r="R384" s="99"/>
      <c r="S384" s="116" t="s">
        <v>92</v>
      </c>
      <c r="T384" s="174">
        <v>710</v>
      </c>
      <c r="U384" s="175">
        <v>216</v>
      </c>
      <c r="V384" s="100"/>
      <c r="W384" s="117"/>
      <c r="X384" s="117"/>
      <c r="Y384" s="117"/>
      <c r="Z384" s="106" t="s">
        <v>0</v>
      </c>
      <c r="AA384" s="117" t="s">
        <v>58</v>
      </c>
      <c r="AB384" s="117"/>
      <c r="AC384" s="117"/>
      <c r="AD384" s="117"/>
      <c r="AE384" s="119">
        <v>17.8</v>
      </c>
      <c r="AF384" s="112">
        <v>83</v>
      </c>
      <c r="AG384" s="112">
        <v>67</v>
      </c>
      <c r="AH384" s="113">
        <v>75</v>
      </c>
      <c r="AI384" s="119">
        <v>7.86</v>
      </c>
      <c r="AJ384" s="120"/>
      <c r="AK384" s="120">
        <v>0</v>
      </c>
      <c r="AL384" s="106"/>
      <c r="AM384" s="106"/>
      <c r="AN384" s="107"/>
      <c r="AO384" s="106"/>
      <c r="AP384" s="106"/>
      <c r="AQ384" s="108"/>
      <c r="AR384" s="109"/>
      <c r="AS384" s="110"/>
      <c r="AT384" s="110"/>
      <c r="AU384" s="110"/>
      <c r="AV384" s="112" t="s">
        <v>54</v>
      </c>
      <c r="AW384" s="110"/>
      <c r="AX384" s="138">
        <v>273</v>
      </c>
    </row>
    <row r="385" spans="1:50" ht="21" customHeight="1" x14ac:dyDescent="0.25">
      <c r="A385" s="138">
        <v>352</v>
      </c>
      <c r="B385" s="94"/>
      <c r="C385" s="95" t="s">
        <v>472</v>
      </c>
      <c r="D385" s="95" t="s">
        <v>47</v>
      </c>
      <c r="E385" s="95" t="s">
        <v>456</v>
      </c>
      <c r="F385" s="95" t="s">
        <v>473</v>
      </c>
      <c r="G385" s="97">
        <v>6</v>
      </c>
      <c r="H385" s="97">
        <v>6</v>
      </c>
      <c r="I385" s="97">
        <v>2025</v>
      </c>
      <c r="J385" s="97">
        <v>345</v>
      </c>
      <c r="K385" s="97" t="s">
        <v>56</v>
      </c>
      <c r="L385" s="98" t="s">
        <v>57</v>
      </c>
      <c r="M385" s="97">
        <v>2</v>
      </c>
      <c r="N385" s="97"/>
      <c r="O385" s="98"/>
      <c r="P385" s="99"/>
      <c r="Q385" s="99"/>
      <c r="R385" s="99"/>
      <c r="S385" s="98" t="s">
        <v>142</v>
      </c>
      <c r="T385" s="174">
        <v>711</v>
      </c>
      <c r="U385" s="94">
        <v>339</v>
      </c>
      <c r="V385" s="100"/>
      <c r="W385" s="100"/>
      <c r="X385" s="100"/>
      <c r="Y385" s="100"/>
      <c r="Z385" s="101" t="s">
        <v>0</v>
      </c>
      <c r="AA385" s="100" t="s">
        <v>58</v>
      </c>
      <c r="AB385" s="100"/>
      <c r="AC385" s="100"/>
      <c r="AD385" s="100"/>
      <c r="AE385" s="102">
        <v>15.9</v>
      </c>
      <c r="AF385" s="103">
        <v>90</v>
      </c>
      <c r="AG385" s="103">
        <v>64</v>
      </c>
      <c r="AH385" s="104">
        <v>77</v>
      </c>
      <c r="AI385" s="102">
        <v>7.4</v>
      </c>
      <c r="AJ385" s="105"/>
      <c r="AK385" s="105">
        <v>0</v>
      </c>
      <c r="AL385" s="113"/>
      <c r="AM385" s="113"/>
      <c r="AN385" s="114"/>
      <c r="AO385" s="108"/>
      <c r="AP385" s="108"/>
      <c r="AQ385" s="108"/>
      <c r="AR385" s="109"/>
      <c r="AS385" s="110"/>
      <c r="AT385" s="110"/>
      <c r="AU385" s="111"/>
      <c r="AV385" s="112" t="s">
        <v>54</v>
      </c>
      <c r="AW385" s="110"/>
      <c r="AX385" s="138">
        <v>296</v>
      </c>
    </row>
    <row r="386" spans="1:50" ht="21" customHeight="1" x14ac:dyDescent="0.25">
      <c r="A386" s="138">
        <v>351</v>
      </c>
      <c r="B386" s="94"/>
      <c r="C386" s="95" t="s">
        <v>472</v>
      </c>
      <c r="D386" s="95" t="s">
        <v>47</v>
      </c>
      <c r="E386" s="95" t="s">
        <v>456</v>
      </c>
      <c r="F386" s="95" t="s">
        <v>473</v>
      </c>
      <c r="G386" s="97">
        <v>6</v>
      </c>
      <c r="H386" s="97">
        <v>6</v>
      </c>
      <c r="I386" s="97">
        <v>2025</v>
      </c>
      <c r="J386" s="97">
        <v>345</v>
      </c>
      <c r="K386" s="97" t="s">
        <v>56</v>
      </c>
      <c r="L386" s="98" t="s">
        <v>57</v>
      </c>
      <c r="M386" s="97">
        <v>2</v>
      </c>
      <c r="N386" s="97"/>
      <c r="O386" s="98"/>
      <c r="P386" s="99"/>
      <c r="Q386" s="99"/>
      <c r="R386" s="99"/>
      <c r="S386" s="116" t="s">
        <v>141</v>
      </c>
      <c r="T386" s="174">
        <v>712</v>
      </c>
      <c r="U386" s="175">
        <v>338</v>
      </c>
      <c r="V386" s="100"/>
      <c r="W386" s="117"/>
      <c r="X386" s="117"/>
      <c r="Y386" s="117"/>
      <c r="Z386" s="106" t="s">
        <v>0</v>
      </c>
      <c r="AA386" s="117" t="s">
        <v>58</v>
      </c>
      <c r="AB386" s="117"/>
      <c r="AC386" s="117"/>
      <c r="AD386" s="117"/>
      <c r="AE386" s="119">
        <v>19.8</v>
      </c>
      <c r="AF386" s="112">
        <v>59</v>
      </c>
      <c r="AG386" s="112">
        <v>42</v>
      </c>
      <c r="AH386" s="113">
        <v>50</v>
      </c>
      <c r="AI386" s="118">
        <v>3.89</v>
      </c>
      <c r="AJ386" s="112"/>
      <c r="AK386" s="112">
        <v>0</v>
      </c>
      <c r="AL386" s="113"/>
      <c r="AM386" s="113"/>
      <c r="AN386" s="114"/>
      <c r="AO386" s="108"/>
      <c r="AP386" s="108"/>
      <c r="AQ386" s="113"/>
      <c r="AR386" s="106"/>
      <c r="AS386" s="110"/>
      <c r="AT386" s="110"/>
      <c r="AU386" s="110"/>
      <c r="AV386" s="112" t="s">
        <v>54</v>
      </c>
      <c r="AW386" s="110"/>
      <c r="AX386" s="138">
        <v>295</v>
      </c>
    </row>
    <row r="387" spans="1:50" ht="21" customHeight="1" x14ac:dyDescent="0.25">
      <c r="A387" s="138">
        <v>323</v>
      </c>
      <c r="B387" s="94"/>
      <c r="C387" s="95" t="s">
        <v>472</v>
      </c>
      <c r="D387" s="95" t="s">
        <v>47</v>
      </c>
      <c r="E387" s="95" t="s">
        <v>456</v>
      </c>
      <c r="F387" s="95" t="s">
        <v>473</v>
      </c>
      <c r="G387" s="97">
        <v>6</v>
      </c>
      <c r="H387" s="97">
        <v>6</v>
      </c>
      <c r="I387" s="97">
        <v>2025</v>
      </c>
      <c r="J387" s="97">
        <v>345</v>
      </c>
      <c r="K387" s="97" t="s">
        <v>56</v>
      </c>
      <c r="L387" s="98" t="s">
        <v>57</v>
      </c>
      <c r="M387" s="97">
        <v>2</v>
      </c>
      <c r="N387" s="97"/>
      <c r="O387" s="95"/>
      <c r="P387" s="99"/>
      <c r="Q387" s="99"/>
      <c r="R387" s="99"/>
      <c r="S387" s="95" t="s">
        <v>75</v>
      </c>
      <c r="T387" s="174">
        <v>713</v>
      </c>
      <c r="U387" s="175">
        <v>199</v>
      </c>
      <c r="V387" s="100"/>
      <c r="W387" s="100"/>
      <c r="X387" s="100"/>
      <c r="Y387" s="100"/>
      <c r="Z387" s="122" t="s">
        <v>0</v>
      </c>
      <c r="AA387" s="100" t="s">
        <v>58</v>
      </c>
      <c r="AB387" s="123"/>
      <c r="AC387" s="123"/>
      <c r="AD387" s="123"/>
      <c r="AE387" s="114">
        <v>8.1999999999999993</v>
      </c>
      <c r="AF387" s="120">
        <v>53</v>
      </c>
      <c r="AG387" s="120">
        <v>47</v>
      </c>
      <c r="AH387" s="108">
        <v>50</v>
      </c>
      <c r="AI387" s="114">
        <v>1.61</v>
      </c>
      <c r="AJ387" s="120"/>
      <c r="AK387" s="126">
        <v>0</v>
      </c>
      <c r="AL387" s="122"/>
      <c r="AM387" s="122"/>
      <c r="AN387" s="124"/>
      <c r="AO387" s="122"/>
      <c r="AP387" s="122"/>
      <c r="AQ387" s="122"/>
      <c r="AR387" s="122"/>
      <c r="AS387" s="125"/>
      <c r="AT387" s="125"/>
      <c r="AU387" s="125"/>
      <c r="AV387" s="112" t="s">
        <v>54</v>
      </c>
      <c r="AW387" s="125"/>
      <c r="AX387" s="138">
        <v>267</v>
      </c>
    </row>
    <row r="388" spans="1:50" ht="21" customHeight="1" x14ac:dyDescent="0.25">
      <c r="A388" s="138">
        <v>347</v>
      </c>
      <c r="B388" s="94"/>
      <c r="C388" s="95" t="s">
        <v>472</v>
      </c>
      <c r="D388" s="95" t="s">
        <v>47</v>
      </c>
      <c r="E388" s="95" t="s">
        <v>456</v>
      </c>
      <c r="F388" s="95" t="s">
        <v>473</v>
      </c>
      <c r="G388" s="97">
        <v>6</v>
      </c>
      <c r="H388" s="97">
        <v>6</v>
      </c>
      <c r="I388" s="97">
        <v>2025</v>
      </c>
      <c r="J388" s="97">
        <v>345</v>
      </c>
      <c r="K388" s="97" t="s">
        <v>56</v>
      </c>
      <c r="L388" s="98" t="s">
        <v>57</v>
      </c>
      <c r="M388" s="97">
        <v>2</v>
      </c>
      <c r="N388" s="97"/>
      <c r="O388" s="98"/>
      <c r="P388" s="99"/>
      <c r="Q388" s="99"/>
      <c r="R388" s="99"/>
      <c r="S388" s="98" t="s">
        <v>137</v>
      </c>
      <c r="T388" s="174">
        <v>714</v>
      </c>
      <c r="U388" s="94">
        <v>260</v>
      </c>
      <c r="V388" s="100"/>
      <c r="W388" s="100"/>
      <c r="X388" s="100"/>
      <c r="Y388" s="100"/>
      <c r="Z388" s="101" t="s">
        <v>3</v>
      </c>
      <c r="AA388" s="100" t="s">
        <v>58</v>
      </c>
      <c r="AB388" s="100"/>
      <c r="AC388" s="100"/>
      <c r="AD388" s="100"/>
      <c r="AE388" s="102">
        <v>14.9</v>
      </c>
      <c r="AF388" s="103">
        <v>65</v>
      </c>
      <c r="AG388" s="103">
        <v>62</v>
      </c>
      <c r="AH388" s="104">
        <v>63</v>
      </c>
      <c r="AI388" s="102">
        <v>4.6399999999999997</v>
      </c>
      <c r="AJ388" s="105"/>
      <c r="AK388" s="105">
        <v>0</v>
      </c>
      <c r="AL388" s="106"/>
      <c r="AM388" s="106"/>
      <c r="AN388" s="107"/>
      <c r="AO388" s="106"/>
      <c r="AP388" s="106"/>
      <c r="AQ388" s="108"/>
      <c r="AR388" s="109"/>
      <c r="AS388" s="110"/>
      <c r="AT388" s="110"/>
      <c r="AU388" s="111"/>
      <c r="AV388" s="112" t="s">
        <v>54</v>
      </c>
      <c r="AW388" s="110"/>
      <c r="AX388" s="138">
        <v>291</v>
      </c>
    </row>
    <row r="389" spans="1:50" ht="21" customHeight="1" x14ac:dyDescent="0.25">
      <c r="A389" s="138">
        <v>343</v>
      </c>
      <c r="B389" s="94"/>
      <c r="C389" s="95" t="s">
        <v>472</v>
      </c>
      <c r="D389" s="95" t="s">
        <v>47</v>
      </c>
      <c r="E389" s="95" t="s">
        <v>456</v>
      </c>
      <c r="F389" s="95" t="s">
        <v>473</v>
      </c>
      <c r="G389" s="97">
        <v>6</v>
      </c>
      <c r="H389" s="97">
        <v>6</v>
      </c>
      <c r="I389" s="97">
        <v>2025</v>
      </c>
      <c r="J389" s="97">
        <v>345</v>
      </c>
      <c r="K389" s="97" t="s">
        <v>56</v>
      </c>
      <c r="L389" s="98" t="s">
        <v>57</v>
      </c>
      <c r="M389" s="97">
        <v>2</v>
      </c>
      <c r="N389" s="97"/>
      <c r="O389" s="98"/>
      <c r="P389" s="99"/>
      <c r="Q389" s="99"/>
      <c r="R389" s="99"/>
      <c r="S389" s="98" t="s">
        <v>131</v>
      </c>
      <c r="T389" s="174">
        <v>715</v>
      </c>
      <c r="U389" s="94">
        <v>254</v>
      </c>
      <c r="V389" s="100"/>
      <c r="W389" s="100"/>
      <c r="X389" s="100"/>
      <c r="Y389" s="100"/>
      <c r="Z389" s="101" t="s">
        <v>3</v>
      </c>
      <c r="AA389" s="100" t="s">
        <v>58</v>
      </c>
      <c r="AB389" s="100"/>
      <c r="AC389" s="100"/>
      <c r="AD389" s="100"/>
      <c r="AE389" s="102">
        <v>19.600000000000001</v>
      </c>
      <c r="AF389" s="103">
        <v>56</v>
      </c>
      <c r="AG389" s="103">
        <v>43</v>
      </c>
      <c r="AH389" s="104">
        <v>49</v>
      </c>
      <c r="AI389" s="102">
        <v>3.7</v>
      </c>
      <c r="AJ389" s="105"/>
      <c r="AK389" s="105">
        <v>0</v>
      </c>
      <c r="AL389" s="113">
        <v>13</v>
      </c>
      <c r="AM389" s="106">
        <f>COUNT(AI381:AI389)</f>
        <v>9</v>
      </c>
      <c r="AN389" s="114">
        <f>SUM(AI381:AI389)</f>
        <v>43.430000000000007</v>
      </c>
      <c r="AO389" s="108"/>
      <c r="AP389" s="108"/>
      <c r="AQ389" s="108"/>
      <c r="AR389" s="109"/>
      <c r="AS389" s="110"/>
      <c r="AT389" s="110"/>
      <c r="AU389" s="111"/>
      <c r="AV389" s="112" t="s">
        <v>54</v>
      </c>
      <c r="AW389" s="110"/>
      <c r="AX389" s="138">
        <v>287</v>
      </c>
    </row>
    <row r="390" spans="1:50" ht="21" customHeight="1" x14ac:dyDescent="0.25">
      <c r="A390" s="138">
        <v>47</v>
      </c>
      <c r="B390" s="94">
        <v>42</v>
      </c>
      <c r="C390" s="95" t="s">
        <v>472</v>
      </c>
      <c r="D390" s="95" t="s">
        <v>47</v>
      </c>
      <c r="E390" s="95" t="s">
        <v>48</v>
      </c>
      <c r="F390" s="95" t="s">
        <v>473</v>
      </c>
      <c r="G390" s="97">
        <v>6</v>
      </c>
      <c r="H390" s="97">
        <v>6</v>
      </c>
      <c r="I390" s="97">
        <v>2025</v>
      </c>
      <c r="J390" s="97">
        <v>341</v>
      </c>
      <c r="K390" s="97" t="s">
        <v>485</v>
      </c>
      <c r="L390" s="98" t="s">
        <v>50</v>
      </c>
      <c r="M390" s="97">
        <v>2</v>
      </c>
      <c r="N390" s="97"/>
      <c r="O390" s="98"/>
      <c r="P390" s="99"/>
      <c r="Q390" s="99"/>
      <c r="R390" s="99"/>
      <c r="S390" s="98" t="s">
        <v>119</v>
      </c>
      <c r="T390" s="174">
        <v>716</v>
      </c>
      <c r="U390" s="94">
        <v>242</v>
      </c>
      <c r="V390" s="100"/>
      <c r="W390" s="100"/>
      <c r="X390" s="100"/>
      <c r="Y390" s="100"/>
      <c r="Z390" s="101" t="s">
        <v>3</v>
      </c>
      <c r="AA390" s="100" t="s">
        <v>58</v>
      </c>
      <c r="AB390" s="100"/>
      <c r="AC390" s="100"/>
      <c r="AD390" s="100"/>
      <c r="AE390" s="102">
        <v>20.2</v>
      </c>
      <c r="AF390" s="103">
        <v>70</v>
      </c>
      <c r="AG390" s="103">
        <v>62</v>
      </c>
      <c r="AH390" s="104">
        <v>66</v>
      </c>
      <c r="AI390" s="102">
        <v>6.91</v>
      </c>
      <c r="AJ390" s="105"/>
      <c r="AK390" s="105">
        <v>0</v>
      </c>
      <c r="AL390" s="113"/>
      <c r="AM390" s="113"/>
      <c r="AN390" s="114"/>
      <c r="AO390" s="108"/>
      <c r="AP390" s="108"/>
      <c r="AQ390" s="106"/>
      <c r="AR390" s="106"/>
      <c r="AS390" s="110"/>
      <c r="AT390" s="110"/>
      <c r="AU390" s="111"/>
      <c r="AV390" s="112" t="s">
        <v>54</v>
      </c>
      <c r="AW390" s="110"/>
      <c r="AX390" s="138">
        <v>47</v>
      </c>
    </row>
    <row r="391" spans="1:50" ht="21" customHeight="1" x14ac:dyDescent="0.25">
      <c r="A391" s="138">
        <v>365</v>
      </c>
      <c r="B391" s="94"/>
      <c r="C391" s="95" t="s">
        <v>472</v>
      </c>
      <c r="D391" s="95" t="s">
        <v>47</v>
      </c>
      <c r="E391" s="95" t="s">
        <v>48</v>
      </c>
      <c r="F391" s="95" t="s">
        <v>473</v>
      </c>
      <c r="G391" s="97">
        <v>6</v>
      </c>
      <c r="H391" s="97">
        <v>6</v>
      </c>
      <c r="I391" s="97">
        <v>2025</v>
      </c>
      <c r="J391" s="97">
        <v>341</v>
      </c>
      <c r="K391" s="97" t="s">
        <v>485</v>
      </c>
      <c r="L391" s="98" t="s">
        <v>50</v>
      </c>
      <c r="M391" s="97">
        <v>2</v>
      </c>
      <c r="N391" s="97"/>
      <c r="O391" s="98"/>
      <c r="P391" s="99"/>
      <c r="Q391" s="99"/>
      <c r="R391" s="99"/>
      <c r="S391" s="98" t="s">
        <v>157</v>
      </c>
      <c r="T391" s="174">
        <v>717</v>
      </c>
      <c r="U391" s="94">
        <v>365</v>
      </c>
      <c r="V391" s="100"/>
      <c r="W391" s="100"/>
      <c r="X391" s="100"/>
      <c r="Y391" s="100"/>
      <c r="Z391" s="101" t="s">
        <v>0</v>
      </c>
      <c r="AA391" s="100" t="s">
        <v>58</v>
      </c>
      <c r="AB391" s="100"/>
      <c r="AC391" s="100"/>
      <c r="AD391" s="100"/>
      <c r="AE391" s="102">
        <v>16</v>
      </c>
      <c r="AF391" s="103">
        <v>71</v>
      </c>
      <c r="AG391" s="103">
        <v>58</v>
      </c>
      <c r="AH391" s="104">
        <v>64</v>
      </c>
      <c r="AI391" s="102">
        <v>5.15</v>
      </c>
      <c r="AJ391" s="105"/>
      <c r="AK391" s="105">
        <v>0</v>
      </c>
      <c r="AL391" s="106"/>
      <c r="AM391" s="106"/>
      <c r="AN391" s="107"/>
      <c r="AO391" s="106"/>
      <c r="AP391" s="106"/>
      <c r="AQ391" s="108"/>
      <c r="AR391" s="109"/>
      <c r="AS391" s="110"/>
      <c r="AT391" s="110"/>
      <c r="AU391" s="111"/>
      <c r="AV391" s="112" t="s">
        <v>54</v>
      </c>
      <c r="AW391" s="110"/>
      <c r="AX391" s="138">
        <v>309</v>
      </c>
    </row>
    <row r="392" spans="1:50" ht="21" customHeight="1" x14ac:dyDescent="0.25">
      <c r="A392" s="138">
        <v>367</v>
      </c>
      <c r="B392" s="94"/>
      <c r="C392" s="95" t="s">
        <v>472</v>
      </c>
      <c r="D392" s="95" t="s">
        <v>47</v>
      </c>
      <c r="E392" s="95" t="s">
        <v>48</v>
      </c>
      <c r="F392" s="95" t="s">
        <v>473</v>
      </c>
      <c r="G392" s="97">
        <v>6</v>
      </c>
      <c r="H392" s="97">
        <v>6</v>
      </c>
      <c r="I392" s="97">
        <v>2025</v>
      </c>
      <c r="J392" s="97">
        <v>341</v>
      </c>
      <c r="K392" s="97" t="s">
        <v>485</v>
      </c>
      <c r="L392" s="98" t="s">
        <v>50</v>
      </c>
      <c r="M392" s="97">
        <v>2</v>
      </c>
      <c r="N392" s="97"/>
      <c r="O392" s="98"/>
      <c r="P392" s="99"/>
      <c r="Q392" s="99"/>
      <c r="R392" s="99"/>
      <c r="S392" s="98" t="s">
        <v>160</v>
      </c>
      <c r="T392" s="174">
        <v>718</v>
      </c>
      <c r="U392" s="94">
        <v>368</v>
      </c>
      <c r="V392" s="100"/>
      <c r="W392" s="100"/>
      <c r="X392" s="100"/>
      <c r="Y392" s="100"/>
      <c r="Z392" s="101" t="s">
        <v>2</v>
      </c>
      <c r="AA392" s="100" t="s">
        <v>58</v>
      </c>
      <c r="AB392" s="100"/>
      <c r="AC392" s="100"/>
      <c r="AD392" s="100"/>
      <c r="AE392" s="102">
        <v>10.5</v>
      </c>
      <c r="AF392" s="103">
        <v>144</v>
      </c>
      <c r="AG392" s="103">
        <v>124</v>
      </c>
      <c r="AH392" s="104">
        <v>134</v>
      </c>
      <c r="AI392" s="102">
        <v>13.13</v>
      </c>
      <c r="AJ392" s="105">
        <v>40</v>
      </c>
      <c r="AK392" s="105">
        <v>11.3</v>
      </c>
      <c r="AL392" s="113"/>
      <c r="AM392" s="106"/>
      <c r="AN392" s="114"/>
      <c r="AO392" s="108"/>
      <c r="AP392" s="108"/>
      <c r="AQ392" s="106"/>
      <c r="AR392" s="106"/>
      <c r="AS392" s="110"/>
      <c r="AT392" s="110"/>
      <c r="AU392" s="111"/>
      <c r="AV392" s="112" t="s">
        <v>54</v>
      </c>
      <c r="AW392" s="110"/>
      <c r="AX392" s="138">
        <v>311</v>
      </c>
    </row>
    <row r="393" spans="1:50" ht="21" customHeight="1" x14ac:dyDescent="0.25">
      <c r="A393" s="138">
        <v>342</v>
      </c>
      <c r="B393" s="94"/>
      <c r="C393" s="95" t="s">
        <v>472</v>
      </c>
      <c r="D393" s="95" t="s">
        <v>47</v>
      </c>
      <c r="E393" s="95" t="s">
        <v>48</v>
      </c>
      <c r="F393" s="95" t="s">
        <v>473</v>
      </c>
      <c r="G393" s="97">
        <v>6</v>
      </c>
      <c r="H393" s="97">
        <v>6</v>
      </c>
      <c r="I393" s="97">
        <v>2025</v>
      </c>
      <c r="J393" s="97">
        <v>341</v>
      </c>
      <c r="K393" s="97" t="s">
        <v>485</v>
      </c>
      <c r="L393" s="98" t="s">
        <v>50</v>
      </c>
      <c r="M393" s="97">
        <v>2</v>
      </c>
      <c r="N393" s="97"/>
      <c r="O393" s="98"/>
      <c r="P393" s="99"/>
      <c r="Q393" s="99"/>
      <c r="R393" s="99"/>
      <c r="S393" s="116" t="s">
        <v>130</v>
      </c>
      <c r="T393" s="174">
        <v>719</v>
      </c>
      <c r="U393" s="175">
        <v>253</v>
      </c>
      <c r="V393" s="100"/>
      <c r="W393" s="117"/>
      <c r="X393" s="117"/>
      <c r="Y393" s="117"/>
      <c r="Z393" s="101" t="s">
        <v>3</v>
      </c>
      <c r="AA393" s="100" t="s">
        <v>58</v>
      </c>
      <c r="AB393" s="100"/>
      <c r="AC393" s="100"/>
      <c r="AD393" s="117"/>
      <c r="AE393" s="118">
        <v>20.5</v>
      </c>
      <c r="AF393" s="112">
        <v>64</v>
      </c>
      <c r="AG393" s="112">
        <v>48</v>
      </c>
      <c r="AH393" s="113">
        <v>56</v>
      </c>
      <c r="AI393" s="119">
        <v>5.05</v>
      </c>
      <c r="AJ393" s="120"/>
      <c r="AK393" s="120">
        <v>0</v>
      </c>
      <c r="AL393" s="113"/>
      <c r="AM393" s="106"/>
      <c r="AN393" s="114"/>
      <c r="AO393" s="108"/>
      <c r="AP393" s="108"/>
      <c r="AQ393" s="108"/>
      <c r="AR393" s="109"/>
      <c r="AS393" s="110"/>
      <c r="AT393" s="110"/>
      <c r="AU393" s="110"/>
      <c r="AV393" s="112" t="s">
        <v>54</v>
      </c>
      <c r="AW393" s="110"/>
      <c r="AX393" s="138">
        <v>286</v>
      </c>
    </row>
    <row r="394" spans="1:50" ht="21" customHeight="1" x14ac:dyDescent="0.25">
      <c r="A394" s="138">
        <v>350</v>
      </c>
      <c r="B394" s="94"/>
      <c r="C394" s="95" t="s">
        <v>472</v>
      </c>
      <c r="D394" s="95" t="s">
        <v>47</v>
      </c>
      <c r="E394" s="95" t="s">
        <v>48</v>
      </c>
      <c r="F394" s="95" t="s">
        <v>473</v>
      </c>
      <c r="G394" s="97">
        <v>6</v>
      </c>
      <c r="H394" s="97">
        <v>6</v>
      </c>
      <c r="I394" s="97">
        <v>2025</v>
      </c>
      <c r="J394" s="97">
        <v>341</v>
      </c>
      <c r="K394" s="97" t="s">
        <v>485</v>
      </c>
      <c r="L394" s="98" t="s">
        <v>50</v>
      </c>
      <c r="M394" s="97">
        <v>2</v>
      </c>
      <c r="N394" s="97"/>
      <c r="O394" s="98"/>
      <c r="P394" s="99"/>
      <c r="Q394" s="99"/>
      <c r="R394" s="99"/>
      <c r="S394" s="98" t="s">
        <v>140</v>
      </c>
      <c r="T394" s="174">
        <v>720</v>
      </c>
      <c r="U394" s="94">
        <v>337</v>
      </c>
      <c r="V394" s="100"/>
      <c r="W394" s="100"/>
      <c r="X394" s="100"/>
      <c r="Y394" s="100"/>
      <c r="Z394" s="101" t="s">
        <v>4</v>
      </c>
      <c r="AA394" s="100" t="s">
        <v>58</v>
      </c>
      <c r="AB394" s="100"/>
      <c r="AC394" s="100"/>
      <c r="AD394" s="100"/>
      <c r="AE394" s="102">
        <v>9.1999999999999993</v>
      </c>
      <c r="AF394" s="103">
        <v>52</v>
      </c>
      <c r="AG394" s="103">
        <v>41</v>
      </c>
      <c r="AH394" s="104">
        <v>46</v>
      </c>
      <c r="AI394" s="102">
        <v>1.53</v>
      </c>
      <c r="AJ394" s="105"/>
      <c r="AK394" s="105">
        <v>0</v>
      </c>
      <c r="AL394" s="106"/>
      <c r="AM394" s="106"/>
      <c r="AN394" s="107"/>
      <c r="AO394" s="106"/>
      <c r="AP394" s="106"/>
      <c r="AQ394" s="108"/>
      <c r="AR394" s="109"/>
      <c r="AS394" s="110"/>
      <c r="AT394" s="110"/>
      <c r="AU394" s="111"/>
      <c r="AV394" s="112" t="s">
        <v>54</v>
      </c>
      <c r="AW394" s="110"/>
      <c r="AX394" s="138">
        <v>294</v>
      </c>
    </row>
    <row r="395" spans="1:50" ht="21" customHeight="1" x14ac:dyDescent="0.25">
      <c r="A395" s="138">
        <v>357</v>
      </c>
      <c r="B395" s="94"/>
      <c r="C395" s="95" t="s">
        <v>472</v>
      </c>
      <c r="D395" s="95" t="s">
        <v>47</v>
      </c>
      <c r="E395" s="95" t="s">
        <v>48</v>
      </c>
      <c r="F395" s="95" t="s">
        <v>473</v>
      </c>
      <c r="G395" s="97">
        <v>6</v>
      </c>
      <c r="H395" s="97">
        <v>6</v>
      </c>
      <c r="I395" s="97">
        <v>2025</v>
      </c>
      <c r="J395" s="97">
        <v>341</v>
      </c>
      <c r="K395" s="97" t="s">
        <v>485</v>
      </c>
      <c r="L395" s="98" t="s">
        <v>50</v>
      </c>
      <c r="M395" s="97">
        <v>2</v>
      </c>
      <c r="N395" s="97"/>
      <c r="O395" s="98"/>
      <c r="P395" s="99"/>
      <c r="Q395" s="99"/>
      <c r="R395" s="99"/>
      <c r="S395" s="116" t="s">
        <v>148</v>
      </c>
      <c r="T395" s="174">
        <v>721</v>
      </c>
      <c r="U395" s="175">
        <v>345</v>
      </c>
      <c r="V395" s="100"/>
      <c r="W395" s="117"/>
      <c r="X395" s="117"/>
      <c r="Y395" s="117"/>
      <c r="Z395" s="106" t="s">
        <v>0</v>
      </c>
      <c r="AA395" s="117" t="s">
        <v>58</v>
      </c>
      <c r="AB395" s="117"/>
      <c r="AC395" s="117"/>
      <c r="AD395" s="117"/>
      <c r="AE395" s="119">
        <v>13.7</v>
      </c>
      <c r="AF395" s="112">
        <v>97</v>
      </c>
      <c r="AG395" s="112">
        <v>83</v>
      </c>
      <c r="AH395" s="113">
        <v>90</v>
      </c>
      <c r="AI395" s="119">
        <v>7.92</v>
      </c>
      <c r="AJ395" s="112">
        <v>24</v>
      </c>
      <c r="AK395" s="112">
        <v>9.1</v>
      </c>
      <c r="AL395" s="113">
        <v>14</v>
      </c>
      <c r="AM395" s="106">
        <f>COUNT(AI390:AI395)</f>
        <v>6</v>
      </c>
      <c r="AN395" s="114">
        <f>SUM(AI390:AI395)</f>
        <v>39.690000000000005</v>
      </c>
      <c r="AO395" s="108"/>
      <c r="AP395" s="108"/>
      <c r="AQ395" s="113"/>
      <c r="AR395" s="106"/>
      <c r="AS395" s="110"/>
      <c r="AT395" s="110"/>
      <c r="AU395" s="110"/>
      <c r="AV395" s="112" t="s">
        <v>54</v>
      </c>
      <c r="AW395" s="110"/>
      <c r="AX395" s="138">
        <v>301</v>
      </c>
    </row>
    <row r="396" spans="1:50" ht="21" customHeight="1" x14ac:dyDescent="0.25">
      <c r="A396" s="138">
        <v>325</v>
      </c>
      <c r="B396" s="94">
        <v>43</v>
      </c>
      <c r="C396" s="95" t="s">
        <v>472</v>
      </c>
      <c r="D396" s="95" t="s">
        <v>47</v>
      </c>
      <c r="E396" s="95" t="s">
        <v>456</v>
      </c>
      <c r="F396" s="95" t="s">
        <v>473</v>
      </c>
      <c r="G396" s="97">
        <v>6</v>
      </c>
      <c r="H396" s="97">
        <v>6</v>
      </c>
      <c r="I396" s="97">
        <v>2025</v>
      </c>
      <c r="J396" s="97">
        <v>336</v>
      </c>
      <c r="K396" s="97" t="s">
        <v>468</v>
      </c>
      <c r="L396" s="98" t="s">
        <v>469</v>
      </c>
      <c r="M396" s="97">
        <v>2</v>
      </c>
      <c r="N396" s="97"/>
      <c r="O396" s="98"/>
      <c r="P396" s="99"/>
      <c r="Q396" s="99"/>
      <c r="R396" s="99"/>
      <c r="S396" s="116" t="s">
        <v>77</v>
      </c>
      <c r="T396" s="174">
        <v>722</v>
      </c>
      <c r="U396" s="175">
        <v>201</v>
      </c>
      <c r="V396" s="100"/>
      <c r="W396" s="117"/>
      <c r="X396" s="117"/>
      <c r="Y396" s="117"/>
      <c r="Z396" s="106" t="s">
        <v>0</v>
      </c>
      <c r="AA396" s="117" t="s">
        <v>58</v>
      </c>
      <c r="AB396" s="117"/>
      <c r="AC396" s="117"/>
      <c r="AD396" s="117"/>
      <c r="AE396" s="119">
        <v>13.2</v>
      </c>
      <c r="AF396" s="112">
        <v>61</v>
      </c>
      <c r="AG396" s="112">
        <v>46</v>
      </c>
      <c r="AH396" s="113">
        <v>53</v>
      </c>
      <c r="AI396" s="119">
        <v>2.91</v>
      </c>
      <c r="AJ396" s="120"/>
      <c r="AK396" s="120">
        <v>0</v>
      </c>
      <c r="AL396" s="106"/>
      <c r="AM396" s="106"/>
      <c r="AN396" s="107"/>
      <c r="AO396" s="106"/>
      <c r="AP396" s="106"/>
      <c r="AQ396" s="108"/>
      <c r="AR396" s="109"/>
      <c r="AS396" s="110"/>
      <c r="AT396" s="110"/>
      <c r="AU396" s="110"/>
      <c r="AV396" s="112" t="s">
        <v>54</v>
      </c>
      <c r="AW396" s="110"/>
      <c r="AX396" s="138">
        <v>269</v>
      </c>
    </row>
    <row r="397" spans="1:50" ht="21" customHeight="1" x14ac:dyDescent="0.25">
      <c r="A397" s="138">
        <v>337</v>
      </c>
      <c r="B397" s="94"/>
      <c r="C397" s="95" t="s">
        <v>472</v>
      </c>
      <c r="D397" s="95" t="s">
        <v>47</v>
      </c>
      <c r="E397" s="95" t="s">
        <v>456</v>
      </c>
      <c r="F397" s="95" t="s">
        <v>473</v>
      </c>
      <c r="G397" s="97">
        <v>6</v>
      </c>
      <c r="H397" s="97">
        <v>6</v>
      </c>
      <c r="I397" s="97">
        <v>2025</v>
      </c>
      <c r="J397" s="97">
        <v>336</v>
      </c>
      <c r="K397" s="97" t="s">
        <v>468</v>
      </c>
      <c r="L397" s="98" t="s">
        <v>469</v>
      </c>
      <c r="M397" s="97">
        <v>2</v>
      </c>
      <c r="N397" s="97"/>
      <c r="O397" s="98"/>
      <c r="P397" s="99"/>
      <c r="Q397" s="99"/>
      <c r="R397" s="99"/>
      <c r="S397" s="116" t="s">
        <v>109</v>
      </c>
      <c r="T397" s="174">
        <v>723</v>
      </c>
      <c r="U397" s="175">
        <v>233</v>
      </c>
      <c r="V397" s="100"/>
      <c r="W397" s="117"/>
      <c r="X397" s="117"/>
      <c r="Y397" s="117"/>
      <c r="Z397" s="106" t="s">
        <v>2</v>
      </c>
      <c r="AA397" s="117" t="s">
        <v>58</v>
      </c>
      <c r="AB397" s="117"/>
      <c r="AC397" s="117"/>
      <c r="AD397" s="117"/>
      <c r="AE397" s="118">
        <v>20.5</v>
      </c>
      <c r="AF397" s="112">
        <v>88</v>
      </c>
      <c r="AG397" s="112">
        <v>70</v>
      </c>
      <c r="AH397" s="113">
        <v>79</v>
      </c>
      <c r="AI397" s="119">
        <v>10.050000000000001</v>
      </c>
      <c r="AJ397" s="120"/>
      <c r="AK397" s="120">
        <v>0</v>
      </c>
      <c r="AL397" s="113"/>
      <c r="AM397" s="113"/>
      <c r="AN397" s="114"/>
      <c r="AO397" s="108"/>
      <c r="AP397" s="108"/>
      <c r="AQ397" s="108"/>
      <c r="AR397" s="109"/>
      <c r="AS397" s="110"/>
      <c r="AT397" s="110"/>
      <c r="AU397" s="110"/>
      <c r="AV397" s="112" t="s">
        <v>54</v>
      </c>
      <c r="AW397" s="110"/>
      <c r="AX397" s="138">
        <v>281</v>
      </c>
    </row>
    <row r="398" spans="1:50" ht="21" customHeight="1" x14ac:dyDescent="0.25">
      <c r="A398" s="138">
        <v>330</v>
      </c>
      <c r="B398" s="94"/>
      <c r="C398" s="95" t="s">
        <v>472</v>
      </c>
      <c r="D398" s="95" t="s">
        <v>47</v>
      </c>
      <c r="E398" s="95" t="s">
        <v>456</v>
      </c>
      <c r="F398" s="95" t="s">
        <v>473</v>
      </c>
      <c r="G398" s="97">
        <v>6</v>
      </c>
      <c r="H398" s="97">
        <v>6</v>
      </c>
      <c r="I398" s="97">
        <v>2025</v>
      </c>
      <c r="J398" s="97">
        <v>336</v>
      </c>
      <c r="K398" s="97" t="s">
        <v>468</v>
      </c>
      <c r="L398" s="98" t="s">
        <v>469</v>
      </c>
      <c r="M398" s="97">
        <v>2</v>
      </c>
      <c r="N398" s="97"/>
      <c r="O398" s="98"/>
      <c r="P398" s="99"/>
      <c r="Q398" s="99"/>
      <c r="R398" s="99"/>
      <c r="S398" s="98" t="s">
        <v>93</v>
      </c>
      <c r="T398" s="174">
        <v>724</v>
      </c>
      <c r="U398" s="94">
        <v>217</v>
      </c>
      <c r="V398" s="100"/>
      <c r="W398" s="100"/>
      <c r="X398" s="100"/>
      <c r="Y398" s="100"/>
      <c r="Z398" s="101" t="s">
        <v>3</v>
      </c>
      <c r="AA398" s="100" t="s">
        <v>58</v>
      </c>
      <c r="AB398" s="100"/>
      <c r="AC398" s="100"/>
      <c r="AD398" s="100"/>
      <c r="AE398" s="102">
        <v>15</v>
      </c>
      <c r="AF398" s="103">
        <v>78</v>
      </c>
      <c r="AG398" s="103">
        <v>58</v>
      </c>
      <c r="AH398" s="104">
        <v>68</v>
      </c>
      <c r="AI398" s="102">
        <v>5.45</v>
      </c>
      <c r="AJ398" s="105"/>
      <c r="AK398" s="105">
        <v>0</v>
      </c>
      <c r="AL398" s="113"/>
      <c r="AM398" s="106"/>
      <c r="AN398" s="114"/>
      <c r="AO398" s="108"/>
      <c r="AP398" s="108"/>
      <c r="AQ398" s="108"/>
      <c r="AR398" s="109"/>
      <c r="AS398" s="110"/>
      <c r="AT398" s="110"/>
      <c r="AU398" s="111"/>
      <c r="AV398" s="112" t="s">
        <v>54</v>
      </c>
      <c r="AW398" s="110"/>
      <c r="AX398" s="138">
        <v>274</v>
      </c>
    </row>
    <row r="399" spans="1:50" ht="21" customHeight="1" x14ac:dyDescent="0.25">
      <c r="A399" s="138">
        <v>366</v>
      </c>
      <c r="B399" s="94"/>
      <c r="C399" s="95" t="s">
        <v>472</v>
      </c>
      <c r="D399" s="95" t="s">
        <v>47</v>
      </c>
      <c r="E399" s="95" t="s">
        <v>456</v>
      </c>
      <c r="F399" s="95" t="s">
        <v>473</v>
      </c>
      <c r="G399" s="97">
        <v>6</v>
      </c>
      <c r="H399" s="97">
        <v>6</v>
      </c>
      <c r="I399" s="97">
        <v>2025</v>
      </c>
      <c r="J399" s="97">
        <v>336</v>
      </c>
      <c r="K399" s="97" t="s">
        <v>468</v>
      </c>
      <c r="L399" s="98" t="s">
        <v>469</v>
      </c>
      <c r="M399" s="97">
        <v>2</v>
      </c>
      <c r="N399" s="97"/>
      <c r="O399" s="98"/>
      <c r="P399" s="99"/>
      <c r="Q399" s="99"/>
      <c r="R399" s="99"/>
      <c r="S399" s="98" t="s">
        <v>159</v>
      </c>
      <c r="T399" s="174">
        <v>725</v>
      </c>
      <c r="U399" s="94">
        <v>367</v>
      </c>
      <c r="V399" s="100"/>
      <c r="W399" s="100"/>
      <c r="X399" s="100"/>
      <c r="Y399" s="100"/>
      <c r="Z399" s="101" t="s">
        <v>2</v>
      </c>
      <c r="AA399" s="100" t="s">
        <v>58</v>
      </c>
      <c r="AB399" s="100"/>
      <c r="AC399" s="100"/>
      <c r="AD399" s="100"/>
      <c r="AE399" s="102">
        <v>14.4</v>
      </c>
      <c r="AF399" s="103">
        <v>124</v>
      </c>
      <c r="AG399" s="103">
        <v>104</v>
      </c>
      <c r="AH399" s="104">
        <v>114</v>
      </c>
      <c r="AI399" s="102">
        <v>14.7</v>
      </c>
      <c r="AJ399" s="105"/>
      <c r="AK399" s="105"/>
      <c r="AL399" s="113"/>
      <c r="AM399" s="113"/>
      <c r="AN399" s="115"/>
      <c r="AO399" s="113"/>
      <c r="AP399" s="113"/>
      <c r="AQ399" s="106"/>
      <c r="AR399" s="106"/>
      <c r="AS399" s="110"/>
      <c r="AT399" s="110"/>
      <c r="AU399" s="111"/>
      <c r="AV399" s="112" t="s">
        <v>54</v>
      </c>
      <c r="AW399" s="110"/>
      <c r="AX399" s="138">
        <v>310</v>
      </c>
    </row>
    <row r="400" spans="1:50" ht="21" customHeight="1" x14ac:dyDescent="0.25">
      <c r="A400" s="138">
        <v>361</v>
      </c>
      <c r="B400" s="94"/>
      <c r="C400" s="95" t="s">
        <v>472</v>
      </c>
      <c r="D400" s="95" t="s">
        <v>47</v>
      </c>
      <c r="E400" s="95" t="s">
        <v>456</v>
      </c>
      <c r="F400" s="95" t="s">
        <v>473</v>
      </c>
      <c r="G400" s="97">
        <v>6</v>
      </c>
      <c r="H400" s="97">
        <v>6</v>
      </c>
      <c r="I400" s="97">
        <v>2025</v>
      </c>
      <c r="J400" s="97">
        <v>336</v>
      </c>
      <c r="K400" s="97" t="s">
        <v>468</v>
      </c>
      <c r="L400" s="98" t="s">
        <v>469</v>
      </c>
      <c r="M400" s="97">
        <v>2</v>
      </c>
      <c r="N400" s="97"/>
      <c r="O400" s="98"/>
      <c r="P400" s="99"/>
      <c r="Q400" s="99"/>
      <c r="R400" s="99"/>
      <c r="S400" s="116" t="s">
        <v>153</v>
      </c>
      <c r="T400" s="174">
        <v>726</v>
      </c>
      <c r="U400" s="175">
        <v>350</v>
      </c>
      <c r="V400" s="100"/>
      <c r="W400" s="117"/>
      <c r="X400" s="117"/>
      <c r="Y400" s="117"/>
      <c r="Z400" s="106" t="s">
        <v>0</v>
      </c>
      <c r="AA400" s="117" t="s">
        <v>58</v>
      </c>
      <c r="AB400" s="117"/>
      <c r="AC400" s="117"/>
      <c r="AD400" s="117"/>
      <c r="AE400" s="119">
        <v>11.6</v>
      </c>
      <c r="AF400" s="112">
        <v>57</v>
      </c>
      <c r="AG400" s="112">
        <v>53</v>
      </c>
      <c r="AH400" s="113">
        <v>55</v>
      </c>
      <c r="AI400" s="119">
        <v>2.76</v>
      </c>
      <c r="AJ400" s="120"/>
      <c r="AK400" s="120">
        <v>0</v>
      </c>
      <c r="AL400" s="106"/>
      <c r="AM400" s="106"/>
      <c r="AN400" s="107"/>
      <c r="AO400" s="106"/>
      <c r="AP400" s="106"/>
      <c r="AQ400" s="106"/>
      <c r="AR400" s="106"/>
      <c r="AS400" s="110"/>
      <c r="AT400" s="110"/>
      <c r="AU400" s="110"/>
      <c r="AV400" s="112" t="s">
        <v>54</v>
      </c>
      <c r="AW400" s="110"/>
      <c r="AX400" s="138">
        <v>305</v>
      </c>
    </row>
    <row r="401" spans="1:50" ht="21" customHeight="1" x14ac:dyDescent="0.25">
      <c r="A401" s="138">
        <v>339</v>
      </c>
      <c r="B401" s="94"/>
      <c r="C401" s="95" t="s">
        <v>472</v>
      </c>
      <c r="D401" s="95" t="s">
        <v>47</v>
      </c>
      <c r="E401" s="95" t="s">
        <v>456</v>
      </c>
      <c r="F401" s="95" t="s">
        <v>473</v>
      </c>
      <c r="G401" s="97">
        <v>6</v>
      </c>
      <c r="H401" s="97">
        <v>6</v>
      </c>
      <c r="I401" s="97">
        <v>2025</v>
      </c>
      <c r="J401" s="97">
        <v>336</v>
      </c>
      <c r="K401" s="97" t="s">
        <v>468</v>
      </c>
      <c r="L401" s="98" t="s">
        <v>469</v>
      </c>
      <c r="M401" s="97">
        <v>2</v>
      </c>
      <c r="N401" s="97"/>
      <c r="O401" s="98"/>
      <c r="P401" s="99"/>
      <c r="Q401" s="99"/>
      <c r="R401" s="99"/>
      <c r="S401" s="98" t="s">
        <v>126</v>
      </c>
      <c r="T401" s="174">
        <v>727</v>
      </c>
      <c r="U401" s="94">
        <v>249</v>
      </c>
      <c r="V401" s="100"/>
      <c r="W401" s="100"/>
      <c r="X401" s="100"/>
      <c r="Y401" s="100"/>
      <c r="Z401" s="101" t="s">
        <v>3</v>
      </c>
      <c r="AA401" s="100" t="s">
        <v>58</v>
      </c>
      <c r="AB401" s="100"/>
      <c r="AC401" s="100"/>
      <c r="AD401" s="100"/>
      <c r="AE401" s="102">
        <v>21.2</v>
      </c>
      <c r="AF401" s="103">
        <v>75</v>
      </c>
      <c r="AG401" s="103">
        <v>55</v>
      </c>
      <c r="AH401" s="104">
        <v>65</v>
      </c>
      <c r="AI401" s="102">
        <v>7.03</v>
      </c>
      <c r="AJ401" s="105"/>
      <c r="AK401" s="105">
        <v>0</v>
      </c>
      <c r="AL401" s="113">
        <v>15</v>
      </c>
      <c r="AM401" s="106">
        <f>COUNT(AI396:AI401)</f>
        <v>6</v>
      </c>
      <c r="AN401" s="114">
        <f>SUM(AI396:AI401)</f>
        <v>42.9</v>
      </c>
      <c r="AO401" s="108"/>
      <c r="AP401" s="108"/>
      <c r="AQ401" s="108"/>
      <c r="AR401" s="109"/>
      <c r="AS401" s="110"/>
      <c r="AT401" s="110"/>
      <c r="AU401" s="111"/>
      <c r="AV401" s="112" t="s">
        <v>54</v>
      </c>
      <c r="AW401" s="110"/>
      <c r="AX401" s="138">
        <v>283</v>
      </c>
    </row>
    <row r="402" spans="1:50" ht="21" customHeight="1" x14ac:dyDescent="0.25">
      <c r="A402" s="138">
        <v>348</v>
      </c>
      <c r="B402" s="94">
        <v>44</v>
      </c>
      <c r="C402" s="95" t="s">
        <v>472</v>
      </c>
      <c r="D402" s="95" t="s">
        <v>47</v>
      </c>
      <c r="E402" s="95" t="s">
        <v>48</v>
      </c>
      <c r="F402" s="95" t="s">
        <v>473</v>
      </c>
      <c r="G402" s="97">
        <v>6</v>
      </c>
      <c r="H402" s="97">
        <v>6</v>
      </c>
      <c r="I402" s="97">
        <v>2025</v>
      </c>
      <c r="J402" s="97">
        <v>343</v>
      </c>
      <c r="K402" s="97" t="s">
        <v>484</v>
      </c>
      <c r="L402" s="98" t="s">
        <v>458</v>
      </c>
      <c r="M402" s="97">
        <v>2</v>
      </c>
      <c r="N402" s="97"/>
      <c r="O402" s="98"/>
      <c r="P402" s="99"/>
      <c r="Q402" s="99"/>
      <c r="R402" s="99"/>
      <c r="S402" s="116" t="s">
        <v>138</v>
      </c>
      <c r="T402" s="174">
        <v>728</v>
      </c>
      <c r="U402" s="175">
        <v>261</v>
      </c>
      <c r="V402" s="100"/>
      <c r="W402" s="117"/>
      <c r="X402" s="117"/>
      <c r="Y402" s="117"/>
      <c r="Z402" s="106" t="s">
        <v>2</v>
      </c>
      <c r="AA402" s="117" t="s">
        <v>58</v>
      </c>
      <c r="AB402" s="117"/>
      <c r="AC402" s="117"/>
      <c r="AD402" s="117"/>
      <c r="AE402" s="119">
        <v>19.600000000000001</v>
      </c>
      <c r="AF402" s="112">
        <v>60</v>
      </c>
      <c r="AG402" s="112">
        <v>57</v>
      </c>
      <c r="AH402" s="113">
        <v>58</v>
      </c>
      <c r="AI402" s="119">
        <v>4.47</v>
      </c>
      <c r="AJ402" s="120">
        <v>19</v>
      </c>
      <c r="AK402" s="120">
        <v>13.7</v>
      </c>
      <c r="AL402" s="113"/>
      <c r="AM402" s="106"/>
      <c r="AN402" s="114"/>
      <c r="AO402" s="108"/>
      <c r="AP402" s="108"/>
      <c r="AQ402" s="108"/>
      <c r="AR402" s="109"/>
      <c r="AS402" s="110"/>
      <c r="AT402" s="110"/>
      <c r="AU402" s="110"/>
      <c r="AV402" s="112" t="s">
        <v>54</v>
      </c>
      <c r="AW402" s="110"/>
      <c r="AX402" s="138">
        <v>292</v>
      </c>
    </row>
    <row r="403" spans="1:50" ht="21" customHeight="1" x14ac:dyDescent="0.25">
      <c r="A403" s="138">
        <v>333</v>
      </c>
      <c r="B403" s="94"/>
      <c r="C403" s="95" t="s">
        <v>472</v>
      </c>
      <c r="D403" s="95" t="s">
        <v>47</v>
      </c>
      <c r="E403" s="95" t="s">
        <v>48</v>
      </c>
      <c r="F403" s="95" t="s">
        <v>473</v>
      </c>
      <c r="G403" s="97">
        <v>6</v>
      </c>
      <c r="H403" s="97">
        <v>6</v>
      </c>
      <c r="I403" s="97">
        <v>2025</v>
      </c>
      <c r="J403" s="97">
        <v>343</v>
      </c>
      <c r="K403" s="97" t="s">
        <v>484</v>
      </c>
      <c r="L403" s="98" t="s">
        <v>458</v>
      </c>
      <c r="M403" s="97">
        <v>2</v>
      </c>
      <c r="N403" s="97"/>
      <c r="O403" s="98"/>
      <c r="P403" s="99"/>
      <c r="Q403" s="99"/>
      <c r="R403" s="99"/>
      <c r="S403" s="98" t="s">
        <v>102</v>
      </c>
      <c r="T403" s="174">
        <v>729</v>
      </c>
      <c r="U403" s="94">
        <v>226</v>
      </c>
      <c r="V403" s="100"/>
      <c r="W403" s="100"/>
      <c r="X403" s="100"/>
      <c r="Y403" s="100"/>
      <c r="Z403" s="101" t="s">
        <v>0</v>
      </c>
      <c r="AA403" s="100" t="s">
        <v>58</v>
      </c>
      <c r="AB403" s="100"/>
      <c r="AC403" s="100"/>
      <c r="AD403" s="100"/>
      <c r="AE403" s="102">
        <v>21</v>
      </c>
      <c r="AF403" s="103">
        <v>64</v>
      </c>
      <c r="AG403" s="103">
        <v>44</v>
      </c>
      <c r="AH403" s="104">
        <v>54</v>
      </c>
      <c r="AI403" s="102">
        <v>4.8099999999999996</v>
      </c>
      <c r="AJ403" s="105"/>
      <c r="AK403" s="105">
        <v>0</v>
      </c>
      <c r="AL403" s="113"/>
      <c r="AM403" s="106"/>
      <c r="AN403" s="114"/>
      <c r="AO403" s="108"/>
      <c r="AP403" s="108"/>
      <c r="AQ403" s="108"/>
      <c r="AR403" s="109"/>
      <c r="AS403" s="110"/>
      <c r="AT403" s="110"/>
      <c r="AU403" s="111"/>
      <c r="AV403" s="112" t="s">
        <v>54</v>
      </c>
      <c r="AW403" s="110"/>
      <c r="AX403" s="138">
        <v>277</v>
      </c>
    </row>
    <row r="404" spans="1:50" ht="21" customHeight="1" x14ac:dyDescent="0.25">
      <c r="A404" s="138">
        <v>326</v>
      </c>
      <c r="B404" s="94"/>
      <c r="C404" s="95" t="s">
        <v>472</v>
      </c>
      <c r="D404" s="95" t="s">
        <v>47</v>
      </c>
      <c r="E404" s="95" t="s">
        <v>48</v>
      </c>
      <c r="F404" s="95" t="s">
        <v>473</v>
      </c>
      <c r="G404" s="97">
        <v>6</v>
      </c>
      <c r="H404" s="97">
        <v>6</v>
      </c>
      <c r="I404" s="97">
        <v>2025</v>
      </c>
      <c r="J404" s="97">
        <v>343</v>
      </c>
      <c r="K404" s="97" t="s">
        <v>484</v>
      </c>
      <c r="L404" s="98" t="s">
        <v>458</v>
      </c>
      <c r="M404" s="97">
        <v>2</v>
      </c>
      <c r="N404" s="97"/>
      <c r="O404" s="98"/>
      <c r="P404" s="99"/>
      <c r="Q404" s="99"/>
      <c r="R404" s="99"/>
      <c r="S404" s="116" t="s">
        <v>79</v>
      </c>
      <c r="T404" s="174">
        <v>731</v>
      </c>
      <c r="U404" s="175">
        <v>203</v>
      </c>
      <c r="V404" s="100"/>
      <c r="W404" s="117"/>
      <c r="X404" s="117"/>
      <c r="Y404" s="117"/>
      <c r="Z404" s="106" t="s">
        <v>0</v>
      </c>
      <c r="AA404" s="117" t="s">
        <v>58</v>
      </c>
      <c r="AB404" s="117"/>
      <c r="AC404" s="117"/>
      <c r="AD404" s="117"/>
      <c r="AE404" s="119">
        <v>14.1</v>
      </c>
      <c r="AF404" s="112">
        <v>69</v>
      </c>
      <c r="AG404" s="112">
        <v>46</v>
      </c>
      <c r="AH404" s="113">
        <v>57</v>
      </c>
      <c r="AI404" s="119">
        <v>3.6</v>
      </c>
      <c r="AJ404" s="120"/>
      <c r="AK404" s="120">
        <v>0</v>
      </c>
      <c r="AL404" s="113"/>
      <c r="AM404" s="106"/>
      <c r="AN404" s="114"/>
      <c r="AO404" s="108"/>
      <c r="AP404" s="108"/>
      <c r="AQ404" s="108"/>
      <c r="AR404" s="109"/>
      <c r="AS404" s="110"/>
      <c r="AT404" s="110"/>
      <c r="AU404" s="110"/>
      <c r="AV404" s="112" t="s">
        <v>54</v>
      </c>
      <c r="AW404" s="110"/>
      <c r="AX404" s="138">
        <v>270</v>
      </c>
    </row>
    <row r="405" spans="1:50" ht="21" customHeight="1" x14ac:dyDescent="0.25">
      <c r="A405" s="138">
        <v>334</v>
      </c>
      <c r="B405" s="94"/>
      <c r="C405" s="95" t="s">
        <v>472</v>
      </c>
      <c r="D405" s="95" t="s">
        <v>47</v>
      </c>
      <c r="E405" s="95" t="s">
        <v>48</v>
      </c>
      <c r="F405" s="95" t="s">
        <v>473</v>
      </c>
      <c r="G405" s="97">
        <v>6</v>
      </c>
      <c r="H405" s="97">
        <v>6</v>
      </c>
      <c r="I405" s="97">
        <v>2025</v>
      </c>
      <c r="J405" s="97">
        <v>343</v>
      </c>
      <c r="K405" s="97" t="s">
        <v>484</v>
      </c>
      <c r="L405" s="98" t="s">
        <v>458</v>
      </c>
      <c r="M405" s="97">
        <v>2</v>
      </c>
      <c r="N405" s="97"/>
      <c r="O405" s="98"/>
      <c r="P405" s="99"/>
      <c r="Q405" s="99"/>
      <c r="R405" s="99"/>
      <c r="S405" s="98" t="s">
        <v>103</v>
      </c>
      <c r="T405" s="174">
        <v>732</v>
      </c>
      <c r="U405" s="94">
        <v>227</v>
      </c>
      <c r="V405" s="100"/>
      <c r="W405" s="100"/>
      <c r="X405" s="100"/>
      <c r="Y405" s="100"/>
      <c r="Z405" s="101" t="s">
        <v>0</v>
      </c>
      <c r="AA405" s="100" t="s">
        <v>58</v>
      </c>
      <c r="AB405" s="100"/>
      <c r="AC405" s="100"/>
      <c r="AD405" s="100"/>
      <c r="AE405" s="102">
        <v>21</v>
      </c>
      <c r="AF405" s="103">
        <v>77</v>
      </c>
      <c r="AG405" s="103">
        <v>54</v>
      </c>
      <c r="AH405" s="104">
        <v>65</v>
      </c>
      <c r="AI405" s="102">
        <v>6.97</v>
      </c>
      <c r="AJ405" s="105"/>
      <c r="AK405" s="105">
        <v>0</v>
      </c>
      <c r="AL405" s="113"/>
      <c r="AM405" s="106"/>
      <c r="AN405" s="114"/>
      <c r="AO405" s="108"/>
      <c r="AP405" s="108"/>
      <c r="AQ405" s="108"/>
      <c r="AR405" s="109"/>
      <c r="AS405" s="110"/>
      <c r="AT405" s="110"/>
      <c r="AU405" s="111"/>
      <c r="AV405" s="112" t="s">
        <v>54</v>
      </c>
      <c r="AW405" s="110"/>
      <c r="AX405" s="138">
        <v>278</v>
      </c>
    </row>
    <row r="406" spans="1:50" ht="21" customHeight="1" x14ac:dyDescent="0.25">
      <c r="A406" s="138">
        <v>424</v>
      </c>
      <c r="B406" s="94"/>
      <c r="C406" s="95" t="s">
        <v>472</v>
      </c>
      <c r="D406" s="95" t="s">
        <v>47</v>
      </c>
      <c r="E406" s="95" t="s">
        <v>48</v>
      </c>
      <c r="F406" s="95" t="s">
        <v>473</v>
      </c>
      <c r="G406" s="97">
        <v>6</v>
      </c>
      <c r="H406" s="97">
        <v>6</v>
      </c>
      <c r="I406" s="97">
        <v>2025</v>
      </c>
      <c r="J406" s="97">
        <v>343</v>
      </c>
      <c r="K406" s="97" t="s">
        <v>484</v>
      </c>
      <c r="L406" s="98" t="s">
        <v>458</v>
      </c>
      <c r="M406" s="97">
        <v>2</v>
      </c>
      <c r="N406" s="97"/>
      <c r="O406" s="98"/>
      <c r="P406" s="99"/>
      <c r="Q406" s="99"/>
      <c r="R406" s="99"/>
      <c r="S406" s="98" t="s">
        <v>453</v>
      </c>
      <c r="T406" s="174">
        <v>733</v>
      </c>
      <c r="U406" s="94">
        <v>3750</v>
      </c>
      <c r="V406" s="100"/>
      <c r="W406" s="100"/>
      <c r="X406" s="100"/>
      <c r="Y406" s="100"/>
      <c r="Z406" s="101" t="s">
        <v>0</v>
      </c>
      <c r="AA406" s="100" t="s">
        <v>58</v>
      </c>
      <c r="AB406" s="100"/>
      <c r="AC406" s="100"/>
      <c r="AD406" s="100"/>
      <c r="AE406" s="121">
        <v>17.8</v>
      </c>
      <c r="AF406" s="103">
        <v>50</v>
      </c>
      <c r="AG406" s="103">
        <v>33</v>
      </c>
      <c r="AH406" s="104">
        <v>41</v>
      </c>
      <c r="AI406" s="102">
        <v>2.35</v>
      </c>
      <c r="AJ406" s="105"/>
      <c r="AK406" s="105">
        <v>0</v>
      </c>
      <c r="AL406" s="113"/>
      <c r="AM406" s="106"/>
      <c r="AN406" s="114"/>
      <c r="AO406" s="108"/>
      <c r="AP406" s="108"/>
      <c r="AQ406" s="108"/>
      <c r="AR406" s="109"/>
      <c r="AS406" s="110"/>
      <c r="AT406" s="110"/>
      <c r="AU406" s="111"/>
      <c r="AV406" s="112" t="s">
        <v>54</v>
      </c>
      <c r="AW406" s="110"/>
      <c r="AX406" s="138">
        <v>416</v>
      </c>
    </row>
    <row r="407" spans="1:50" ht="21" customHeight="1" x14ac:dyDescent="0.25">
      <c r="A407" s="138">
        <v>328</v>
      </c>
      <c r="B407" s="94"/>
      <c r="C407" s="95" t="s">
        <v>472</v>
      </c>
      <c r="D407" s="95" t="s">
        <v>47</v>
      </c>
      <c r="E407" s="95" t="s">
        <v>48</v>
      </c>
      <c r="F407" s="95" t="s">
        <v>473</v>
      </c>
      <c r="G407" s="97">
        <v>6</v>
      </c>
      <c r="H407" s="97">
        <v>6</v>
      </c>
      <c r="I407" s="97">
        <v>2025</v>
      </c>
      <c r="J407" s="97">
        <v>343</v>
      </c>
      <c r="K407" s="97" t="s">
        <v>484</v>
      </c>
      <c r="L407" s="98" t="s">
        <v>458</v>
      </c>
      <c r="M407" s="97">
        <v>2</v>
      </c>
      <c r="N407" s="97"/>
      <c r="O407" s="98"/>
      <c r="P407" s="99"/>
      <c r="Q407" s="99"/>
      <c r="R407" s="99"/>
      <c r="S407" s="116" t="s">
        <v>86</v>
      </c>
      <c r="T407" s="174">
        <v>734</v>
      </c>
      <c r="U407" s="175">
        <v>210</v>
      </c>
      <c r="V407" s="100"/>
      <c r="W407" s="117"/>
      <c r="X407" s="117"/>
      <c r="Y407" s="117"/>
      <c r="Z407" s="106" t="s">
        <v>3</v>
      </c>
      <c r="AA407" s="117" t="s">
        <v>58</v>
      </c>
      <c r="AB407" s="117"/>
      <c r="AC407" s="117"/>
      <c r="AD407" s="117"/>
      <c r="AE407" s="119">
        <v>20.9</v>
      </c>
      <c r="AF407" s="112">
        <v>63</v>
      </c>
      <c r="AG407" s="112">
        <v>42</v>
      </c>
      <c r="AH407" s="113">
        <v>52</v>
      </c>
      <c r="AI407" s="119">
        <v>4.4400000000000004</v>
      </c>
      <c r="AJ407" s="120"/>
      <c r="AK407" s="120">
        <v>0</v>
      </c>
      <c r="AL407" s="106"/>
      <c r="AM407" s="106"/>
      <c r="AN407" s="107"/>
      <c r="AO407" s="106"/>
      <c r="AP407" s="106"/>
      <c r="AQ407" s="108"/>
      <c r="AR407" s="109"/>
      <c r="AS407" s="110"/>
      <c r="AT407" s="110"/>
      <c r="AU407" s="110"/>
      <c r="AV407" s="112" t="s">
        <v>54</v>
      </c>
      <c r="AW407" s="110"/>
      <c r="AX407" s="138">
        <v>272</v>
      </c>
    </row>
    <row r="408" spans="1:50" ht="21" customHeight="1" x14ac:dyDescent="0.25">
      <c r="A408" s="138">
        <v>422</v>
      </c>
      <c r="B408" s="94"/>
      <c r="C408" s="95" t="s">
        <v>472</v>
      </c>
      <c r="D408" s="95" t="s">
        <v>47</v>
      </c>
      <c r="E408" s="95" t="s">
        <v>48</v>
      </c>
      <c r="F408" s="95" t="s">
        <v>473</v>
      </c>
      <c r="G408" s="97">
        <v>6</v>
      </c>
      <c r="H408" s="97">
        <v>6</v>
      </c>
      <c r="I408" s="97">
        <v>2025</v>
      </c>
      <c r="J408" s="97">
        <v>343</v>
      </c>
      <c r="K408" s="97" t="s">
        <v>484</v>
      </c>
      <c r="L408" s="98" t="s">
        <v>458</v>
      </c>
      <c r="M408" s="97">
        <v>2</v>
      </c>
      <c r="N408" s="97"/>
      <c r="O408" s="98"/>
      <c r="P408" s="99"/>
      <c r="Q408" s="99"/>
      <c r="R408" s="99"/>
      <c r="S408" s="98" t="s">
        <v>438</v>
      </c>
      <c r="T408" s="174">
        <v>735</v>
      </c>
      <c r="U408" s="94">
        <v>3733</v>
      </c>
      <c r="V408" s="100"/>
      <c r="W408" s="100"/>
      <c r="X408" s="100"/>
      <c r="Y408" s="100"/>
      <c r="Z408" s="101" t="s">
        <v>3</v>
      </c>
      <c r="AA408" s="100" t="s">
        <v>58</v>
      </c>
      <c r="AB408" s="100"/>
      <c r="AC408" s="100"/>
      <c r="AD408" s="100"/>
      <c r="AE408" s="121">
        <v>18.899999999999999</v>
      </c>
      <c r="AF408" s="103">
        <v>73</v>
      </c>
      <c r="AG408" s="103">
        <v>56</v>
      </c>
      <c r="AH408" s="104">
        <v>64</v>
      </c>
      <c r="AI408" s="102">
        <v>6.08</v>
      </c>
      <c r="AJ408" s="105"/>
      <c r="AK408" s="105">
        <v>0</v>
      </c>
      <c r="AL408" s="113"/>
      <c r="AM408" s="106"/>
      <c r="AN408" s="114"/>
      <c r="AO408" s="108"/>
      <c r="AP408" s="108"/>
      <c r="AQ408" s="108"/>
      <c r="AR408" s="109"/>
      <c r="AS408" s="110"/>
      <c r="AT408" s="110"/>
      <c r="AU408" s="111"/>
      <c r="AV408" s="112" t="s">
        <v>54</v>
      </c>
      <c r="AW408" s="110"/>
      <c r="AX408" s="138">
        <v>413</v>
      </c>
    </row>
    <row r="409" spans="1:50" ht="21" customHeight="1" x14ac:dyDescent="0.25">
      <c r="A409" s="138">
        <v>359</v>
      </c>
      <c r="B409" s="94"/>
      <c r="C409" s="95" t="s">
        <v>472</v>
      </c>
      <c r="D409" s="95" t="s">
        <v>47</v>
      </c>
      <c r="E409" s="95" t="s">
        <v>48</v>
      </c>
      <c r="F409" s="95" t="s">
        <v>473</v>
      </c>
      <c r="G409" s="97">
        <v>6</v>
      </c>
      <c r="H409" s="97">
        <v>6</v>
      </c>
      <c r="I409" s="97">
        <v>2025</v>
      </c>
      <c r="J409" s="97">
        <v>343</v>
      </c>
      <c r="K409" s="97" t="s">
        <v>484</v>
      </c>
      <c r="L409" s="98" t="s">
        <v>458</v>
      </c>
      <c r="M409" s="97">
        <v>2</v>
      </c>
      <c r="N409" s="97"/>
      <c r="O409" s="98"/>
      <c r="P409" s="99"/>
      <c r="Q409" s="99"/>
      <c r="R409" s="99"/>
      <c r="S409" s="116" t="s">
        <v>150</v>
      </c>
      <c r="T409" s="174">
        <v>736</v>
      </c>
      <c r="U409" s="175">
        <v>347</v>
      </c>
      <c r="V409" s="100"/>
      <c r="W409" s="117"/>
      <c r="X409" s="117"/>
      <c r="Y409" s="117"/>
      <c r="Z409" s="101" t="s">
        <v>0</v>
      </c>
      <c r="AA409" s="100" t="s">
        <v>58</v>
      </c>
      <c r="AB409" s="100"/>
      <c r="AC409" s="100"/>
      <c r="AD409" s="117"/>
      <c r="AE409" s="119">
        <v>21.7</v>
      </c>
      <c r="AF409" s="112">
        <v>63</v>
      </c>
      <c r="AG409" s="112">
        <v>47</v>
      </c>
      <c r="AH409" s="113">
        <v>55</v>
      </c>
      <c r="AI409" s="119">
        <v>5.16</v>
      </c>
      <c r="AJ409" s="112"/>
      <c r="AK409" s="112">
        <v>0</v>
      </c>
      <c r="AL409" s="113"/>
      <c r="AM409" s="106"/>
      <c r="AN409" s="114"/>
      <c r="AO409" s="108"/>
      <c r="AP409" s="108"/>
      <c r="AQ409" s="106"/>
      <c r="AR409" s="106"/>
      <c r="AS409" s="110"/>
      <c r="AT409" s="110"/>
      <c r="AU409" s="110"/>
      <c r="AV409" s="112" t="s">
        <v>54</v>
      </c>
      <c r="AW409" s="110"/>
      <c r="AX409" s="138">
        <v>303</v>
      </c>
    </row>
    <row r="410" spans="1:50" ht="21" customHeight="1" x14ac:dyDescent="0.25">
      <c r="A410" s="138">
        <v>335</v>
      </c>
      <c r="B410" s="94"/>
      <c r="C410" s="95" t="s">
        <v>472</v>
      </c>
      <c r="D410" s="95" t="s">
        <v>47</v>
      </c>
      <c r="E410" s="95" t="s">
        <v>48</v>
      </c>
      <c r="F410" s="95" t="s">
        <v>473</v>
      </c>
      <c r="G410" s="97">
        <v>6</v>
      </c>
      <c r="H410" s="97">
        <v>6</v>
      </c>
      <c r="I410" s="97">
        <v>2025</v>
      </c>
      <c r="J410" s="97">
        <v>343</v>
      </c>
      <c r="K410" s="97" t="s">
        <v>484</v>
      </c>
      <c r="L410" s="98" t="s">
        <v>458</v>
      </c>
      <c r="M410" s="97">
        <v>2</v>
      </c>
      <c r="N410" s="97"/>
      <c r="O410" s="98"/>
      <c r="P410" s="99"/>
      <c r="Q410" s="99"/>
      <c r="R410" s="99"/>
      <c r="S410" s="116" t="s">
        <v>105</v>
      </c>
      <c r="T410" s="174">
        <v>737</v>
      </c>
      <c r="U410" s="175">
        <v>229</v>
      </c>
      <c r="V410" s="100"/>
      <c r="W410" s="117"/>
      <c r="X410" s="117"/>
      <c r="Y410" s="117"/>
      <c r="Z410" s="106" t="s">
        <v>0</v>
      </c>
      <c r="AA410" s="117" t="s">
        <v>58</v>
      </c>
      <c r="AB410" s="117"/>
      <c r="AC410" s="117"/>
      <c r="AD410" s="117"/>
      <c r="AE410" s="119">
        <v>20.9</v>
      </c>
      <c r="AF410" s="112">
        <v>72</v>
      </c>
      <c r="AG410" s="112">
        <v>46</v>
      </c>
      <c r="AH410" s="113">
        <v>59</v>
      </c>
      <c r="AI410" s="119">
        <v>5.71</v>
      </c>
      <c r="AJ410" s="120"/>
      <c r="AK410" s="120">
        <v>0</v>
      </c>
      <c r="AL410" s="113"/>
      <c r="AM410" s="106"/>
      <c r="AN410" s="114"/>
      <c r="AO410" s="108"/>
      <c r="AP410" s="108"/>
      <c r="AQ410" s="113"/>
      <c r="AR410" s="106"/>
      <c r="AS410" s="110"/>
      <c r="AT410" s="110"/>
      <c r="AU410" s="110"/>
      <c r="AV410" s="112" t="s">
        <v>54</v>
      </c>
      <c r="AW410" s="180"/>
      <c r="AX410" s="138">
        <v>279</v>
      </c>
    </row>
    <row r="411" spans="1:50" ht="21" customHeight="1" x14ac:dyDescent="0.25">
      <c r="A411" s="138">
        <v>327</v>
      </c>
      <c r="B411" s="94"/>
      <c r="C411" s="95" t="s">
        <v>472</v>
      </c>
      <c r="D411" s="95" t="s">
        <v>47</v>
      </c>
      <c r="E411" s="95" t="s">
        <v>48</v>
      </c>
      <c r="F411" s="95" t="s">
        <v>473</v>
      </c>
      <c r="G411" s="97">
        <v>6</v>
      </c>
      <c r="H411" s="97">
        <v>6</v>
      </c>
      <c r="I411" s="97">
        <v>2025</v>
      </c>
      <c r="J411" s="97">
        <v>343</v>
      </c>
      <c r="K411" s="97" t="s">
        <v>484</v>
      </c>
      <c r="L411" s="98" t="s">
        <v>458</v>
      </c>
      <c r="M411" s="97">
        <v>2</v>
      </c>
      <c r="N411" s="97"/>
      <c r="O411" s="98"/>
      <c r="P411" s="99"/>
      <c r="Q411" s="99"/>
      <c r="R411" s="99"/>
      <c r="S411" s="98" t="s">
        <v>85</v>
      </c>
      <c r="T411" s="174">
        <v>738</v>
      </c>
      <c r="U411" s="94">
        <v>209</v>
      </c>
      <c r="V411" s="100"/>
      <c r="W411" s="100"/>
      <c r="X411" s="100"/>
      <c r="Y411" s="100"/>
      <c r="Z411" s="101" t="s">
        <v>0</v>
      </c>
      <c r="AA411" s="100" t="s">
        <v>58</v>
      </c>
      <c r="AB411" s="100"/>
      <c r="AC411" s="100"/>
      <c r="AD411" s="100"/>
      <c r="AE411" s="102">
        <v>15.4</v>
      </c>
      <c r="AF411" s="103">
        <v>55</v>
      </c>
      <c r="AG411" s="103">
        <v>54</v>
      </c>
      <c r="AH411" s="104">
        <v>54</v>
      </c>
      <c r="AI411" s="102">
        <v>3.53</v>
      </c>
      <c r="AJ411" s="105"/>
      <c r="AK411" s="105">
        <v>0</v>
      </c>
      <c r="AL411" s="113">
        <v>16</v>
      </c>
      <c r="AM411" s="113">
        <f>COUNT(AI402:AI411)</f>
        <v>10</v>
      </c>
      <c r="AN411" s="115">
        <f>SUM(AI402:AI411)</f>
        <v>47.12</v>
      </c>
      <c r="AO411" s="113"/>
      <c r="AP411" s="113"/>
      <c r="AQ411" s="108"/>
      <c r="AR411" s="109"/>
      <c r="AS411" s="110"/>
      <c r="AT411" s="110"/>
      <c r="AU411" s="111"/>
      <c r="AV411" s="112" t="s">
        <v>54</v>
      </c>
      <c r="AW411" s="110"/>
      <c r="AX411" s="138">
        <v>271</v>
      </c>
    </row>
    <row r="412" spans="1:50" ht="23.25" customHeight="1" x14ac:dyDescent="0.35">
      <c r="A412" s="138">
        <v>262</v>
      </c>
      <c r="B412" s="140"/>
      <c r="C412" s="199" t="s">
        <v>480</v>
      </c>
      <c r="D412" s="199"/>
      <c r="E412" s="199"/>
      <c r="F412" s="199"/>
      <c r="G412" s="141"/>
      <c r="H412" s="141"/>
      <c r="I412" s="141"/>
      <c r="J412" s="141"/>
      <c r="K412" s="141"/>
      <c r="L412" s="142"/>
      <c r="M412" s="142"/>
      <c r="N412" s="141"/>
      <c r="O412" s="142"/>
      <c r="P412" s="143"/>
      <c r="Q412" s="143"/>
      <c r="R412" s="143"/>
      <c r="S412" s="144"/>
      <c r="T412" s="178"/>
      <c r="U412" s="176"/>
      <c r="V412" s="146"/>
      <c r="W412" s="145"/>
      <c r="X412" s="145"/>
      <c r="Y412" s="145"/>
      <c r="Z412" s="147"/>
      <c r="AA412" s="145"/>
      <c r="AB412" s="145"/>
      <c r="AC412" s="145"/>
      <c r="AD412" s="145"/>
      <c r="AE412" s="148"/>
      <c r="AF412" s="149"/>
      <c r="AG412" s="173">
        <v>16</v>
      </c>
      <c r="AH412" s="173">
        <f>COUNT(AH264:AH411)</f>
        <v>148</v>
      </c>
      <c r="AI412" s="151">
        <f>SUM(AI264:AI411)</f>
        <v>728.98999999999978</v>
      </c>
      <c r="AJ412" s="152"/>
      <c r="AK412" s="149"/>
      <c r="AL412" s="147"/>
      <c r="AM412" s="147"/>
      <c r="AN412" s="153"/>
      <c r="AO412" s="147"/>
      <c r="AP412" s="147"/>
      <c r="AQ412" s="150"/>
      <c r="AR412" s="147"/>
      <c r="AS412" s="154"/>
      <c r="AT412" s="154"/>
      <c r="AU412" s="154"/>
      <c r="AV412" s="149"/>
      <c r="AW412" s="155"/>
      <c r="AX412" s="138">
        <v>262</v>
      </c>
    </row>
    <row r="413" spans="1:50" ht="23.25" customHeight="1" x14ac:dyDescent="0.35">
      <c r="A413" s="138"/>
      <c r="B413" s="156"/>
      <c r="C413" s="157"/>
      <c r="D413" s="157"/>
      <c r="E413" s="157"/>
      <c r="F413" s="157"/>
      <c r="G413" s="158"/>
      <c r="H413" s="158"/>
      <c r="I413" s="158"/>
      <c r="J413" s="158"/>
      <c r="K413" s="158"/>
      <c r="L413" s="159"/>
      <c r="M413" s="159"/>
      <c r="N413" s="158"/>
      <c r="O413" s="159"/>
      <c r="P413" s="160"/>
      <c r="Q413" s="160"/>
      <c r="R413" s="160"/>
      <c r="S413" s="161"/>
      <c r="T413" s="179"/>
      <c r="U413" s="177"/>
      <c r="V413" s="163"/>
      <c r="W413" s="162"/>
      <c r="X413" s="162"/>
      <c r="Y413" s="162"/>
      <c r="Z413" s="164"/>
      <c r="AA413" s="162"/>
      <c r="AB413" s="162"/>
      <c r="AC413" s="162"/>
      <c r="AD413" s="162"/>
      <c r="AE413" s="165"/>
      <c r="AF413" s="166"/>
      <c r="AG413" s="166"/>
      <c r="AH413" s="167"/>
      <c r="AI413" s="168"/>
      <c r="AJ413" s="169"/>
      <c r="AK413" s="166"/>
      <c r="AL413" s="164"/>
      <c r="AM413" s="164"/>
      <c r="AN413" s="170"/>
      <c r="AO413" s="164"/>
      <c r="AP413" s="164"/>
      <c r="AQ413" s="167"/>
      <c r="AR413" s="164"/>
      <c r="AS413" s="171"/>
      <c r="AT413" s="171"/>
      <c r="AU413" s="171"/>
      <c r="AV413" s="166"/>
      <c r="AW413" s="172"/>
      <c r="AX413" s="138">
        <v>263</v>
      </c>
    </row>
  </sheetData>
  <sortState xmlns:xlrd2="http://schemas.microsoft.com/office/spreadsheetml/2017/richdata2" ref="A390:AX413">
    <sortCondition ref="T390:T413"/>
  </sortState>
  <mergeCells count="20">
    <mergeCell ref="W4:Y5"/>
    <mergeCell ref="AJ4:AK4"/>
    <mergeCell ref="AS4:AS5"/>
    <mergeCell ref="AT4:AT5"/>
    <mergeCell ref="C262:F262"/>
    <mergeCell ref="AU4:AU5"/>
    <mergeCell ref="C412:F412"/>
    <mergeCell ref="C152:F152"/>
    <mergeCell ref="AS3:AW3"/>
    <mergeCell ref="Z4:AA5"/>
    <mergeCell ref="C5:N5"/>
    <mergeCell ref="AO5:AR5"/>
    <mergeCell ref="B3:AK3"/>
    <mergeCell ref="AL3:AN4"/>
    <mergeCell ref="AO3:AR4"/>
    <mergeCell ref="AE4:AH4"/>
    <mergeCell ref="C4:N4"/>
    <mergeCell ref="O4:S5"/>
    <mergeCell ref="T4:T5"/>
    <mergeCell ref="U4:V5"/>
  </mergeCells>
  <conditionalFormatting sqref="B7">
    <cfRule type="duplicateValues" dxfId="140" priority="160" stopIfTrue="1"/>
  </conditionalFormatting>
  <conditionalFormatting sqref="B9">
    <cfRule type="duplicateValues" dxfId="139" priority="147" stopIfTrue="1"/>
    <cfRule type="duplicateValues" dxfId="138" priority="142" stopIfTrue="1"/>
    <cfRule type="duplicateValues" dxfId="137" priority="141" stopIfTrue="1"/>
    <cfRule type="duplicateValues" dxfId="136" priority="149" stopIfTrue="1"/>
    <cfRule type="duplicateValues" dxfId="135" priority="148" stopIfTrue="1"/>
    <cfRule type="duplicateValues" dxfId="134" priority="146" stopIfTrue="1"/>
    <cfRule type="duplicateValues" dxfId="133" priority="145" stopIfTrue="1"/>
    <cfRule type="duplicateValues" dxfId="132" priority="144" stopIfTrue="1"/>
    <cfRule type="duplicateValues" dxfId="131" priority="143" stopIfTrue="1"/>
  </conditionalFormatting>
  <conditionalFormatting sqref="B10">
    <cfRule type="duplicateValues" dxfId="130" priority="485" stopIfTrue="1"/>
  </conditionalFormatting>
  <conditionalFormatting sqref="B10:B99">
    <cfRule type="duplicateValues" dxfId="129" priority="487" stopIfTrue="1"/>
  </conditionalFormatting>
  <conditionalFormatting sqref="B11">
    <cfRule type="duplicateValues" dxfId="128" priority="168" stopIfTrue="1"/>
    <cfRule type="duplicateValues" dxfId="127" priority="167" stopIfTrue="1"/>
  </conditionalFormatting>
  <conditionalFormatting sqref="B100">
    <cfRule type="duplicateValues" dxfId="126" priority="157" stopIfTrue="1"/>
    <cfRule type="duplicateValues" dxfId="125" priority="156" stopIfTrue="1"/>
    <cfRule type="duplicateValues" dxfId="124" priority="155" stopIfTrue="1"/>
    <cfRule type="duplicateValues" dxfId="123" priority="154" stopIfTrue="1"/>
    <cfRule type="duplicateValues" dxfId="122" priority="152" stopIfTrue="1"/>
    <cfRule type="duplicateValues" dxfId="121" priority="151" stopIfTrue="1"/>
    <cfRule type="duplicateValues" dxfId="120" priority="153" stopIfTrue="1"/>
    <cfRule type="duplicateValues" dxfId="119" priority="150" stopIfTrue="1"/>
  </conditionalFormatting>
  <conditionalFormatting sqref="B131:B133">
    <cfRule type="duplicateValues" dxfId="118" priority="89" stopIfTrue="1"/>
    <cfRule type="duplicateValues" dxfId="117" priority="88" stopIfTrue="1"/>
    <cfRule type="duplicateValues" dxfId="116" priority="87" stopIfTrue="1"/>
    <cfRule type="duplicateValues" dxfId="115" priority="86" stopIfTrue="1"/>
    <cfRule type="duplicateValues" dxfId="114" priority="85" stopIfTrue="1"/>
    <cfRule type="duplicateValues" dxfId="113" priority="84" stopIfTrue="1"/>
    <cfRule type="duplicateValues" dxfId="112" priority="91" stopIfTrue="1"/>
    <cfRule type="duplicateValues" dxfId="111" priority="90" stopIfTrue="1"/>
  </conditionalFormatting>
  <conditionalFormatting sqref="B134">
    <cfRule type="duplicateValues" dxfId="110" priority="74" stopIfTrue="1"/>
    <cfRule type="duplicateValues" dxfId="109" priority="73" stopIfTrue="1"/>
    <cfRule type="duplicateValues" dxfId="108" priority="72" stopIfTrue="1"/>
    <cfRule type="duplicateValues" dxfId="107" priority="71" stopIfTrue="1"/>
    <cfRule type="duplicateValues" dxfId="106" priority="67" stopIfTrue="1"/>
    <cfRule type="duplicateValues" dxfId="105" priority="68" stopIfTrue="1"/>
    <cfRule type="duplicateValues" dxfId="104" priority="69" stopIfTrue="1"/>
    <cfRule type="duplicateValues" dxfId="103" priority="70" stopIfTrue="1"/>
  </conditionalFormatting>
  <conditionalFormatting sqref="B289:B297">
    <cfRule type="duplicateValues" dxfId="102" priority="108" stopIfTrue="1"/>
    <cfRule type="duplicateValues" dxfId="101" priority="107" stopIfTrue="1"/>
    <cfRule type="duplicateValues" dxfId="100" priority="106" stopIfTrue="1"/>
    <cfRule type="duplicateValues" dxfId="99" priority="105" stopIfTrue="1"/>
    <cfRule type="duplicateValues" dxfId="98" priority="104" stopIfTrue="1"/>
    <cfRule type="duplicateValues" dxfId="97" priority="103" stopIfTrue="1"/>
    <cfRule type="duplicateValues" dxfId="96" priority="102" stopIfTrue="1"/>
    <cfRule type="duplicateValues" dxfId="95" priority="101" stopIfTrue="1"/>
  </conditionalFormatting>
  <conditionalFormatting sqref="B371">
    <cfRule type="duplicateValues" dxfId="94" priority="54" stopIfTrue="1"/>
    <cfRule type="duplicateValues" dxfId="93" priority="53" stopIfTrue="1"/>
    <cfRule type="duplicateValues" dxfId="92" priority="52" stopIfTrue="1"/>
    <cfRule type="duplicateValues" dxfId="91" priority="51" stopIfTrue="1"/>
    <cfRule type="duplicateValues" dxfId="90" priority="50" stopIfTrue="1"/>
    <cfRule type="duplicateValues" dxfId="89" priority="57" stopIfTrue="1"/>
    <cfRule type="duplicateValues" dxfId="88" priority="56" stopIfTrue="1"/>
    <cfRule type="duplicateValues" dxfId="87" priority="55" stopIfTrue="1"/>
  </conditionalFormatting>
  <conditionalFormatting sqref="B411 B372:B409 B10 B12:B99 B298:B370 B135:B151 B154:B261 C152:C153 B264:B288 B101:B130">
    <cfRule type="duplicateValues" dxfId="86" priority="603" stopIfTrue="1"/>
  </conditionalFormatting>
  <conditionalFormatting sqref="B411 B372:B409 B10:B99 B298:B370 B135:B151 B154:B261 C152:C153 B264:B288 B101:B130">
    <cfRule type="duplicateValues" dxfId="85" priority="614" stopIfTrue="1"/>
    <cfRule type="duplicateValues" dxfId="84" priority="616" stopIfTrue="1"/>
    <cfRule type="duplicateValues" dxfId="83" priority="615" stopIfTrue="1"/>
    <cfRule type="duplicateValues" dxfId="82" priority="613" stopIfTrue="1"/>
  </conditionalFormatting>
  <conditionalFormatting sqref="B411 B372:B409 B298:B370 B135:B151 B154:B261 C152:C153 B264:B288 B7:B130">
    <cfRule type="duplicateValues" dxfId="81" priority="649" stopIfTrue="1"/>
  </conditionalFormatting>
  <conditionalFormatting sqref="B411 B372:B409 B298:B370 B135:B151 B154:B261 C152:C153 B264:B288 B9:B130">
    <cfRule type="duplicateValues" dxfId="80" priority="657" stopIfTrue="1"/>
  </conditionalFormatting>
  <conditionalFormatting sqref="B411 B372:B409 B298:B370 B135:B151 B154:B261 C152:C153 B264:B288 B101:B130">
    <cfRule type="duplicateValues" dxfId="79" priority="665" stopIfTrue="1"/>
  </conditionalFormatting>
  <conditionalFormatting sqref="C262:C263">
    <cfRule type="duplicateValues" dxfId="78" priority="15" stopIfTrue="1"/>
    <cfRule type="duplicateValues" dxfId="77" priority="13" stopIfTrue="1"/>
    <cfRule type="duplicateValues" dxfId="76" priority="11" stopIfTrue="1"/>
    <cfRule type="duplicateValues" dxfId="75" priority="12" stopIfTrue="1"/>
    <cfRule type="duplicateValues" dxfId="74" priority="9" stopIfTrue="1"/>
    <cfRule type="duplicateValues" dxfId="73" priority="10" stopIfTrue="1"/>
    <cfRule type="duplicateValues" dxfId="72" priority="14" stopIfTrue="1"/>
    <cfRule type="duplicateValues" dxfId="71" priority="16" stopIfTrue="1"/>
  </conditionalFormatting>
  <conditionalFormatting sqref="C412:C413">
    <cfRule type="duplicateValues" dxfId="70" priority="2" stopIfTrue="1"/>
    <cfRule type="duplicateValues" dxfId="69" priority="3" stopIfTrue="1"/>
    <cfRule type="duplicateValues" dxfId="68" priority="4" stopIfTrue="1"/>
    <cfRule type="duplicateValues" dxfId="67" priority="5" stopIfTrue="1"/>
    <cfRule type="duplicateValues" dxfId="66" priority="6" stopIfTrue="1"/>
    <cfRule type="duplicateValues" dxfId="65" priority="8" stopIfTrue="1"/>
    <cfRule type="duplicateValues" dxfId="64" priority="7" stopIfTrue="1"/>
    <cfRule type="duplicateValues" dxfId="63" priority="1" stopIfTrue="1"/>
  </conditionalFormatting>
  <conditionalFormatting sqref="S9">
    <cfRule type="duplicateValues" dxfId="62" priority="113"/>
    <cfRule type="duplicateValues" dxfId="61" priority="115"/>
    <cfRule type="duplicateValues" dxfId="60" priority="114"/>
  </conditionalFormatting>
  <conditionalFormatting sqref="S131:S133">
    <cfRule type="duplicateValues" dxfId="59" priority="83"/>
  </conditionalFormatting>
  <conditionalFormatting sqref="S134">
    <cfRule type="duplicateValues" dxfId="58" priority="66"/>
  </conditionalFormatting>
  <conditionalFormatting sqref="S289:S291">
    <cfRule type="duplicateValues" dxfId="57" priority="100"/>
  </conditionalFormatting>
  <conditionalFormatting sqref="S292:S370 S135:S288 S372:S409 S10:S130 S411:S413">
    <cfRule type="duplicateValues" dxfId="56" priority="558"/>
  </conditionalFormatting>
  <conditionalFormatting sqref="S371">
    <cfRule type="duplicateValues" dxfId="55" priority="49"/>
  </conditionalFormatting>
  <conditionalFormatting sqref="T7">
    <cfRule type="duplicateValues" dxfId="54" priority="164" stopIfTrue="1"/>
    <cfRule type="duplicateValues" dxfId="53" priority="165" stopIfTrue="1"/>
    <cfRule type="duplicateValues" dxfId="52" priority="166" stopIfTrue="1"/>
  </conditionalFormatting>
  <conditionalFormatting sqref="T7:T8">
    <cfRule type="duplicateValues" dxfId="51" priority="139" stopIfTrue="1"/>
  </conditionalFormatting>
  <conditionalFormatting sqref="T131:T133">
    <cfRule type="duplicateValues" dxfId="50" priority="76" stopIfTrue="1"/>
  </conditionalFormatting>
  <conditionalFormatting sqref="T134">
    <cfRule type="duplicateValues" dxfId="49" priority="59" stopIfTrue="1"/>
  </conditionalFormatting>
  <conditionalFormatting sqref="T289:T291">
    <cfRule type="duplicateValues" dxfId="48" priority="93" stopIfTrue="1"/>
  </conditionalFormatting>
  <conditionalFormatting sqref="T292:T370 T135:T288 T372:T409 T9:T130 T411:T413">
    <cfRule type="duplicateValues" dxfId="47" priority="563" stopIfTrue="1"/>
  </conditionalFormatting>
  <conditionalFormatting sqref="T371">
    <cfRule type="duplicateValues" dxfId="46" priority="42" stopIfTrue="1"/>
  </conditionalFormatting>
  <conditionalFormatting sqref="U7">
    <cfRule type="duplicateValues" dxfId="45" priority="163" stopIfTrue="1"/>
  </conditionalFormatting>
  <conditionalFormatting sqref="U7:U8">
    <cfRule type="duplicateValues" dxfId="44" priority="140" stopIfTrue="1"/>
  </conditionalFormatting>
  <conditionalFormatting sqref="U9">
    <cfRule type="duplicateValues" dxfId="43" priority="122"/>
    <cfRule type="duplicateValues" dxfId="42" priority="123"/>
    <cfRule type="duplicateValues" dxfId="41" priority="121"/>
    <cfRule type="duplicateValues" dxfId="40" priority="120"/>
  </conditionalFormatting>
  <conditionalFormatting sqref="U131:U133">
    <cfRule type="duplicateValues" dxfId="39" priority="77"/>
    <cfRule type="duplicateValues" dxfId="38" priority="80"/>
    <cfRule type="duplicateValues" dxfId="37" priority="79"/>
    <cfRule type="duplicateValues" dxfId="36" priority="78"/>
    <cfRule type="duplicateValues" dxfId="35" priority="75" stopIfTrue="1"/>
  </conditionalFormatting>
  <conditionalFormatting sqref="U134">
    <cfRule type="duplicateValues" dxfId="34" priority="63"/>
    <cfRule type="duplicateValues" dxfId="33" priority="62"/>
    <cfRule type="duplicateValues" dxfId="32" priority="61"/>
    <cfRule type="duplicateValues" dxfId="31" priority="60"/>
    <cfRule type="duplicateValues" dxfId="30" priority="58" stopIfTrue="1"/>
  </conditionalFormatting>
  <conditionalFormatting sqref="U289:U291">
    <cfRule type="duplicateValues" dxfId="29" priority="96"/>
    <cfRule type="duplicateValues" dxfId="28" priority="97"/>
    <cfRule type="duplicateValues" dxfId="27" priority="92" stopIfTrue="1"/>
    <cfRule type="duplicateValues" dxfId="26" priority="95"/>
    <cfRule type="duplicateValues" dxfId="25" priority="94"/>
  </conditionalFormatting>
  <conditionalFormatting sqref="U371">
    <cfRule type="duplicateValues" dxfId="24" priority="46"/>
    <cfRule type="duplicateValues" dxfId="23" priority="45"/>
    <cfRule type="duplicateValues" dxfId="22" priority="44"/>
    <cfRule type="duplicateValues" dxfId="21" priority="43"/>
    <cfRule type="duplicateValues" dxfId="20" priority="41" stopIfTrue="1"/>
  </conditionalFormatting>
  <conditionalFormatting sqref="U372:U409 U9:U130 U292:U370 U135:U288 U411:U413">
    <cfRule type="duplicateValues" dxfId="19" priority="568" stopIfTrue="1"/>
  </conditionalFormatting>
  <conditionalFormatting sqref="U372:U409 U10:U130 U292:U370 U135:U288 U411:U413">
    <cfRule type="duplicateValues" dxfId="18" priority="573"/>
    <cfRule type="duplicateValues" dxfId="17" priority="575"/>
    <cfRule type="duplicateValues" dxfId="16" priority="576"/>
    <cfRule type="duplicateValues" dxfId="15" priority="574"/>
  </conditionalFormatting>
  <conditionalFormatting sqref="U7:V7">
    <cfRule type="duplicateValues" dxfId="14" priority="161" stopIfTrue="1"/>
    <cfRule type="duplicateValues" dxfId="13" priority="162" stopIfTrue="1"/>
    <cfRule type="duplicateValues" dxfId="12" priority="159" stopIfTrue="1"/>
  </conditionalFormatting>
  <conditionalFormatting sqref="AL9">
    <cfRule type="duplicateValues" dxfId="11" priority="112"/>
    <cfRule type="duplicateValues" dxfId="10" priority="111"/>
  </conditionalFormatting>
  <conditionalFormatting sqref="AL131:AL133">
    <cfRule type="duplicateValues" dxfId="9" priority="82"/>
    <cfRule type="duplicateValues" dxfId="8" priority="81"/>
  </conditionalFormatting>
  <conditionalFormatting sqref="AL134">
    <cfRule type="duplicateValues" dxfId="7" priority="65"/>
    <cfRule type="duplicateValues" dxfId="6" priority="64"/>
  </conditionalFormatting>
  <conditionalFormatting sqref="AL289:AL291">
    <cfRule type="duplicateValues" dxfId="5" priority="98"/>
    <cfRule type="duplicateValues" dxfId="4" priority="99"/>
  </conditionalFormatting>
  <conditionalFormatting sqref="AL371">
    <cfRule type="duplicateValues" dxfId="3" priority="47"/>
    <cfRule type="duplicateValues" dxfId="2" priority="48"/>
  </conditionalFormatting>
  <conditionalFormatting sqref="AL372:AL409 AL10:AL130 AL292:AL370 AL135:AL288 AL411:AL413">
    <cfRule type="duplicateValues" dxfId="1" priority="593"/>
    <cfRule type="duplicateValues" dxfId="0" priority="594"/>
  </conditionalFormatting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AKU</dc:creator>
  <cp:lastModifiedBy>andiburhan18@yahoo.co.id</cp:lastModifiedBy>
  <cp:lastPrinted>2022-08-27T01:55:50Z</cp:lastPrinted>
  <dcterms:created xsi:type="dcterms:W3CDTF">2018-10-01T12:30:42Z</dcterms:created>
  <dcterms:modified xsi:type="dcterms:W3CDTF">2025-06-07T02:55:21Z</dcterms:modified>
</cp:coreProperties>
</file>